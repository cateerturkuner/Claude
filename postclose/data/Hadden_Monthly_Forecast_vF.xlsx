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&amp;A (1)\1. Closed\2026.08.12_Hadden Estate\3. Walters Analysis\2. Post-LOI Datapack\"/>
    </mc:Choice>
  </mc:AlternateContent>
  <xr:revisionPtr revIDLastSave="0" documentId="13_ncr:1_{42BFEE21-C82D-4A69-8CD4-2C0818E0C750}" xr6:coauthVersionLast="47" xr6:coauthVersionMax="47" xr10:uidLastSave="{00000000-0000-0000-0000-000000000000}"/>
  <bookViews>
    <workbookView xWindow="-110" yWindow="-110" windowWidth="23260" windowHeight="14860" tabRatio="915" xr2:uid="{49178644-5233-4408-AD43-890CD7DAABBD}"/>
  </bookViews>
  <sheets>
    <sheet name="Detailed P&amp;L" sheetId="1" r:id="rId1"/>
    <sheet name="Revenue Analysis" sheetId="15" r:id="rId2"/>
    <sheet name="Events Summary" sheetId="9" r:id="rId3"/>
    <sheet name="Inputs--&gt;" sheetId="16" r:id="rId4"/>
    <sheet name="Payroll" sheetId="50" r:id="rId5"/>
    <sheet name="P&amp;L" sheetId="43" r:id="rId6"/>
    <sheet name="Full Events Detail" sheetId="45" r:id="rId7"/>
    <sheet name="Future Events" sheetId="44" r:id="rId8"/>
    <sheet name="Leads" sheetId="47" r:id="rId9"/>
    <sheet name="Tours" sheetId="49" r:id="rId10"/>
    <sheet name="WH--&gt;" sheetId="6" r:id="rId11"/>
    <sheet name="AGA" sheetId="46" r:id="rId12"/>
    <sheet name="WH Rev &amp; Events Data" sheetId="11" r:id="rId13"/>
    <sheet name="FY25 By Venue Financials" sheetId="38" r:id="rId14"/>
    <sheet name="Monthly Events per venue" sheetId="22" r:id="rId15"/>
    <sheet name="P&amp;L Categories" sheetId="2" r:id="rId16"/>
    <sheet name="Summary" sheetId="41" r:id="rId17"/>
  </sheets>
  <definedNames>
    <definedName name="______key2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I2" localSheetId="6">{"PVGraph2",#N/A,FALSE,"PV Data"}</definedName>
    <definedName name="_____I2" localSheetId="13" hidden="1">{"PVGraph2",#N/A,FALSE,"PV Data"}</definedName>
    <definedName name="_____I2" hidden="1">{"PVGraph2",#N/A,FALSE,"PV Data"}</definedName>
    <definedName name="_____I3" localSheetId="6">{"PVGraph2",#N/A,FALSE,"PV Data"}</definedName>
    <definedName name="_____I3" localSheetId="13" hidden="1">{"PVGraph2",#N/A,FALSE,"PV Data"}</definedName>
    <definedName name="_____I3" hidden="1">{"PVGraph2",#N/A,FALSE,"PV Data"}</definedName>
    <definedName name="_____key4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w1" localSheetId="6">{"PVGraph2",#N/A,FALSE,"PV Data"}</definedName>
    <definedName name="_____w1" localSheetId="13" hidden="1">{"PVGraph2",#N/A,FALSE,"PV Data"}</definedName>
    <definedName name="_____w1" hidden="1">{"PVGraph2",#N/A,FALSE,"PV Data"}</definedName>
    <definedName name="_____w2" localSheetId="6">{"PVGraph2",#N/A,FALSE,"PV Data"}</definedName>
    <definedName name="_____w2" localSheetId="13" hidden="1">{"PVGraph2",#N/A,FALSE,"PV Data"}</definedName>
    <definedName name="_____w2" hidden="1">{"PVGraph2",#N/A,FALSE,"PV Data"}</definedName>
    <definedName name="_____w3" localSheetId="6">{"PVGraph2",#N/A,FALSE,"PV Data"}</definedName>
    <definedName name="_____w3" localSheetId="13" hidden="1">{"PVGraph2",#N/A,FALSE,"PV Data"}</definedName>
    <definedName name="_____w3" hidden="1">{"PVGraph2",#N/A,FALSE,"PV Data"}</definedName>
    <definedName name="_____y2" localSheetId="6">{"PVGraph2",#N/A,FALSE,"PV Data"}</definedName>
    <definedName name="_____y2" localSheetId="13" hidden="1">{"PVGraph2",#N/A,FALSE,"PV Data"}</definedName>
    <definedName name="_____y2" hidden="1">{"PVGraph2",#N/A,FALSE,"PV Data"}</definedName>
    <definedName name="____key2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I2" localSheetId="6">{"PVGraph2",#N/A,FALSE,"PV Data"}</definedName>
    <definedName name="___I2" localSheetId="13" hidden="1">{"PVGraph2",#N/A,FALSE,"PV Data"}</definedName>
    <definedName name="___I2" hidden="1">{"PVGraph2",#N/A,FALSE,"PV Data"}</definedName>
    <definedName name="___I3" localSheetId="6">{"PVGraph2",#N/A,FALSE,"PV Data"}</definedName>
    <definedName name="___I3" localSheetId="13" hidden="1">{"PVGraph2",#N/A,FALSE,"PV Data"}</definedName>
    <definedName name="___I3" hidden="1">{"PVGraph2",#N/A,FALSE,"PV Data"}</definedName>
    <definedName name="___key4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w1" localSheetId="6">{"PVGraph2",#N/A,FALSE,"PV Data"}</definedName>
    <definedName name="___w1" localSheetId="13" hidden="1">{"PVGraph2",#N/A,FALSE,"PV Data"}</definedName>
    <definedName name="___w1" hidden="1">{"PVGraph2",#N/A,FALSE,"PV Data"}</definedName>
    <definedName name="___w2" localSheetId="6">{"PVGraph2",#N/A,FALSE,"PV Data"}</definedName>
    <definedName name="___w2" localSheetId="13" hidden="1">{"PVGraph2",#N/A,FALSE,"PV Data"}</definedName>
    <definedName name="___w2" hidden="1">{"PVGraph2",#N/A,FALSE,"PV Data"}</definedName>
    <definedName name="___w3" localSheetId="6">{"PVGraph2",#N/A,FALSE,"PV Data"}</definedName>
    <definedName name="___w3" localSheetId="13" hidden="1">{"PVGraph2",#N/A,FALSE,"PV Data"}</definedName>
    <definedName name="___w3" hidden="1">{"PVGraph2",#N/A,FALSE,"PV Data"}</definedName>
    <definedName name="___y2" localSheetId="6">{"PVGraph2",#N/A,FALSE,"PV Data"}</definedName>
    <definedName name="___y2" localSheetId="13" hidden="1">{"PVGraph2",#N/A,FALSE,"PV Data"}</definedName>
    <definedName name="___y2" hidden="1">{"PVGraph2",#N/A,FALSE,"PV Data"}</definedName>
    <definedName name="__123Graph_A" hidden="1">#REF!</definedName>
    <definedName name="__123gRAPH_achart" hidden="1">#REF!</definedName>
    <definedName name="__123Graph_AChart1" hidden="1">#REF!</definedName>
    <definedName name="__123Graph_ACurrent" hidden="1">#REF!</definedName>
    <definedName name="__123Graph_AGRPH_EXPIRE" hidden="1">#REF!</definedName>
    <definedName name="__123Graph_AHMCISALES" hidden="1">#REF!</definedName>
    <definedName name="__123Graph_APRINCIPAL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FUEL" hidden="1">#REF!</definedName>
    <definedName name="__123Graph_BHMCISALES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F" hidden="1">#REF!</definedName>
    <definedName name="__123Graph_LBL_APRINCIPAL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GRPH_EXPIRE" hidden="1">#REF!</definedName>
    <definedName name="__123Graph_XHMCISALES" hidden="1">#REF!</definedName>
    <definedName name="__abc" hidden="1">#REF!</definedName>
    <definedName name="__FDS_HYPERLINK_TOGGLE_STATE__" hidden="1">"ON"</definedName>
    <definedName name="__FDS_UNIQUE_RANGE_ID_GENERATOR_COUNTER" hidden="1">1</definedName>
    <definedName name="__IntlFixup" hidden="1">TRUE</definedName>
    <definedName name="__IntlFixupTable" hidden="1">#REF!</definedName>
    <definedName name="__key2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 hidden="1">#REF!</definedName>
    <definedName name="__mp2" localSheetId="6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 localSheetId="1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PL2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localSheetId="6">{#N/A,#N/A,FALSE,"Report Data";#N/A,#N/A,FALSE,"COMP POOL";#N/A,#N/A,FALSE,"COMP POOL NB95";#N/A,#N/A,FALSE,"COMP POOL NB94"}</definedName>
    <definedName name="__PL4" localSheetId="13" hidden="1">{#N/A,#N/A,FALSE,"Report Data";#N/A,#N/A,FALSE,"COMP POOL";#N/A,#N/A,FALSE,"COMP POOL NB95";#N/A,#N/A,FALSE,"COMP POOL NB94"}</definedName>
    <definedName name="__PL4" hidden="1">{#N/A,#N/A,FALSE,"Report Data";#N/A,#N/A,FALSE,"COMP POOL";#N/A,#N/A,FALSE,"COMP POOL NB95";#N/A,#N/A,FALSE,"COMP POOL NB94"}</definedName>
    <definedName name="__PL5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t9" localSheetId="6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 localSheetId="1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ver1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1__123Graph_ACHART_1" hidden="1">#REF!</definedName>
    <definedName name="_1__123Graph_ACHART_10" hidden="1">#REF!</definedName>
    <definedName name="_1__FDSAUDITLINK__" localSheetId="6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__FDSAUDITLINK__" localSheetId="13" hidden="1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__FDSAUDITLINK__" hidden="1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0__123Graph_ACHART_9" hidden="1">#REF!</definedName>
    <definedName name="_10__123Graph_CCHART_3" hidden="1">#REF!</definedName>
    <definedName name="_10__FDSAUDITLINK__" localSheetId="6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" localSheetId="13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1__123Graph_BCHART_10" hidden="1">#REF!</definedName>
    <definedName name="_11__123Graph_DCHART_1" hidden="1">#REF!</definedName>
    <definedName name="_11__FDSAUDITLINK__" localSheetId="6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" localSheetId="13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2__123Graph_BCHART_11" hidden="1">#REF!</definedName>
    <definedName name="_12__123Graph_ECHART_1" hidden="1">#REF!</definedName>
    <definedName name="_12__FDSAUDITLINK__" localSheetId="6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" localSheetId="13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3Graph_C" hidden="1">#REF!</definedName>
    <definedName name="_13__123Graph_BCHART_12" hidden="1">#REF!</definedName>
    <definedName name="_13__123Graph_FCHART_1" hidden="1">#REF!</definedName>
    <definedName name="_13__FDSAUDITLINK__" localSheetId="6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" localSheetId="13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4__123Graph_BCHART_13" hidden="1">#REF!</definedName>
    <definedName name="_14__123Graph_LBL_ACHART_2" hidden="1">#REF!</definedName>
    <definedName name="_14__FDSAUDITLINK__" localSheetId="6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" localSheetId="13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5__123Graph_BCHART_14" hidden="1">#REF!</definedName>
    <definedName name="_15__123Graph_LBL_ACHART_3" hidden="1">#REF!</definedName>
    <definedName name="_15__FDSAUDITLINK__" localSheetId="6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" localSheetId="13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01_01" hidden="1">#REF!</definedName>
    <definedName name="_15_01_02" hidden="1">#REF!</definedName>
    <definedName name="_15_01_03" hidden="1">#REF!</definedName>
    <definedName name="_15_01_04" hidden="1">#REF!</definedName>
    <definedName name="_15_01_05" hidden="1">#REF!</definedName>
    <definedName name="_15_01_10" hidden="1">#REF!</definedName>
    <definedName name="_16__123Graph_BCHART_15" hidden="1">#REF!</definedName>
    <definedName name="_16__123Graph_LBL_ACHART_4" hidden="1">#REF!</definedName>
    <definedName name="_16__FDSAUDITLINK__" localSheetId="6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" localSheetId="13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7__123Graph_BCHART_16" hidden="1">#REF!</definedName>
    <definedName name="_17__123Graph_LBL_BCHART_2" hidden="1">#REF!</definedName>
    <definedName name="_17__FDSAUDITLINK__" localSheetId="6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" localSheetId="13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9_0_S" hidden="1">#REF!</definedName>
    <definedName name="_18__123Graph_BCHART_17" hidden="1">#REF!</definedName>
    <definedName name="_18__123Graph_LBL_BCHART_3" hidden="1">#REF!</definedName>
    <definedName name="_18__FDSAUDITLINK__" localSheetId="6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" localSheetId="13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0_0_S" hidden="1">#REF!</definedName>
    <definedName name="_19__123Graph_BCHART_18" hidden="1">#REF!</definedName>
    <definedName name="_19__123Graph_LBL_CCHART_2" hidden="1">#REF!</definedName>
    <definedName name="_19__FDSAUDITLINK__" localSheetId="6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" localSheetId="13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2__123Graph_ACHART_11" hidden="1">#REF!</definedName>
    <definedName name="_2__123Graph_ACHART_2" hidden="1">#REF!</definedName>
    <definedName name="_2__FDSAUDITLINK__" localSheetId="6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__FDSAUDITLINK__" localSheetId="13" hidden="1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__FDSAUDITLINK__" hidden="1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0__123Graph_BCHART_8" hidden="1">#REF!</definedName>
    <definedName name="_20__123Graph_LBL_CCHART_3" hidden="1">#REF!</definedName>
    <definedName name="_20__FDSAUDITLINK__" localSheetId="6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" localSheetId="13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1__123Graph_BCHART_9" hidden="1">#REF!</definedName>
    <definedName name="_21_0__123Grap" hidden="1">#REF!</definedName>
    <definedName name="_22__123Graph_CCHART_10" hidden="1">#REF!</definedName>
    <definedName name="_22_0_0__123Grap" hidden="1">#REF!</definedName>
    <definedName name="_23__123Graph_CCHART_11" hidden="1">#REF!</definedName>
    <definedName name="_24__123Graph_CCHART_12" hidden="1">#REF!</definedName>
    <definedName name="_25__123Graph_CCHART_13" hidden="1">#REF!</definedName>
    <definedName name="_26__123Graph_CCHART_14" hidden="1">#REF!</definedName>
    <definedName name="_269_0_Table2_" hidden="1">#REF!</definedName>
    <definedName name="_27__123Graph_CCHART_15" hidden="1">#REF!</definedName>
    <definedName name="_270_0_Table2_" hidden="1">#REF!</definedName>
    <definedName name="_28__123Graph_CCHART_16" hidden="1">#REF!</definedName>
    <definedName name="_29__123Graph_CCHART_17" hidden="1">#REF!</definedName>
    <definedName name="_3__123Graph_ACHART_12" hidden="1">#REF!</definedName>
    <definedName name="_3__123Graph_ACHART_3" hidden="1">#REF!</definedName>
    <definedName name="_3__FDSAUDITLINK__" localSheetId="6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__FDSAUDITLINK__" localSheetId="13" hidden="1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__FDSAUDITLINK__" hidden="1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0__123Graph_CCHART_18" hidden="1">#REF!</definedName>
    <definedName name="_31__123Graph_CCHART_8" hidden="1">#REF!</definedName>
    <definedName name="_32__123Graph_CCHART_9" hidden="1">#REF!</definedName>
    <definedName name="_33__123Graph_LBL_ACHART_10" hidden="1">#REF!</definedName>
    <definedName name="_34__123Graph_LBL_ACHART_11" hidden="1">#REF!</definedName>
    <definedName name="_35__123Graph_LBL_ACHART_12" hidden="1">#REF!</definedName>
    <definedName name="_359_0_Table2_" hidden="1">#REF!</definedName>
    <definedName name="_36__123Graph_LBL_ACHART_13" hidden="1">#REF!</definedName>
    <definedName name="_360_0_Table2_" hidden="1">#REF!</definedName>
    <definedName name="_37__123Graph_LBL_ACHART_14" hidden="1">#REF!</definedName>
    <definedName name="_38__123Graph_LBL_ACHART_15" hidden="1">#REF!</definedName>
    <definedName name="_39__123Graph_LBL_ACHART_16" hidden="1">#REF!</definedName>
    <definedName name="_4__123Graph_ACHART_13" hidden="1">#REF!</definedName>
    <definedName name="_4__123Graph_ACHART_4" hidden="1">#REF!</definedName>
    <definedName name="_4__FDSAUDITLINK__" localSheetId="6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__FDSAUDITLINK__" localSheetId="13" hidden="1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__FDSAUDITLINK__" hidden="1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0__123Graph_LBL_ACHART_17" hidden="1">#REF!</definedName>
    <definedName name="_41__123Graph_LBL_ACHART_18" hidden="1">#REF!</definedName>
    <definedName name="_42__123Graph_LBL_ACHART_8" hidden="1">#REF!</definedName>
    <definedName name="_43__123Graph_LBL_ACHART_9" hidden="1">#REF!</definedName>
    <definedName name="_44__123Graph_LBL_BCHART_10" hidden="1">#REF!</definedName>
    <definedName name="_45__123Graph_LBL_BCHART_11" hidden="1">#REF!</definedName>
    <definedName name="_46__123Graph_LBL_BCHART_12" hidden="1">#REF!</definedName>
    <definedName name="_47__123Graph_LBL_BCHART_13" hidden="1">#REF!</definedName>
    <definedName name="_48__123Graph_LBL_BCHART_14" hidden="1">#REF!</definedName>
    <definedName name="_49__123Graph_LBL_BCHART_15" hidden="1">#REF!</definedName>
    <definedName name="_5__123Graph_ACHART_14" hidden="1">#REF!</definedName>
    <definedName name="_5__123Graph_BCHART_1" hidden="1">#REF!</definedName>
    <definedName name="_5__FDSAUDITLINK__" localSheetId="6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" localSheetId="13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0__123Graph_LBL_BCHART_16" hidden="1">#REF!</definedName>
    <definedName name="_51__123Graph_LBL_BCHART_17" hidden="1">#REF!</definedName>
    <definedName name="_52__123Graph_LBL_BCHART_18" hidden="1">#REF!</definedName>
    <definedName name="_53__123Graph_LBL_BCHART_8" hidden="1">#REF!</definedName>
    <definedName name="_54__123Graph_LBL_BCHART_9" hidden="1">#REF!</definedName>
    <definedName name="_55__123Graph_LBL_CCHART_10" hidden="1">#REF!</definedName>
    <definedName name="_56__123Graph_LBL_CCHART_11" hidden="1">#REF!</definedName>
    <definedName name="_57__123Graph_LBL_CCHART_12" hidden="1">#REF!</definedName>
    <definedName name="_58__123Graph_LBL_CCHART_13" hidden="1">#REF!</definedName>
    <definedName name="_59__123Graph_LBL_CCHART_14" hidden="1">#REF!</definedName>
    <definedName name="_6__123Graph_ACHART_15" hidden="1">#REF!</definedName>
    <definedName name="_6__123Graph_BCHART_2" hidden="1">#REF!</definedName>
    <definedName name="_6__FDSAUDITLINK__" localSheetId="6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" localSheetId="13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0__123Graph_LBL_CCHART_15" hidden="1">#REF!</definedName>
    <definedName name="_61__123Graph_LBL_CCHART_16" hidden="1">#REF!</definedName>
    <definedName name="_62__123Graph_LBL_CCHART_17" hidden="1">#REF!</definedName>
    <definedName name="_63__123Graph_LBL_CCHART_18" hidden="1">#REF!</definedName>
    <definedName name="_64__123Graph_LBL_CCHART_8" hidden="1">#REF!</definedName>
    <definedName name="_65__123Graph_LBL_CCHART_9" hidden="1">#REF!</definedName>
    <definedName name="_7__123Graph_ACHART_16" hidden="1">#REF!</definedName>
    <definedName name="_7__123Graph_BCHART_3" hidden="1">#REF!</definedName>
    <definedName name="_7__FDSAUDITLINK__" localSheetId="6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" localSheetId="13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8__123Graph_ACHART_17" hidden="1">#REF!</definedName>
    <definedName name="_8__123Graph_CCHART_1" hidden="1">#REF!</definedName>
    <definedName name="_8__FDSAUDITLINK__" localSheetId="6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" localSheetId="13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9_0_Table2_" hidden="1">#REF!</definedName>
    <definedName name="_8wrn.²Ä1­Ó¤ë1_Ü20¤H." localSheetId="13" hidden="1">{#N/A,#N/A,FALSE,"²Ä1­Ó¤ë"}</definedName>
    <definedName name="_8wrn.²Ä1­Ó¤ë1_Ü20¤H." hidden="1">{#N/A,#N/A,FALSE,"²Ä1­Ó¤ë"}</definedName>
    <definedName name="_9__123Graph_ACHART_18" hidden="1">#REF!</definedName>
    <definedName name="_9__123Graph_CCHART_2" hidden="1">#REF!</definedName>
    <definedName name="_9__FDSAUDITLINK__" localSheetId="6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" localSheetId="13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0_0_Table2_" hidden="1">#REF!</definedName>
    <definedName name="_A11" localSheetId="6">{#N/A,#N/A,FALSE,"Umsatz 99";#N/A,#N/A,FALSE,"ER 99 "}</definedName>
    <definedName name="_A11" localSheetId="13" hidden="1">{#N/A,#N/A,FALSE,"Umsatz 99";#N/A,#N/A,FALSE,"ER 99 "}</definedName>
    <definedName name="_A11" hidden="1">{#N/A,#N/A,FALSE,"Umsatz 99";#N/A,#N/A,FALSE,"ER 99 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bdm.00EC971BF37311D6B67A0010A48BFF38.edm" hidden="1">#REF!</definedName>
    <definedName name="_bdm.05AD755AE1B644BCB6FF7AF6D6C94EE7.edm" hidden="1">#REF!</definedName>
    <definedName name="_bdm.074EB0C6AAE811D6B66B0010A4863BD8.edm" hidden="1">#REF!</definedName>
    <definedName name="_bdm.07E0E43621F04002BD2382A713A03758.edm" hidden="1">#REF!</definedName>
    <definedName name="_bdm.0B5E4A07F78E4E3E923312BD37FD77A2.edm" hidden="1">#REF!</definedName>
    <definedName name="_bdm.0E56D9750BC64403BB3CB88CB3D2E42D.edm" hidden="1">#REF!</definedName>
    <definedName name="_bdm.0E72569B534E450BBDD4D4C08A228512.edm" hidden="1">#REF!</definedName>
    <definedName name="_bdm.0F288D482B984B9FB7CF701B327B593C.edm" hidden="1">#REF!</definedName>
    <definedName name="_bdm.0F34FE049B5F4EFDBB16037DB1A02E9D.edm" hidden="1">#REF!</definedName>
    <definedName name="_bdm.14263D1F2D814D5EB1F95B1D6957384D.edm" hidden="1">#REF!</definedName>
    <definedName name="_bdm.1742263542124AF3BCE865208D9E404D.edm" hidden="1">#REF!</definedName>
    <definedName name="_bdm.196E2C1A7BD14EB9BA42E1F187F09491.edm" hidden="1">#REF!</definedName>
    <definedName name="_bdm.1D220B6B5B164370A3CF21AC7A43A0CE.edm" hidden="1">#REF!</definedName>
    <definedName name="_bdm.206C2D94AA3711D6B64A0010A494EFA8.edm" hidden="1">#REF!</definedName>
    <definedName name="_bdm.206C2DBCAA3711D6B64A0010A494EFA8.edm" hidden="1">#REF!</definedName>
    <definedName name="_bdm.2398C53567284E5E8937DD13BB789BD3.edm" hidden="1">#REF!</definedName>
    <definedName name="_bdm.25A9C63C58E0417DB5AA529D4513182D.edm" hidden="1">#REF!</definedName>
    <definedName name="_bdm.28F3C3B79E43484AA41A87D12ADB61B5.edm" hidden="1">#REF!</definedName>
    <definedName name="_bdm.29B6C90491534050B2C5F5D0FAC008D1.edm" hidden="1">#REF!</definedName>
    <definedName name="_bdm.2A5234D8A73011D6B6510010A48BFF38.edm" hidden="1">#REF!</definedName>
    <definedName name="_bdm.2F7A28C715A34E59ACD47BF4ACFF5BEC.edm" hidden="1">#REF!</definedName>
    <definedName name="_bdm.300AD74A4CB340EC819E80CB01F466A0.edm" hidden="1">#REF!</definedName>
    <definedName name="_bdm.31C6ADD3175943F4ACA95FC143D2714C.edm" hidden="1">#REF!</definedName>
    <definedName name="_bdm.327AEDCC6C414E00B9100D2BCE280864.edm" hidden="1">#REF!</definedName>
    <definedName name="_bdm.327EA03D3A584F82A302CFE810FD977E.edm" hidden="1">#REF!</definedName>
    <definedName name="_bdm.329FD9CDA97C40029C4A921D6224414B.edm" hidden="1">#REF!</definedName>
    <definedName name="_bdm.3803A7941AB5419A8F5B3F22659B0C31.edm" hidden="1">#REF!</definedName>
    <definedName name="_bdm.39C9E15CE9D24374A40E40FCDF6B0E3F.edm" hidden="1">#REF!</definedName>
    <definedName name="_bdm.3F3D154789DB4E3D9F8942A23646B270.edm" hidden="1">#REF!</definedName>
    <definedName name="_bdm.43BEFD54E5614A47BA6CC71AF25685D4.edm" hidden="1">#REF!</definedName>
    <definedName name="_bdm.475844AEC35A11D6B6A80010A4860669.edm" hidden="1">#REF!</definedName>
    <definedName name="_bdm.4A08328614CA492D939A7F87E1A801F3.edm" hidden="1">#REF!</definedName>
    <definedName name="_bdm.4CE945BFE9BA4627920222D07C48D847.edm" hidden="1">#REF!</definedName>
    <definedName name="_bdm.4DC3AE1E0F744F5D9EF18EA21D885678.edm" hidden="1">#REF!</definedName>
    <definedName name="_bdm.4E2453ACA1164E4F9DE66B578B5DC673.edm" hidden="1">#REF!</definedName>
    <definedName name="_bdm.50CB2E76FF304AF5BC48EE41236B683F.edm" hidden="1">#REF!</definedName>
    <definedName name="_bdm.5899DA80924A4C1182E5C7D6095DD314.edm" hidden="1">#REF!</definedName>
    <definedName name="_bdm.5AF8C68B1B4D4725A2EF100AD746D415.edm" hidden="1">#REF!</definedName>
    <definedName name="_bdm.5C6D0D9D93BD4742A18A5B8A51E9F99E.edm" hidden="1">#REF!</definedName>
    <definedName name="_bdm.5D5229D5282B49A7980F2D932A2FEEF7.edm" hidden="1">#REF!</definedName>
    <definedName name="_bdm.5D8D55B204CB487ABFE89E021F786C24.edm" hidden="1">#REF!</definedName>
    <definedName name="_bdm.635BC897BE9843D6A2C05F29B3D114D3.edm" hidden="1">#REF!</definedName>
    <definedName name="_bdm.680534A8CE05489CAF305B50B8D9395C.edm" hidden="1">#REF!</definedName>
    <definedName name="_bdm.68C63F4515314BF89862B5A20C1BD7F8.edm" hidden="1">#REF!</definedName>
    <definedName name="_bdm.6F44DF6EBF3D4432A71DF03D4DA26537.edm" hidden="1">#REF!</definedName>
    <definedName name="_bdm.716C82294FCE49368394CA76ECC4B77E.edm" hidden="1">#REF!</definedName>
    <definedName name="_bdm.726808AF6ACB495FA1B21036DFA75F1F.edm" hidden="1">#REF!</definedName>
    <definedName name="_bdm.75AEB8ED3BB74DDAAF13881E19CF0474.edm" hidden="1">#REF!</definedName>
    <definedName name="_bdm.76CB26C38BD6425B8EF13D4F9F050D8C.edm" hidden="1">#REF!</definedName>
    <definedName name="_bdm.77CA350A03D2489DBB902CDB2CC7E9F3.edm" hidden="1">#REF!</definedName>
    <definedName name="_bdm.77E3DB1B6A6448A88B71EC33708EDC78.edm" hidden="1">#REF!</definedName>
    <definedName name="_bdm.78B77DCD689A43EC883A79537C2E8408.edm" hidden="1">#REF!</definedName>
    <definedName name="_bdm.7959C39354BF4F3ABC81E2A6699346C1.edm" hidden="1">#REF!</definedName>
    <definedName name="_bdm.7BF116DE38A64470B4E18265DDE92DC0.edm" hidden="1">#REF!</definedName>
    <definedName name="_bdm.7C94300BA80D11D6B6520010A48BFF38.edm" hidden="1">#REF!</definedName>
    <definedName name="_bdm.7EE93FC3EF8B41A381740C6EDDE1E054.edm" hidden="1">#REF!</definedName>
    <definedName name="_bdm.803667C105C14884B5A6CB9298713468.edm" hidden="1">#REF!</definedName>
    <definedName name="_bdm.8307BA67B82942F3B5BCD3344CBC5EA0.edm" hidden="1">#REF!</definedName>
    <definedName name="_bdm.85F99FB96C224F8482F51D4AD9BF740E.edm" hidden="1">#REF!</definedName>
    <definedName name="_bdm.866793E555E14A479418CA224096B3B9.edm" hidden="1">#REF!</definedName>
    <definedName name="_bdm.88A58D7B814543689B428BE93961D66B.edm" hidden="1">#REF!</definedName>
    <definedName name="_bdm.8AC5004ED9FA4C37B745BB1EC4596BFF.edm" hidden="1">#REF!</definedName>
    <definedName name="_bdm.8FA12110325948FA90C24B82026C71CD.edm" hidden="1">#REF!</definedName>
    <definedName name="_bdm.90CC2D6911E2485397367C6312CF7CDC.edm" hidden="1">#REF!</definedName>
    <definedName name="_bdm.983AC8FF6A984882AED2CBB174642E2F.edm" hidden="1">#REF!</definedName>
    <definedName name="_bdm.98509675FE304640BD0099E41768A4DB.edm" hidden="1">#REF!</definedName>
    <definedName name="_bdm.98A6FF5E6E104127A4B3CE93863956AF.edm" hidden="1">#REF!</definedName>
    <definedName name="_bdm.9E3E5EABC4C4443999EB4F89DEA4A0DF.edm" hidden="1">#REF!</definedName>
    <definedName name="_bdm.9ECB63A12E9F4B9C88C18E0F4ACCFD11.edm" hidden="1">#REF!</definedName>
    <definedName name="_bdm.A00643E6A705476084A5F584F5934ED2.edm" hidden="1">#REF!</definedName>
    <definedName name="_bdm.A5079CC3AD6E11D6B69B0010A4860669.edm" hidden="1">#REF!</definedName>
    <definedName name="_bdm.A5ACD67A37814D1AB59C856D8B6F2DF0.edm" hidden="1">#REF!</definedName>
    <definedName name="_bdm.A835AB8BC6DC49ACA93174F81142BACB.edm" hidden="1">#REF!</definedName>
    <definedName name="_bdm.A9433F36D27E42998843D0702B3398CD.edm" hidden="1">#REF!</definedName>
    <definedName name="_bdm.AF0260D98F014A439AD500890343FDE2.edm" hidden="1">#REF!</definedName>
    <definedName name="_bdm.B91BF0A48D364AFE9B706DF758CA7B5B.edm" hidden="1">#REF!</definedName>
    <definedName name="_bdm.BA759280F5E749B5B422ACEA85F12DF4.edm" hidden="1">#REF!</definedName>
    <definedName name="_bdm.BD31A80AEEEA484CB8BF6204D87FC893.edm" hidden="1">#REF!</definedName>
    <definedName name="_bdm.C0D40696085E49099831902D538DE4D4.edm" hidden="1">#REF!</definedName>
    <definedName name="_bdm.C194714595F14520AA52E6501AEC9C62.edm" hidden="1">#REF!</definedName>
    <definedName name="_bdm.C3E13177535448438E150830D06FAD0D.edm" hidden="1">#REF!</definedName>
    <definedName name="_bdm.C7B3922953C6426985C1620C7A3C7EDA.edm" hidden="1">#REF!</definedName>
    <definedName name="_bdm.C8F013BD01514019A9E0C4F939E2056B.edm" hidden="1">#REF!</definedName>
    <definedName name="_bdm.CBCE49ABF7054C7D8635DCFD42C62637.edm" hidden="1">#REF!</definedName>
    <definedName name="_bdm.CF26F181CFB149089A150B6E9984E88F.edm" hidden="1">#REF!</definedName>
    <definedName name="_bdm.D43A6B2A947B4EA9A42335B05D28E8EB.edm" hidden="1">#REF!</definedName>
    <definedName name="_bdm.D5FAA374367241959C322560ED7F8A37.edm" hidden="1">#REF!</definedName>
    <definedName name="_bdm.DA40FBE9A21F45CAAF44C89D86D767E0.edm" hidden="1">#REF!</definedName>
    <definedName name="_bdm.E759967588A5442C9B723120C8E73070.edm" hidden="1">#REF!</definedName>
    <definedName name="_bdm.E8E49C6DF7BD45AE9D28FA42F05764BF.edm" hidden="1">#REF!</definedName>
    <definedName name="_bdm.F0C4D0A06132474297172E66F1E293D3.edm" hidden="1">#REF!</definedName>
    <definedName name="_bdm.F16CDE695B5146908E78CDD9F5E25F2C.edm" hidden="1">#REF!</definedName>
    <definedName name="_bdm.FA5944A4D7D644CA8283449B5AE2024F.edm" hidden="1">#REF!</definedName>
    <definedName name="_bdm.FastTrackBookmark.6_19_2005_7_04_22_PM.edm" hidden="1">#REF!</definedName>
    <definedName name="_bdm.FastTrackBookmark.8_9_2005_9_50_48_AM.edm" hidden="1">#REF!</definedName>
    <definedName name="_bdm.FB06355068A6473E8BFD84F095498EEF.edm" hidden="1">#REF!</definedName>
    <definedName name="_bdm.FD8F10FA8D994788AC408DD34035755E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Q4.2" hidden="1">#REF!</definedName>
    <definedName name="_BQ4.3" hidden="1">#REF!</definedName>
    <definedName name="_c" localSheetId="6">{"Fiesta Facer Page",#N/A,FALSE,"Q_C_S";"Fiesta Main Page",#N/A,FALSE,"V_L";"Fiesta 95BP Struct",#N/A,FALSE,"StructBP";"Fiesta Post 95BP Struct",#N/A,FALSE,"AdjStructBP"}</definedName>
    <definedName name="_c" localSheetId="13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83" localSheetId="6">{0,0,0,0;0,0,0,0;0,0,0,0}</definedName>
    <definedName name="_c83" localSheetId="13" hidden="1">{0,0,0,0;0,0,0,0;0,0,0,0}</definedName>
    <definedName name="_c83" hidden="1">{0,0,0,0;0,0,0,0;0,0,0,0}</definedName>
    <definedName name="_cd1" localSheetId="6">{#N/A,#N/A,FALSE,"Job Sched"}</definedName>
    <definedName name="_cd1" localSheetId="13" hidden="1">{#N/A,#N/A,FALSE,"Job Sched"}</definedName>
    <definedName name="_cd1" hidden="1">{#N/A,#N/A,FALSE,"Job Sched"}</definedName>
    <definedName name="_cd2" localSheetId="6">{#N/A,#N/A,FALSE,"Job Sched"}</definedName>
    <definedName name="_cd2" localSheetId="13" hidden="1">{#N/A,#N/A,FALSE,"Job Sched"}</definedName>
    <definedName name="_cd2" hidden="1">{#N/A,#N/A,FALSE,"Job Sched"}</definedName>
    <definedName name="_CD3" localSheetId="6">{#N/A,#N/A,FALSE,"Job Sched"}</definedName>
    <definedName name="_CD3" localSheetId="13" hidden="1">{#N/A,#N/A,FALSE,"Job Sched"}</definedName>
    <definedName name="_CD3" hidden="1">{#N/A,#N/A,FALSE,"Job Sched"}</definedName>
    <definedName name="_cd4" localSheetId="6">{#N/A,#N/A,FALSE,"Job Sched"}</definedName>
    <definedName name="_cd4" localSheetId="13" hidden="1">{#N/A,#N/A,FALSE,"Job Sched"}</definedName>
    <definedName name="_cd4" hidden="1">{#N/A,#N/A,FALSE,"Job Sched"}</definedName>
    <definedName name="_Cd5" localSheetId="6">{#N/A,#N/A,FALSE,"A"}</definedName>
    <definedName name="_Cd5" localSheetId="13" hidden="1">{#N/A,#N/A,FALSE,"A"}</definedName>
    <definedName name="_Cd5" hidden="1">{#N/A,#N/A,FALSE,"A"}</definedName>
    <definedName name="_cd8" localSheetId="6">{#N/A,#N/A,FALSE,"Job Sched"}</definedName>
    <definedName name="_cd8" localSheetId="13" hidden="1">{#N/A,#N/A,FALSE,"Job Sched"}</definedName>
    <definedName name="_cd8" hidden="1">{#N/A,#N/A,FALSE,"Job Sched"}</definedName>
    <definedName name="_dff1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 hidden="1">#REF!</definedName>
    <definedName name="_fdf1" localSheetId="6">{"incomemth",#N/A,TRUE,"forecast00";"incomepercentmth",#N/A,TRUE,"forecast00";"balancemth",#N/A,TRUE,"forecast00";"cashmth",#N/A,TRUE,"forecast00";"covenantmth",#N/A,TRUE,"forecast00"}</definedName>
    <definedName name="_fdf1" localSheetId="13" hidden="1">{"incomemth",#N/A,TRUE,"forecast00";"incomepercentmth",#N/A,TRUE,"forecast00";"balancemth",#N/A,TRUE,"forecast00";"cashmth",#N/A,TRUE,"forecast00";"covenantmth",#N/A,TRUE,"forecast00"}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localSheetId="6">{"incomemth",#N/A,TRUE,"forecast00";"incomepercentmth",#N/A,TRUE,"forecast00";"balancemth",#N/A,TRUE,"forecast00";"cashmth",#N/A,TRUE,"forecast00";"covenantmth",#N/A,TRUE,"forecast00"}</definedName>
    <definedName name="_fdg1" localSheetId="13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hidden="1">#REF!</definedName>
    <definedName name="_xlnm._FilterDatabase" localSheetId="7" hidden="1">'Future Events'!$A$1:$J$65</definedName>
    <definedName name="_xlnm._FilterDatabase" hidden="1">#REF!</definedName>
    <definedName name="_gf1" localSheetId="6">{"incomemth",#N/A,TRUE,"forecast00";"incomepercentmth",#N/A,TRUE,"forecast00";"balancemth",#N/A,TRUE,"forecast00";"cashmth",#N/A,TRUE,"forecast00";"covenantmth",#N/A,TRUE,"forecast00"}</definedName>
    <definedName name="_gf1" localSheetId="13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4" hidden="1">"CT300001Latest          "</definedName>
    <definedName name="_GSRATES_5" hidden="1">"CT300001Latest          "</definedName>
    <definedName name="_GSRATES_6" hidden="1">"CT300001Latest          "</definedName>
    <definedName name="_GSRATES_COUNT" hidden="1">1</definedName>
    <definedName name="_hod2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6">{"PVGraph2",#N/A,FALSE,"PV Data"}</definedName>
    <definedName name="_I2" localSheetId="13" hidden="1">{"PVGraph2",#N/A,FALSE,"PV Data"}</definedName>
    <definedName name="_I2" hidden="1">{"PVGraph2",#N/A,FALSE,"PV Data"}</definedName>
    <definedName name="_I3" localSheetId="6">{"PVGraph2",#N/A,FALSE,"PV Data"}</definedName>
    <definedName name="_I3" localSheetId="13" hidden="1">{"PVGraph2",#N/A,FALSE,"PV Data"}</definedName>
    <definedName name="_I3" hidden="1">{"PVGraph2",#N/A,FALSE,"PV Data"}</definedName>
    <definedName name="_ibo2" localSheetId="6">{#N/A,#N/A,FALSE,"Summary";#N/A,#N/A,FALSE,"Projections";#N/A,#N/A,FALSE,"Mkt Mults";#N/A,#N/A,FALSE,"DCF";#N/A,#N/A,FALSE,"Accr Dil";#N/A,#N/A,FALSE,"PIC LBO";#N/A,#N/A,FALSE,"MULT10_4";#N/A,#N/A,FALSE,"CBI LBO"}</definedName>
    <definedName name="_ibo2" localSheetId="13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Key" hidden="1">#REF!</definedName>
    <definedName name="_Key1" hidden="1">#REF!</definedName>
    <definedName name="_key2" hidden="1">#REF!</definedName>
    <definedName name="_key3" hidden="1">#REF!</definedName>
    <definedName name="_key4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 hidden="1">#REF!</definedName>
    <definedName name="_mfg2" localSheetId="6">{"PAGE 1",#N/A,FALSE,"WEST_OT"}</definedName>
    <definedName name="_mfg2" localSheetId="13" hidden="1">{"PAGE 1",#N/A,FALSE,"WEST_OT"}</definedName>
    <definedName name="_mfg2" hidden="1">{"PAGE 1",#N/A,FALSE,"WEST_OT"}</definedName>
    <definedName name="_mfg3" localSheetId="6">{"PAGE 1",#N/A,FALSE,"WEST_OT"}</definedName>
    <definedName name="_mfg3" localSheetId="13" hidden="1">{"PAGE 1",#N/A,FALSE,"WEST_OT"}</definedName>
    <definedName name="_mfg3" hidden="1">{"PAGE 1",#N/A,FALSE,"WEST_OT"}</definedName>
    <definedName name="_mfg4" localSheetId="6">{"PAGE 1",#N/A,FALSE,"WEST_OT"}</definedName>
    <definedName name="_mfg4" localSheetId="13" hidden="1">{"PAGE 1",#N/A,FALSE,"WEST_OT"}</definedName>
    <definedName name="_mfg4" hidden="1">{"PAGE 1",#N/A,FALSE,"WEST_OT"}</definedName>
    <definedName name="_mfg5" localSheetId="6">{"PAGE 1",#N/A,FALSE,"WEST_OT"}</definedName>
    <definedName name="_mfg5" localSheetId="13" hidden="1">{"PAGE 1",#N/A,FALSE,"WEST_OT"}</definedName>
    <definedName name="_mfg5" hidden="1">{"PAGE 1",#N/A,FALSE,"WEST_OT"}</definedName>
    <definedName name="_nm12" localSheetId="6">{#N/A,#N/A,FALSE,"Land";#N/A,#N/A,FALSE,"Cost Analysis";"Summary",#N/A,FALSE,"Equipment"}</definedName>
    <definedName name="_nm12" localSheetId="13" hidden="1">{#N/A,#N/A,FALSE,"Land";#N/A,#N/A,FALSE,"Cost Analysis";"Summary",#N/A,FALSE,"Equipment"}</definedName>
    <definedName name="_nm12" hidden="1">{#N/A,#N/A,FALSE,"Land";#N/A,#N/A,FALSE,"Cost Analysis";"Summary",#N/A,FALSE,"Equipment"}</definedName>
    <definedName name="_nv2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k1" localSheetId="6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1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2" hidden="1">#REF!</definedName>
    <definedName name="_Order1" hidden="1">255</definedName>
    <definedName name="_Order2" hidden="1">0</definedName>
    <definedName name="_Order39" hidden="1">255</definedName>
    <definedName name="_P00comps1" hidden="1">#REF!</definedName>
    <definedName name="_P00comps2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d1" localSheetId="6">{#N/A,#N/A,FALSE,"Projections";#N/A,#N/A,FALSE,"Multiples Valuation";#N/A,#N/A,FALSE,"LBO";#N/A,#N/A,FALSE,"Multiples_Sensitivity";#N/A,#N/A,FALSE,"Summary"}</definedName>
    <definedName name="_rod1" localSheetId="13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ort" hidden="1">#REF!</definedName>
    <definedName name="_sort1" hidden="1">#REF!</definedName>
    <definedName name="_t1" localSheetId="6">{"bs",#N/A,FALSE,"SCF"}</definedName>
    <definedName name="_t1" localSheetId="13" hidden="1">{"bs",#N/A,FALSE,"SCF"}</definedName>
    <definedName name="_t1" hidden="1">{"bs",#N/A,FALSE,"SCF"}</definedName>
    <definedName name="_t9" localSheetId="6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 localSheetId="1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w1" localSheetId="6">{"PVGraph2",#N/A,FALSE,"PV Data"}</definedName>
    <definedName name="_w1" localSheetId="13" hidden="1">{"PVGraph2",#N/A,FALSE,"PV Data"}</definedName>
    <definedName name="_w1" hidden="1">{"PVGraph2",#N/A,FALSE,"PV Data"}</definedName>
    <definedName name="_w2" localSheetId="6">{"PVGraph2",#N/A,FALSE,"PV Data"}</definedName>
    <definedName name="_w2" localSheetId="13" hidden="1">{"PVGraph2",#N/A,FALSE,"PV Data"}</definedName>
    <definedName name="_w2" hidden="1">{"PVGraph2",#N/A,FALSE,"PV Data"}</definedName>
    <definedName name="_w3" localSheetId="6">{"PVGraph2",#N/A,FALSE,"PV Data"}</definedName>
    <definedName name="_w3" localSheetId="13" hidden="1">{"PVGraph2",#N/A,FALSE,"PV Data"}</definedName>
    <definedName name="_w3" hidden="1">{"PVGraph2",#N/A,FALSE,"PV Data"}</definedName>
    <definedName name="_wrn2" localSheetId="6">{#N/A,#N/A,FALSE,"ASSUMPTIONS";#N/A,#N/A,FALSE,"Valuation Summary";"page1",#N/A,FALSE,"PRESENTATION";"page2",#N/A,FALSE,"PRESENTATION";#N/A,#N/A,FALSE,"ORIGINAL_ROLLBACK"}</definedName>
    <definedName name="_wrn2" localSheetId="13" hidden="1">{#N/A,#N/A,FALSE,"ASSUMPTIONS";#N/A,#N/A,FALSE,"Valuation Summary";"page1",#N/A,FALSE,"PRESENTATION";"page2",#N/A,FALSE,"PRESENTATION";#N/A,#N/A,FALSE,"ORIGINAL_ROLLBACK"}</definedName>
    <definedName name="_wrn2" hidden="1">{#N/A,#N/A,FALSE,"ASSUMPTIONS";#N/A,#N/A,FALSE,"Valuation Summary";"page1",#N/A,FALSE,"PRESENTATION";"page2",#N/A,FALSE,"PRESENTATION";#N/A,#N/A,FALSE,"ORIGINAL_ROLLBACK"}</definedName>
    <definedName name="_wrn3" localSheetId="6">{#N/A,#N/A,FALSE,"ASSUMPTIONS";#N/A,#N/A,FALSE,"Valuation Summary";"page1",#N/A,FALSE,"PRESENTATION";"page2",#N/A,FALSE,"PRESENTATION";#N/A,#N/A,FALSE,"ORIGINAL_ROLLBACK"}</definedName>
    <definedName name="_wrn3" localSheetId="13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4" localSheetId="6">{"general",#N/A,FALSE,"Assumptions"}</definedName>
    <definedName name="_wrn4" localSheetId="13" hidden="1">{"general",#N/A,FALSE,"Assumptions"}</definedName>
    <definedName name="_wrn4" hidden="1">{"general",#N/A,FALSE,"Assumptions"}</definedName>
    <definedName name="_x1" localSheetId="6">{#N/A,#N/A,FALSE,"FY97";#N/A,#N/A,FALSE,"FY98";#N/A,#N/A,FALSE,"FY99";#N/A,#N/A,FALSE,"FY00";#N/A,#N/A,FALSE,"FY01"}</definedName>
    <definedName name="_x1" localSheetId="13" hidden="1">{#N/A,#N/A,FALSE,"FY97";#N/A,#N/A,FALSE,"FY98";#N/A,#N/A,FALSE,"FY99";#N/A,#N/A,FALSE,"FY00";#N/A,#N/A,FALSE,"FY01"}</definedName>
    <definedName name="_x1" hidden="1">{#N/A,#N/A,FALSE,"FY97";#N/A,#N/A,FALSE,"FY98";#N/A,#N/A,FALSE,"FY99";#N/A,#N/A,FALSE,"FY00";#N/A,#N/A,FALSE,"FY01"}</definedName>
    <definedName name="_y2" localSheetId="6">{"PVGraph2",#N/A,FALSE,"PV Data"}</definedName>
    <definedName name="_y2" localSheetId="13" hidden="1">{"PVGraph2",#N/A,FALSE,"PV Data"}</definedName>
    <definedName name="_y2" hidden="1">{"PVGraph2",#N/A,FALSE,"PV Data"}</definedName>
    <definedName name="_Zcomps2" localSheetId="6">{0,0,0,0,1,-4105,28.3464566929134,28.3464566929134,28.346456664,28.3464566929134,2,TRUE,TRUE,FALSE,FALSE,FALSE,#N/A,1,85,1,2,"","","","&amp;""Kennerly,Roman Bold""&amp;14L&amp;12EHMAN &amp;14 B&amp;12ROTHERS","","",FALSE}</definedName>
    <definedName name="_Zcomps2" localSheetId="13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a" localSheetId="6">{"histincome",#N/A,FALSE,"hyfins";"closing balance",#N/A,FALSE,"hyfins"}</definedName>
    <definedName name="a" localSheetId="13" hidden="1">{"histincome",#N/A,FALSE,"hyfins";"closing balance",#N/A,FALSE,"hyfins"}</definedName>
    <definedName name="a" hidden="1">{"histincome",#N/A,FALSE,"hyfins";"closing balance",#N/A,FALSE,"hyfins"}</definedName>
    <definedName name="a." localSheetId="6">{#N/A,#N/A,TRUE,"KEY DATA";#N/A,#N/A,TRUE,"KEY DATA Base Case";#N/A,#N/A,TRUE,"JULY";#N/A,#N/A,TRUE,"AUG";#N/A,#N/A,TRUE,"SEPT";#N/A,#N/A,TRUE,"3Q"}</definedName>
    <definedName name="a." localSheetId="13" hidden="1">{#N/A,#N/A,TRUE,"KEY DATA";#N/A,#N/A,TRUE,"KEY DATA Base Case";#N/A,#N/A,TRUE,"JULY";#N/A,#N/A,TRUE,"AUG";#N/A,#N/A,TRUE,"SEPT";#N/A,#N/A,TRUE,"3Q"}</definedName>
    <definedName name="a." hidden="1">{#N/A,#N/A,TRUE,"KEY DATA";#N/A,#N/A,TRUE,"KEY DATA Base Case";#N/A,#N/A,TRUE,"JULY";#N/A,#N/A,TRUE,"AUG";#N/A,#N/A,TRUE,"SEPT";#N/A,#N/A,TRUE,"3Q"}</definedName>
    <definedName name="A.." localSheetId="6">{#N/A,#N/A,TRUE,"KEY DATA";#N/A,#N/A,TRUE,"KEY DATA Base Case";#N/A,#N/A,TRUE,"JULY";#N/A,#N/A,TRUE,"AUG";#N/A,#N/A,TRUE,"SEPT";#N/A,#N/A,TRUE,"3Q"}</definedName>
    <definedName name="A.." localSheetId="13" hidden="1">{#N/A,#N/A,TRUE,"KEY DATA";#N/A,#N/A,TRUE,"KEY DATA Base Case";#N/A,#N/A,TRUE,"JULY";#N/A,#N/A,TRUE,"AUG";#N/A,#N/A,TRUE,"SEPT";#N/A,#N/A,TRUE,"3Q"}</definedName>
    <definedName name="A.." hidden="1">{#N/A,#N/A,TRUE,"KEY DATA";#N/A,#N/A,TRUE,"KEY DATA Base Case";#N/A,#N/A,TRUE,"JULY";#N/A,#N/A,TRUE,"AUG";#N/A,#N/A,TRUE,"SEPT";#N/A,#N/A,TRUE,"3Q"}</definedName>
    <definedName name="a4tfgaw4twe" hidden="1">#REF!</definedName>
    <definedName name="aa" localSheetId="6">{#N/A,#N/A,TRUE,"KEY DATA";#N/A,#N/A,TRUE,"KEY DATA Base Case";#N/A,#N/A,TRUE,"JULY";#N/A,#N/A,TRUE,"AUG";#N/A,#N/A,TRUE,"SEPT";#N/A,#N/A,TRUE,"3Q"}</definedName>
    <definedName name="aa" localSheetId="13" hidden="1">{#N/A,#N/A,TRUE,"KEY DATA";#N/A,#N/A,TRUE,"KEY DATA Base Case";#N/A,#N/A,TRUE,"JULY";#N/A,#N/A,TRUE,"AUG";#N/A,#N/A,TRUE,"SEPT";#N/A,#N/A,TRUE,"3Q"}</definedName>
    <definedName name="aa" hidden="1">{#N/A,#N/A,TRUE,"KEY DATA";#N/A,#N/A,TRUE,"KEY DATA Base Case";#N/A,#N/A,TRUE,"JULY";#N/A,#N/A,TRUE,"AUG";#N/A,#N/A,TRUE,"SEPT";#N/A,#N/A,TRUE,"3Q"}</definedName>
    <definedName name="aaa" localSheetId="6">{#N/A,#N/A,TRUE,"Falcons_Standalone";#N/A,#N/A,TRUE,"Target_Input";#N/A,#N/A,TRUE,"Target_Calendarized"}</definedName>
    <definedName name="aaa" localSheetId="13" hidden="1">{#N/A,#N/A,TRUE,"Falcons_Standalone";#N/A,#N/A,TRUE,"Target_Input";#N/A,#N/A,TRUE,"Target_Calendarized"}</definedName>
    <definedName name="aaa" hidden="1">{#N/A,#N/A,TRUE,"Falcons_Standalone";#N/A,#N/A,TRUE,"Target_Input";#N/A,#N/A,TRUE,"Target_Calendarized"}</definedName>
    <definedName name="aaa." localSheetId="6">{#N/A,#N/A,TRUE,"KEY DATA";#N/A,#N/A,TRUE,"KEY DATA Base Case";#N/A,#N/A,TRUE,"JULY";#N/A,#N/A,TRUE,"AUG";#N/A,#N/A,TRUE,"SEPT";#N/A,#N/A,TRUE,"3Q"}</definedName>
    <definedName name="aaa." localSheetId="13" hidden="1">{#N/A,#N/A,TRUE,"KEY DATA";#N/A,#N/A,TRUE,"KEY DATA Base Case";#N/A,#N/A,TRUE,"JULY";#N/A,#N/A,TRUE,"AUG";#N/A,#N/A,TRUE,"SEPT";#N/A,#N/A,TRUE,"3Q"}</definedName>
    <definedName name="aaa." hidden="1">{#N/A,#N/A,TRUE,"KEY DATA";#N/A,#N/A,TRUE,"KEY DATA Base Case";#N/A,#N/A,TRUE,"JULY";#N/A,#N/A,TRUE,"AUG";#N/A,#N/A,TRUE,"SEPT";#N/A,#N/A,TRUE,"3Q"}</definedName>
    <definedName name="AAA_DOCTOPS" hidden="1">"AAA_SET"</definedName>
    <definedName name="AAA_duser" hidden="1">"OFF"</definedName>
    <definedName name="aaaa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aaa" localSheetId="6">{"Outflow 1",#N/A,FALSE,"Outflows-Inflows";"Outflow 2",#N/A,FALSE,"Outflows-Inflows";"Inflow 1",#N/A,FALSE,"Outflows-Inflows";"Inflow 2",#N/A,FALSE,"Outflows-Inflows"}</definedName>
    <definedName name="aaaaaaa" localSheetId="13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sdf" localSheetId="6">{#N/A,#N/A,TRUE,"GEM Total";#N/A,#N/A,TRUE,"Final Assembly";#N/A,#N/A,TRUE,"Cleaning";#N/A,#N/A,TRUE,"Schooping,Clearing";#N/A,#N/A,TRUE,"Winding"}</definedName>
    <definedName name="aaaasdf" localSheetId="13" hidden="1">{#N/A,#N/A,TRUE,"GEM Total";#N/A,#N/A,TRUE,"Final Assembly";#N/A,#N/A,TRUE,"Cleaning";#N/A,#N/A,TRUE,"Schooping,Clearing";#N/A,#N/A,TRUE,"Winding"}</definedName>
    <definedName name="aaaasdf" hidden="1">{#N/A,#N/A,TRUE,"GEM Total";#N/A,#N/A,TRUE,"Final Assembly";#N/A,#N/A,TRUE,"Cleaning";#N/A,#N/A,TRUE,"Schooping,Clearing";#N/A,#N/A,TRUE,"Winding"}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localSheetId="6">{#N/A,#N/A,FALSE,"Projections";#N/A,#N/A,FALSE,"Multiples Valuation";#N/A,#N/A,FALSE,"LBO";#N/A,#N/A,FALSE,"Multiples_Sensitivity";#N/A,#N/A,FALSE,"Summary"}</definedName>
    <definedName name="aabb" localSheetId="13" hidden="1">{#N/A,#N/A,FALSE,"Projections";#N/A,#N/A,FALSE,"Multiples Valuation";#N/A,#N/A,FALSE,"LBO";#N/A,#N/A,FALSE,"Multiples_Sensitivity";#N/A,#N/A,FALSE,"Summary"}</definedName>
    <definedName name="aabb" hidden="1">{#N/A,#N/A,FALSE,"Projections";#N/A,#N/A,FALSE,"Multiples Valuation";#N/A,#N/A,FALSE,"LBO";#N/A,#N/A,FALSE,"Multiples_Sensitivity";#N/A,#N/A,FALSE,"Summary"}</definedName>
    <definedName name="aas" hidden="1">"c4426"</definedName>
    <definedName name="aasd" localSheetId="6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localSheetId="1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a" localSheetId="6">{"PrintView",#N/A,FALSE,"Cash &amp; Equiv";"PrintView",#N/A,FALSE,"Investments";"Other Assets Print View",#N/A,FALSE,"Other Assets"}</definedName>
    <definedName name="aasda" localSheetId="13" hidden="1">{"PrintView",#N/A,FALSE,"Cash &amp; Equiv";"PrintView",#N/A,FALSE,"Investments";"Other Assets Print View",#N/A,FALSE,"Other Assets"}</definedName>
    <definedName name="aasda" hidden="1">{"PrintView",#N/A,FALSE,"Cash &amp; Equiv";"PrintView",#N/A,FALSE,"Investments";"Other Assets Print View",#N/A,FALSE,"Other Assets"}</definedName>
    <definedName name="aasdfa" localSheetId="6">{"rtn",#N/A,FALSE,"RTN";"tables",#N/A,FALSE,"RTN";"cf",#N/A,FALSE,"CF";"stats",#N/A,FALSE,"Stats";"prop",#N/A,FALSE,"Prop"}</definedName>
    <definedName name="aasdfa" localSheetId="13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BC" hidden="1">#REF!</definedName>
    <definedName name="abcd" localSheetId="6">{"histincome",#N/A,FALSE,"hyfins";"closing balance",#N/A,FALSE,"hyfins"}</definedName>
    <definedName name="abcd" localSheetId="13" hidden="1">{"histincome",#N/A,FALSE,"hyfins";"closing balance",#N/A,FALSE,"hyfins"}</definedName>
    <definedName name="abcd" hidden="1">{"histincome",#N/A,FALSE,"hyfins";"closing balance",#N/A,FALSE,"hyfins"}</definedName>
    <definedName name="abv" localSheetId="6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1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6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1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Database" hidden="1">"G:\GC\INV\554\07_01\554_0701.mdb"</definedName>
    <definedName name="Accretion.Dilution2" localSheetId="6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df" hidden="1">#REF!</definedName>
    <definedName name="adfadf" localSheetId="6">{"histincome",#N/A,FALSE,"hyfins";"closing balance",#N/A,FALSE,"hyfins"}</definedName>
    <definedName name="adfadf" localSheetId="13" hidden="1">{"histincome",#N/A,FALSE,"hyfins";"closing balance",#N/A,FALSE,"hyfins"}</definedName>
    <definedName name="adfadf" hidden="1">{"histincome",#N/A,FALSE,"hyfins";"closing balance",#N/A,FALSE,"hyfins"}</definedName>
    <definedName name="adfda" localSheetId="6">{"histincome",#N/A,FALSE,"hyfins";"closing balance",#N/A,FALSE,"hyfins"}</definedName>
    <definedName name="adfda" localSheetId="13" hidden="1">{"histincome",#N/A,FALSE,"hyfins";"closing balance",#N/A,FALSE,"hyfins"}</definedName>
    <definedName name="adfda" hidden="1">{"histincome",#N/A,FALSE,"hyfins";"closing balance",#N/A,FALSE,"hyfins"}</definedName>
    <definedName name="adfdasfasd" localSheetId="6">{"histincome",#N/A,FALSE,"hyfins";"closing balance",#N/A,FALSE,"hyfins"}</definedName>
    <definedName name="adfdasfasd" localSheetId="13" hidden="1">{"histincome",#N/A,FALSE,"hyfins";"closing balance",#N/A,FALSE,"hyfins"}</definedName>
    <definedName name="adfdasfasd" hidden="1">{"histincome",#N/A,FALSE,"hyfins";"closing balance",#N/A,FALSE,"hyfins"}</definedName>
    <definedName name="adfj" localSheetId="6">{"bs",#N/A,FALSE,"SCF"}</definedName>
    <definedName name="adfj" localSheetId="13" hidden="1">{"bs",#N/A,FALSE,"SCF"}</definedName>
    <definedName name="adfj" hidden="1">{"bs",#N/A,FALSE,"SCF"}</definedName>
    <definedName name="adg" localSheetId="6">{"'Sheet1'!$A$1:$O$40"}</definedName>
    <definedName name="adg" localSheetId="13" hidden="1">{"'Sheet1'!$A$1:$O$40"}</definedName>
    <definedName name="adg" hidden="1">{"'Sheet1'!$A$1:$O$40"}</definedName>
    <definedName name="ads" localSheetId="6">{#N/A,#N/A,FALSE,"AD_Purch";#N/A,#N/A,FALSE,"Projections";#N/A,#N/A,FALSE,"DCF";#N/A,#N/A,FALSE,"Mkt Val"}</definedName>
    <definedName name="ads" localSheetId="13" hidden="1">{#N/A,#N/A,FALSE,"AD_Purch";#N/A,#N/A,FALSE,"Projections";#N/A,#N/A,FALSE,"DCF";#N/A,#N/A,FALSE,"Mkt Val"}</definedName>
    <definedName name="ads" hidden="1">{#N/A,#N/A,FALSE,"AD_Purch";#N/A,#N/A,FALSE,"Projections";#N/A,#N/A,FALSE,"DCF";#N/A,#N/A,FALSE,"Mkt Val"}</definedName>
    <definedName name="ADSAFD" localSheetId="6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localSheetId="1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localSheetId="6">{"bs",#N/A,FALSE,"SCF"}</definedName>
    <definedName name="adsf" localSheetId="13" hidden="1">{"bs",#N/A,FALSE,"SCF"}</definedName>
    <definedName name="adsf" hidden="1">{"bs",#N/A,FALSE,"SCF"}</definedName>
    <definedName name="adwsfklj" localSheetId="6">{"bs",#N/A,FALSE,"SCF"}</definedName>
    <definedName name="adwsfklj" localSheetId="13" hidden="1">{"bs",#N/A,FALSE,"SCF"}</definedName>
    <definedName name="adwsfklj" hidden="1">{"bs",#N/A,FALSE,"SCF"}</definedName>
    <definedName name="aeradfaereawt" localSheetId="6">{"var_page",#N/A,FALSE,"template"}</definedName>
    <definedName name="aeradfaereawt" localSheetId="13" hidden="1">{"var_page",#N/A,FALSE,"template"}</definedName>
    <definedName name="aeradfaereawt" hidden="1">{"var_page",#N/A,FALSE,"template"}</definedName>
    <definedName name="aertqet" localSheetId="6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localSheetId="1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f" hidden="1">#REF!</definedName>
    <definedName name="Africa" localSheetId="6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localSheetId="1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g" localSheetId="6">{"incomemth",#N/A,TRUE,"forecast00";"incomepercentmth",#N/A,TRUE,"forecast00";"balancemth",#N/A,TRUE,"forecast00";"cashmth",#N/A,TRUE,"forecast00";"covenantmth",#N/A,TRUE,"forecast00"}</definedName>
    <definedName name="ag" localSheetId="13" hidden="1">{"incomemth",#N/A,TRUE,"forecast00";"incomepercentmth",#N/A,TRUE,"forecast00";"balancemth",#N/A,TRUE,"forecast00";"cashmth",#N/A,TRUE,"forecast00";"covenantmth",#N/A,TRUE,"forecast00"}</definedName>
    <definedName name="ag" hidden="1">{"incomemth",#N/A,TRUE,"forecast00";"incomepercentmth",#N/A,TRUE,"forecast00";"balancemth",#N/A,TRUE,"forecast00";"cashmth",#N/A,TRUE,"forecast00";"covenantmth",#N/A,TRUE,"forecast00"}</definedName>
    <definedName name="akl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ndo" localSheetId="6">{"'下期集計（10.27迄・速報値）'!$Q$16"}</definedName>
    <definedName name="ando" localSheetId="13" hidden="1">{"'下期集計（10.27迄・速報値）'!$Q$16"}</definedName>
    <definedName name="ando" hidden="1">{"'下期集計（10.27迄・速報値）'!$Q$16"}</definedName>
    <definedName name="Annual" localSheetId="6">{"Outflow 1",#N/A,FALSE,"Outflows-Inflows";"Outflow 2",#N/A,FALSE,"Outflows-Inflows";"Inflow 1",#N/A,FALSE,"Outflows-Inflows";"Inflow 2",#N/A,FALSE,"Outflows-Inflows"}</definedName>
    <definedName name="Annual" localSheetId="13" hidden="1">{"Outflow 1",#N/A,FALSE,"Outflows-Inflows";"Outflow 2",#N/A,FALSE,"Outflows-Inflows";"Inflow 1",#N/A,FALSE,"Outflows-Inflows";"Inflow 2",#N/A,FALSE,"Outflows-Inflows"}</definedName>
    <definedName name="Annual" hidden="1">{"Outflow 1",#N/A,FALSE,"Outflows-Inflows";"Outflow 2",#N/A,FALSE,"Outflows-Inflows";"Inflow 1",#N/A,FALSE,"Outflows-Inflows";"Inflow 2",#N/A,FALSE,"Outflows-Inflows"}</definedName>
    <definedName name="anscount" hidden="1">1</definedName>
    <definedName name="app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rgqe" localSheetId="6">{#N/A,#N/A,FALSE,"puboff";#N/A,#N/A,FALSE,"financials";#N/A,#N/A,FALSE,"valuation";#N/A,#N/A,FALSE,"split"}</definedName>
    <definedName name="argqe" localSheetId="13" hidden="1">{#N/A,#N/A,FALSE,"puboff";#N/A,#N/A,FALSE,"financials";#N/A,#N/A,FALSE,"valuation";#N/A,#N/A,FALSE,"split"}</definedName>
    <definedName name="argqe" hidden="1">{#N/A,#N/A,FALSE,"puboff";#N/A,#N/A,FALSE,"financials";#N/A,#N/A,FALSE,"valuation";#N/A,#N/A,FALSE,"split"}</definedName>
    <definedName name="as" localSheetId="6">{#N/A,#N/A,FALSE,"Bank";#N/A,#N/A,FALSE,"Insurance";#N/A,#N/A,FALSE,"Thrift";#N/A,#N/A,FALSE,"HMO"}</definedName>
    <definedName name="as" localSheetId="13" hidden="1">{#N/A,#N/A,FALSE,"Bank";#N/A,#N/A,FALSE,"Insurance";#N/A,#N/A,FALSE,"Thrift";#N/A,#N/A,FALSE,"HMO"}</definedName>
    <definedName name="as" hidden="1">{#N/A,#N/A,FALSE,"Bank";#N/A,#N/A,FALSE,"Insurance";#N/A,#N/A,FALSE,"Thrift";#N/A,#N/A,FALSE,"HMO"}</definedName>
    <definedName name="as_1" localSheetId="6">{#N/A,#N/A,FALSE,"Bank";#N/A,#N/A,FALSE,"Insurance";#N/A,#N/A,FALSE,"Thrift";#N/A,#N/A,FALSE,"HMO"}</definedName>
    <definedName name="as_1" localSheetId="13" hidden="1">{#N/A,#N/A,FALSE,"Bank";#N/A,#N/A,FALSE,"Insurance";#N/A,#N/A,FALSE,"Thrift";#N/A,#N/A,FALSE,"HMO"}</definedName>
    <definedName name="as_1" hidden="1">{#N/A,#N/A,FALSE,"Bank";#N/A,#N/A,FALSE,"Insurance";#N/A,#N/A,FALSE,"Thrift";#N/A,#N/A,FALSE,"HMO"}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sd" localSheetId="6">{#N/A,#N/A,TRUE,"Acquirer_Cases_Input";#N/A,#N/A,TRUE,"Acquirer_Input";#N/A,#N/A,TRUE,"Acquirer"}</definedName>
    <definedName name="asdasd" localSheetId="13" hidden="1">{#N/A,#N/A,TRUE,"Acquirer_Cases_Input";#N/A,#N/A,TRUE,"Acquirer_Input";#N/A,#N/A,TRUE,"Acquirer"}</definedName>
    <definedName name="asdasd" hidden="1">{#N/A,#N/A,TRUE,"Acquirer_Cases_Input";#N/A,#N/A,TRUE,"Acquirer_Input";#N/A,#N/A,TRUE,"Acquirer"}</definedName>
    <definedName name="asdf" localSheetId="6">{#N/A,#N/A,TRUE,"KEY DATA";#N/A,#N/A,TRUE,"KEY DATA Base Case";#N/A,#N/A,TRUE,"JULY";#N/A,#N/A,TRUE,"AUG";#N/A,#N/A,TRUE,"SEPT";#N/A,#N/A,TRUE,"3Q"}</definedName>
    <definedName name="asdf" localSheetId="13" hidden="1">{#N/A,#N/A,TRUE,"KEY DATA";#N/A,#N/A,TRUE,"KEY DATA Base Case";#N/A,#N/A,TRUE,"JULY";#N/A,#N/A,TRUE,"AUG";#N/A,#N/A,TRUE,"SEPT";#N/A,#N/A,TRUE,"3Q"}</definedName>
    <definedName name="asdf" hidden="1">{#N/A,#N/A,TRUE,"KEY DATA";#N/A,#N/A,TRUE,"KEY DATA Base Case";#N/A,#N/A,TRUE,"JULY";#N/A,#N/A,TRUE,"AUG";#N/A,#N/A,TRUE,"SEPT";#N/A,#N/A,TRUE,"3Q"}</definedName>
    <definedName name="asdfas" localSheetId="6">{"print 1.6",#N/A,FALSE,"Sheet1";"print 2.6",#N/A,FALSE,"Sheet1";"print 3.6",#N/A,FALSE,"Sheet1";"print 4.6",#N/A,FALSE,"Sheet1";"print 5.6",#N/A,FALSE,"Sheet1";"print 6.6",#N/A,FALSE,"Sheet1"}</definedName>
    <definedName name="asdfas" localSheetId="13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6">{"print 1.6",#N/A,FALSE,"Sheet1";"print 2.6",#N/A,FALSE,"Sheet1";"print 3.6",#N/A,FALSE,"Sheet1";"print 4.6",#N/A,FALSE,"Sheet1";"print 5.6",#N/A,FALSE,"Sheet1";"print 6.6",#N/A,FALSE,"Sheet1"}</definedName>
    <definedName name="asdfasaa" localSheetId="13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g" localSheetId="6">{"rtn",#N/A,FALSE,"RTN";"tables",#N/A,FALSE,"RTN";"cf",#N/A,FALSE,"CF";"stats",#N/A,FALSE,"Stats";"prop",#N/A,FALSE,"Prop"}</definedName>
    <definedName name="asdfg" localSheetId="13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dfjkl" localSheetId="6">{"bs",#N/A,FALSE,"SCF"}</definedName>
    <definedName name="asdfjkl" localSheetId="13" hidden="1">{"bs",#N/A,FALSE,"SCF"}</definedName>
    <definedName name="asdfjkl" hidden="1">{"bs",#N/A,FALSE,"SCF"}</definedName>
    <definedName name="asdgasrgasdf" localSheetId="6">{"histincome",#N/A,FALSE,"hyfins";"closing balance",#N/A,FALSE,"hyfins"}</definedName>
    <definedName name="asdgasrgasdf" localSheetId="13" hidden="1">{"histincome",#N/A,FALSE,"hyfins";"closing balance",#N/A,FALSE,"hyfins"}</definedName>
    <definedName name="asdgasrgasdf" hidden="1">{"histincome",#N/A,FALSE,"hyfins";"closing balance",#N/A,FALSE,"hyfins"}</definedName>
    <definedName name="asfdasfad" localSheetId="6">{"histincome",#N/A,FALSE,"hyfins";"closing balance",#N/A,FALSE,"hyfins"}</definedName>
    <definedName name="asfdasfad" localSheetId="13" hidden="1">{"histincome",#N/A,FALSE,"hyfins";"closing balance",#N/A,FALSE,"hyfins"}</definedName>
    <definedName name="asfdasfad" hidden="1">{"histincome",#N/A,FALSE,"hyfins";"closing balance",#N/A,FALSE,"hyfins"}</definedName>
    <definedName name="asgg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s" localSheetId="6">{"print 1.6",#N/A,FALSE,"Sheet1";"print 2.6",#N/A,FALSE,"Sheet1";"print 3.6",#N/A,FALSE,"Sheet1";"print 4.6",#N/A,FALSE,"Sheet1";"print 5.6",#N/A,FALSE,"Sheet1";"print 6.6",#N/A,FALSE,"Sheet1"}</definedName>
    <definedName name="ass" localSheetId="13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localSheetId="6">{#N/A,#N/A,FALSE,"cpt"}</definedName>
    <definedName name="ass.all" localSheetId="13" hidden="1">{#N/A,#N/A,FALSE,"cpt"}</definedName>
    <definedName name="ass.all" hidden="1">{#N/A,#N/A,FALSE,"cpt"}</definedName>
    <definedName name="ass2.all" localSheetId="6">{#N/A,#N/A,FALSE,"cpt"}</definedName>
    <definedName name="ass2.all" localSheetId="13" hidden="1">{#N/A,#N/A,FALSE,"cpt"}</definedName>
    <definedName name="ass2.all" hidden="1">{#N/A,#N/A,FALSE,"cpt"}</definedName>
    <definedName name="asss" localSheetId="6">{"rtn",#N/A,FALSE,"RTN";"tables",#N/A,FALSE,"RTN";"cf",#N/A,FALSE,"CF";"stats",#N/A,FALSE,"Stats";"prop",#N/A,FALSE,"Prop"}</definedName>
    <definedName name="asss" localSheetId="13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umptios2" localSheetId="6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ustinTest" localSheetId="6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tinTest" localSheetId="13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 localSheetId="6">{#N/A,#N/A,FALSE,"Sheet1"}</definedName>
    <definedName name="AUto1" localSheetId="13" hidden="1">{#N/A,#N/A,FALSE,"Sheet1"}</definedName>
    <definedName name="AUto1" hidden="1">{#N/A,#N/A,FALSE,"Sheet1"}</definedName>
    <definedName name="AUto2" localSheetId="6">{#N/A,#N/A,FALSE,"Sheet1"}</definedName>
    <definedName name="AUto2" localSheetId="13" hidden="1">{#N/A,#N/A,FALSE,"Sheet1"}</definedName>
    <definedName name="AUto2" hidden="1">{#N/A,#N/A,FALSE,"Sheet1"}</definedName>
    <definedName name="aweruio" localSheetId="6">{"bs",#N/A,FALSE,"SCF"}</definedName>
    <definedName name="aweruio" localSheetId="13" hidden="1">{"bs",#N/A,FALSE,"SCF"}</definedName>
    <definedName name="aweruio" hidden="1">{"bs",#N/A,FALSE,"SCF"}</definedName>
    <definedName name="axe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" localSheetId="6">{"histincome",#N/A,FALSE,"hyfins";"closing balance",#N/A,FALSE,"hyfins"}</definedName>
    <definedName name="b" localSheetId="13" hidden="1">{"histincome",#N/A,FALSE,"hyfins";"closing balance",#N/A,FALSE,"hyfins"}</definedName>
    <definedName name="b" hidden="1">{"histincome",#N/A,FALSE,"hyfins";"closing balance",#N/A,FALSE,"hyfins"}</definedName>
    <definedName name="b.s" localSheetId="6">{"bs",#N/A,FALSE,"SCF"}</definedName>
    <definedName name="b.s" localSheetId="13" hidden="1">{"bs",#N/A,FALSE,"SCF"}</definedName>
    <definedName name="b.s" hidden="1">{"bs",#N/A,FALSE,"SCF"}</definedName>
    <definedName name="backup" localSheetId="6">{#N/A,#N/A,TRUE,"KEY DATA";#N/A,#N/A,TRUE,"KEY DATA Base Case";#N/A,#N/A,TRUE,"JULY";#N/A,#N/A,TRUE,"AUG";#N/A,#N/A,TRUE,"SEPT";#N/A,#N/A,TRUE,"3Q"}</definedName>
    <definedName name="backup" localSheetId="13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." localSheetId="6">{#N/A,#N/A,TRUE,"KEY DATA";#N/A,#N/A,TRUE,"KEY DATA Base Case";#N/A,#N/A,TRUE,"JULY";#N/A,#N/A,TRUE,"AUG";#N/A,#N/A,TRUE,"SEPT";#N/A,#N/A,TRUE,"3Q"}</definedName>
    <definedName name="backup." localSheetId="13" hidden="1">{#N/A,#N/A,TRUE,"KEY DATA";#N/A,#N/A,TRUE,"KEY DATA Base Case";#N/A,#N/A,TRUE,"JULY";#N/A,#N/A,TRUE,"AUG";#N/A,#N/A,TRUE,"SEPT";#N/A,#N/A,TRUE,"3Q"}</definedName>
    <definedName name="backup." hidden="1">{#N/A,#N/A,TRUE,"KEY DATA";#N/A,#N/A,TRUE,"KEY DATA Base Case";#N/A,#N/A,TRUE,"JULY";#N/A,#N/A,TRUE,"AUG";#N/A,#N/A,TRUE,"SEPT";#N/A,#N/A,TRUE,"3Q"}</definedName>
    <definedName name="BadLink" hidden="1">#REF!</definedName>
    <definedName name="bal.sh" localSheetId="6">{"bs",#N/A,FALSE,"SCF"}</definedName>
    <definedName name="bal.sh" localSheetId="13" hidden="1">{"bs",#N/A,FALSE,"SCF"}</definedName>
    <definedName name="bal.sh" hidden="1">{"bs",#N/A,FALSE,"SCF"}</definedName>
    <definedName name="Balance" localSheetId="6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localSheetId="1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b" localSheetId="6">{#N/A,#N/A,FALSE,"Consolidated Shipley";#N/A,#N/A,FALSE,"Consolidated PWB";#N/A,#N/A,FALSE,"Consolidated Micro"}</definedName>
    <definedName name="bb" localSheetId="13" hidden="1">{#N/A,#N/A,FALSE,"Consolidated Shipley";#N/A,#N/A,FALSE,"Consolidated PWB";#N/A,#N/A,FALSE,"Consolidated Micro"}</definedName>
    <definedName name="bb" hidden="1">{#N/A,#N/A,FALSE,"Consolidated Shipley";#N/A,#N/A,FALSE,"Consolidated PWB";#N/A,#N/A,FALSE,"Consolidated Micro"}</definedName>
    <definedName name="bbb" localSheetId="6">{#N/A,#N/A,FALSE,"Consolidated Shipley";#N/A,#N/A,FALSE,"Consolidated PWB";#N/A,#N/A,FALSE,"Consolidated Micro"}</definedName>
    <definedName name="bbb" localSheetId="13" hidden="1">{#N/A,#N/A,FALSE,"Consolidated Shipley";#N/A,#N/A,FALSE,"Consolidated PWB";#N/A,#N/A,FALSE,"Consolidated Micro"}</definedName>
    <definedName name="bbb" hidden="1">{#N/A,#N/A,FALSE,"Consolidated Shipley";#N/A,#N/A,FALSE,"Consolidated PWB";#N/A,#N/A,FALSE,"Consolidated Micro"}</definedName>
    <definedName name="bbbb" localSheetId="6">{"gross_margin1",#N/A,FALSE,"Gross Margin Detail";"gross_margin2",#N/A,FALSE,"Gross Margin Detail"}</definedName>
    <definedName name="bbbb" localSheetId="13" hidden="1">{"gross_margin1",#N/A,FALSE,"Gross Margin Detail";"gross_margin2",#N/A,FALSE,"Gross Margin Detail"}</definedName>
    <definedName name="bbbb" hidden="1">{"gross_margin1",#N/A,FALSE,"Gross Margin Detail";"gross_margin2",#N/A,FALSE,"Gross Margin Detail"}</definedName>
    <definedName name="bbbbb" localSheetId="6">{"historical acquirer",#N/A,FALSE,"Historical Performance";"historical target",#N/A,FALSE,"Historical Performance"}</definedName>
    <definedName name="bbbbb" localSheetId="13" hidden="1">{"historical acquirer",#N/A,FALSE,"Historical Performance";"historical target",#N/A,FALSE,"Historical Performance"}</definedName>
    <definedName name="bbbbb" hidden="1">{"historical acquirer",#N/A,FALSE,"Historical Performance";"historical target",#N/A,FALSE,"Historical Performance"}</definedName>
    <definedName name="bbbbbb" localSheetId="6">{#N/A,#N/A,TRUE,"Acquirer_Cases_Input";#N/A,#N/A,TRUE,"Acquirer_Input";#N/A,#N/A,TRUE,"Acquirer"}</definedName>
    <definedName name="bbbbbb" localSheetId="13" hidden="1">{#N/A,#N/A,TRUE,"Acquirer_Cases_Input";#N/A,#N/A,TRUE,"Acquirer_Input";#N/A,#N/A,TRUE,"Acquirer"}</definedName>
    <definedName name="bbbbbb" hidden="1">{#N/A,#N/A,TRUE,"Acquirer_Cases_Input";#N/A,#N/A,TRUE,"Acquirer_Input";#N/A,#N/A,TRUE,"Acquirer"}</definedName>
    <definedName name="bbbbbbb" localSheetId="6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 localSheetId="1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ear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 hidden="1">15</definedName>
    <definedName name="BG_Ins" hidden="1">4</definedName>
    <definedName name="BG_Mod" hidden="1">6</definedName>
    <definedName name="BILL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localSheetId="6">{"PAGE 1",#N/A,FALSE,"WEST_OT"}</definedName>
    <definedName name="bill1" localSheetId="13" hidden="1">{"PAGE 1",#N/A,FALSE,"WEST_OT"}</definedName>
    <definedName name="bill1" hidden="1">{"PAGE 1",#N/A,FALSE,"WEST_OT"}</definedName>
    <definedName name="bill2" localSheetId="6">{"PAGE 1",#N/A,FALSE,"WEST_OT"}</definedName>
    <definedName name="bill2" localSheetId="13" hidden="1">{"PAGE 1",#N/A,FALSE,"WEST_OT"}</definedName>
    <definedName name="bill2" hidden="1">{"PAGE 1",#N/A,FALSE,"WEST_OT"}</definedName>
    <definedName name="bill3" localSheetId="6">{"PAGE 1",#N/A,FALSE,"WEST_OT"}</definedName>
    <definedName name="bill3" localSheetId="13" hidden="1">{"PAGE 1",#N/A,FALSE,"WEST_OT"}</definedName>
    <definedName name="bill3" hidden="1">{"PAGE 1",#N/A,FALSE,"WEST_OT"}</definedName>
    <definedName name="billrev2" localSheetId="6">{"PAGE 1",#N/A,FALSE,"WEST_OT"}</definedName>
    <definedName name="billrev2" localSheetId="13" hidden="1">{"PAGE 1",#N/A,FALSE,"WEST_OT"}</definedName>
    <definedName name="billrev2" hidden="1">{"PAGE 1",#N/A,FALSE,"WEST_OT"}</definedName>
    <definedName name="bj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ANK" localSheetId="6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32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ridge" localSheetId="6">{"'Highlights'!$A$1:$M$123"}</definedName>
    <definedName name="Bridge" localSheetId="13" hidden="1">{"'Highlights'!$A$1:$M$123"}</definedName>
    <definedName name="Bridge" hidden="1">{"'Highlights'!$A$1:$M$123"}</definedName>
    <definedName name="BROWN" localSheetId="6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6">{#N/A,#N/A,FALSE,"Job Sched"}</definedName>
    <definedName name="bs" localSheetId="13" hidden="1">{#N/A,#N/A,FALSE,"Job Sched"}</definedName>
    <definedName name="bs" hidden="1">{#N/A,#N/A,FALSE,"Job Sched"}</definedName>
    <definedName name="BSIWhichPageSetup" hidden="1">1</definedName>
    <definedName name="BSIWhichPageSetup_0" hidden="1">"0þ"</definedName>
    <definedName name="bskdfj" localSheetId="6">{"bs",#N/A,FALSE,"SCF"}</definedName>
    <definedName name="bskdfj" localSheetId="13" hidden="1">{"bs",#N/A,FALSE,"SCF"}</definedName>
    <definedName name="bskdfj" hidden="1">{"bs",#N/A,FALSE,"SCF"}</definedName>
    <definedName name="bsl" localSheetId="6">{"bs",#N/A,FALSE,"SCF"}</definedName>
    <definedName name="bsl" localSheetId="13" hidden="1">{"bs",#N/A,FALSE,"SCF"}</definedName>
    <definedName name="bsl" hidden="1">{"bs",#N/A,FALSE,"SCF"}</definedName>
    <definedName name="bss" localSheetId="6">{"bs",#N/A,FALSE,"SCF"}</definedName>
    <definedName name="bss" localSheetId="13" hidden="1">{"bs",#N/A,FALSE,"SCF"}</definedName>
    <definedName name="bss" hidden="1">{"bs",#N/A,FALSE,"SCF"}</definedName>
    <definedName name="bst" localSheetId="6">{"bs",#N/A,FALSE,"SCF"}</definedName>
    <definedName name="bst" localSheetId="13" hidden="1">{"bs",#N/A,FALSE,"SCF"}</definedName>
    <definedName name="bst" hidden="1">{"bs",#N/A,FALSE,"SCF"}</definedName>
    <definedName name="bsth" localSheetId="6">{"bs",#N/A,FALSE,"SCF"}</definedName>
    <definedName name="bsth" localSheetId="13" hidden="1">{"bs",#N/A,FALSE,"SCF"}</definedName>
    <definedName name="bsth" hidden="1">{"bs",#N/A,FALSE,"SCF"}</definedName>
    <definedName name="bvwrg" localSheetId="6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1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ye" localSheetId="6">{#N/A,#N/A,FALSE,"Aging Summary";#N/A,#N/A,FALSE,"Ratio Analysis";#N/A,#N/A,FALSE,"Test 120 Day Accts";#N/A,#N/A,FALSE,"Tickmarks"}</definedName>
    <definedName name="bye" localSheetId="13" hidden="1">{#N/A,#N/A,FALSE,"Aging Summary";#N/A,#N/A,FALSE,"Ratio Analysis";#N/A,#N/A,FALSE,"Test 120 Day Accts";#N/A,#N/A,FALSE,"Tickmarks"}</definedName>
    <definedName name="bye" hidden="1">{#N/A,#N/A,FALSE,"Aging Summary";#N/A,#N/A,FALSE,"Ratio Analysis";#N/A,#N/A,FALSE,"Test 120 Day Accts";#N/A,#N/A,FALSE,"Tickmarks"}</definedName>
    <definedName name="cap.pos" localSheetId="6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localSheetId="1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localSheetId="6">{#N/A,#N/A,FALSE,"IPO";#N/A,#N/A,FALSE,"DCF";#N/A,#N/A,FALSE,"LBO";#N/A,#N/A,FALSE,"MULT_VAL";#N/A,#N/A,FALSE,"Status Quo";#N/A,#N/A,FALSE,"Recap"}</definedName>
    <definedName name="Capacity" localSheetId="13" hidden="1">{#N/A,#N/A,FALSE,"IPO";#N/A,#N/A,FALSE,"DCF";#N/A,#N/A,FALSE,"LBO";#N/A,#N/A,FALSE,"MULT_VAL";#N/A,#N/A,FALSE,"Status Quo";#N/A,#N/A,FALSE,"Recap"}</definedName>
    <definedName name="Capacity" hidden="1">{#N/A,#N/A,FALSE,"IPO";#N/A,#N/A,FALSE,"DCF";#N/A,#N/A,FALSE,"LBO";#N/A,#N/A,FALSE,"MULT_VAL";#N/A,#N/A,FALSE,"Status Quo";#N/A,#N/A,FALSE,"Recap"}</definedName>
    <definedName name="cawc" localSheetId="6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1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D5372A5_opts" hidden="1">"1, 5, 1, False, 2, False, False, , 0, False, False,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c" localSheetId="6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" localSheetId="1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c" localSheetId="6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 localSheetId="1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c" localSheetId="6">{#N/A,#N/A,FALSE,"SUM";#N/A,#N/A,FALSE,"Holding Cost ";#N/A,#N/A,FALSE,"2000 &amp; C3D";#N/A,#N/A,FALSE,"Disposal Costs";#N/A,#N/A,FALSE,"WIP";#N/A,#N/A,FALSE,"Fin Goods"}</definedName>
    <definedName name="cccc" localSheetId="13" hidden="1">{#N/A,#N/A,FALSE,"SUM";#N/A,#N/A,FALSE,"Holding Cost ";#N/A,#N/A,FALSE,"2000 &amp; C3D";#N/A,#N/A,FALSE,"Disposal Costs";#N/A,#N/A,FALSE,"WIP";#N/A,#N/A,FALSE,"Fin Goods"}</definedName>
    <definedName name="cccc" hidden="1">{#N/A,#N/A,FALSE,"SUM";#N/A,#N/A,FALSE,"Holding Cost ";#N/A,#N/A,FALSE,"2000 &amp; C3D";#N/A,#N/A,FALSE,"Disposal Costs";#N/A,#N/A,FALSE,"WIP";#N/A,#N/A,FALSE,"Fin Goods"}</definedName>
    <definedName name="ccccc" localSheetId="6">{"revenue detail 1",#N/A,FALSE,"Revenue Detail";"revenue detail 2",#N/A,FALSE,"Revenue Detail";"revenue detail 3",#N/A,FALSE,"Revenue Detail";"revenue detail 4",#N/A,FALSE,"Revenue Detail"}</definedName>
    <definedName name="ccccc" localSheetId="13" hidden="1">{"revenue detail 1",#N/A,FALSE,"Revenue Detail";"revenue detail 2",#N/A,FALSE,"Revenue Detail";"revenue detail 3",#N/A,FALSE,"Revenue Detail";"revenue detail 4",#N/A,FALSE,"Revenue Detail"}</definedName>
    <definedName name="ccccc" hidden="1">{"revenue detail 1",#N/A,FALSE,"Revenue Detail";"revenue detail 2",#N/A,FALSE,"Revenue Detail";"revenue detail 3",#N/A,FALSE,"Revenue Detail";"revenue detail 4",#N/A,FALSE,"Revenue Detail"}</definedName>
    <definedName name="cccccc" localSheetId="6">{#N/A,#N/A,TRUE,"Falcons_Standalone";#N/A,#N/A,TRUE,"Target_Input";#N/A,#N/A,TRUE,"Target_Calendarized"}</definedName>
    <definedName name="cccccc" localSheetId="13" hidden="1">{#N/A,#N/A,TRUE,"Falcons_Standalone";#N/A,#N/A,TRUE,"Target_Input";#N/A,#N/A,TRUE,"Target_Calendarized"}</definedName>
    <definedName name="cccccc" hidden="1">{#N/A,#N/A,TRUE,"Falcons_Standalone";#N/A,#N/A,TRUE,"Target_Input";#N/A,#N/A,TRUE,"Target_Calendarized"}</definedName>
    <definedName name="ccccccc" localSheetId="6">{"revenue graph",#N/A,FALSE,"Revenue Graph"}</definedName>
    <definedName name="ccccccc" localSheetId="13" hidden="1">{"revenue graph",#N/A,FALSE,"Revenue Graph"}</definedName>
    <definedName name="ccccccc" hidden="1">{"revenue graph",#N/A,FALSE,"Revenue Graph"}</definedName>
    <definedName name="cccccccc" localSheetId="6">{"Total",#N/A,FALSE,"Six Fields";"PDP",#N/A,FALSE,"Six Fields";"PNP",#N/A,FALSE,"Six Fields";"PUD",#N/A,FALSE,"Six Fields";"Prob",#N/A,FALSE,"Six Fields"}</definedName>
    <definedName name="cccccccc" localSheetId="13" hidden="1">{"Total",#N/A,FALSE,"Six Fields";"PDP",#N/A,FALSE,"Six Fields";"PNP",#N/A,FALSE,"Six Fields";"PUD",#N/A,FALSE,"Six Fields";"Prob",#N/A,FALSE,"Six Fields"}</definedName>
    <definedName name="cccccccc" hidden="1">{"Total",#N/A,FALSE,"Six Fields";"PDP",#N/A,FALSE,"Six Fields";"PNP",#N/A,FALSE,"Six Fields";"PUD",#N/A,FALSE,"Six Fields";"Prob",#N/A,FALSE,"Six Fields"}</definedName>
    <definedName name="ccccccccc" localSheetId="6">{"Sum1",#N/A,FALSE,"Reserve Report";"Sum2",#N/A,FALSE,"Reserve Report";"Sum3",#N/A,FALSE,"Reserve Report";"Sum4",#N/A,FALSE,"Reserve Report"}</definedName>
    <definedName name="ccccccccc" localSheetId="13" hidden="1">{"Sum1",#N/A,FALSE,"Reserve Report";"Sum2",#N/A,FALSE,"Reserve Report";"Sum3",#N/A,FALSE,"Reserve Report";"Sum4",#N/A,FALSE,"Reserve Report"}</definedName>
    <definedName name="ccccccccc" hidden="1">{"Sum1",#N/A,FALSE,"Reserve Report";"Sum2",#N/A,FALSE,"Reserve Report";"Sum3",#N/A,FALSE,"Reserve Report";"Sum4",#N/A,FALSE,"Reserve Report"}</definedName>
    <definedName name="cd0" localSheetId="13" hidden="1">{#N/A,#N/A,FALSE,"Job Sched"}</definedName>
    <definedName name="cd0" hidden="1">{#N/A,#N/A,FALSE,"Job Sched"}</definedName>
    <definedName name="CDW" localSheetId="6">{#N/A,#N/A,FALSE,"Job Sched"}</definedName>
    <definedName name="CDW" localSheetId="13" hidden="1">{#N/A,#N/A,FALSE,"Job Sched"}</definedName>
    <definedName name="CDW" hidden="1">{#N/A,#N/A,FALSE,"Job Sched"}</definedName>
    <definedName name="Change2" localSheetId="6">#REF!</definedName>
    <definedName name="Change2" hidden="1">#N/A</definedName>
    <definedName name="Change3" localSheetId="6">#REF!</definedName>
    <definedName name="Change3" hidden="1">#N/A</definedName>
    <definedName name="Change4" localSheetId="6">#REF!</definedName>
    <definedName name="Change4" hidden="1">#N/A</definedName>
    <definedName name="ChangeRange" localSheetId="6">#REF!</definedName>
    <definedName name="ChangeRange" hidden="1">#N/A</definedName>
    <definedName name="ChangeRange2" localSheetId="6">#REF!</definedName>
    <definedName name="ChangeRange2" hidden="1">#N/A</definedName>
    <definedName name="Charts" localSheetId="6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arts" localSheetId="1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art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iho" localSheetId="6">{"'下期集計（10.27迄・速報値）'!$Q$16"}</definedName>
    <definedName name="chiho" localSheetId="13" hidden="1">{"'下期集計（10.27迄・速報値）'!$Q$16"}</definedName>
    <definedName name="chiho" hidden="1">{"'下期集計（10.27迄・速報値）'!$Q$16"}</definedName>
    <definedName name="CIQANR_0cdc9bc9617447d9918b87c0498c940b" hidden="1">#REF!</definedName>
    <definedName name="CIQANR_157b185613f048f282bdddd768cc31e3" hidden="1">#REF!</definedName>
    <definedName name="CIQANR_18113b82c54b47d7b62173a743de6ade" hidden="1">#REF!</definedName>
    <definedName name="CIQANR_1830267ee08e4f81a28886312ed0ec5c" hidden="1">#REF!</definedName>
    <definedName name="CIQANR_19b71c4a10f440f69b1bee3059f53a69" hidden="1">#REF!</definedName>
    <definedName name="CIQANR_1f6e66a455ef4fe88016c991ae4b37ca" hidden="1">#REF!</definedName>
    <definedName name="CIQANR_2f5da5a31d07487e82e98a1bdd7ced7e" hidden="1">#REF!</definedName>
    <definedName name="CIQANR_2ff2df1710c04b7f84b65e4a6718d85d" hidden="1">#REF!</definedName>
    <definedName name="CIQANR_3413f8e2a79a4750b75899d22968ad34" hidden="1">#REF!</definedName>
    <definedName name="CIQANR_36889a98b1614032bb2308cb84381dd6" hidden="1">#REF!</definedName>
    <definedName name="CIQANR_39f9bc360016443185452b87fd3d9eec" hidden="1">#REF!</definedName>
    <definedName name="CIQANR_3af002bac10146bbb9a3de18eaef1400" hidden="1">#REF!</definedName>
    <definedName name="CIQANR_4ac146632eb84d16b942b9883adbd924" hidden="1">#REF!</definedName>
    <definedName name="CIQANR_4dda386863bf428e9e3a6a49f2ae944c" hidden="1">#REF!</definedName>
    <definedName name="CIQANR_5e13679c97334bce9ae37621e85a7616" hidden="1">#REF!</definedName>
    <definedName name="CIQANR_611ecffb907e444c86408143fad40851" hidden="1">#REF!</definedName>
    <definedName name="CIQANR_7027aaec95d94590b43439b7ddf20574" hidden="1">#REF!</definedName>
    <definedName name="CIQANR_717062aa10bb4e909ccf3a95d5560b21" hidden="1">#REF!</definedName>
    <definedName name="CIQANR_72913ad941b84e60b98d433df87ffce7" hidden="1">#REF!</definedName>
    <definedName name="CIQANR_77fb9279df8a493e8f5a709f63aaae99" hidden="1">#REF!</definedName>
    <definedName name="CIQANR_79fe43782c344a37bbd1794ff60680fb" hidden="1">#REF!</definedName>
    <definedName name="CIQANR_80f35069a89349f58857b20f3567e47c" hidden="1">#REF!</definedName>
    <definedName name="CIQANR_81dd27bdffba41b090884a3c67d2d439" hidden="1">#REF!</definedName>
    <definedName name="CIQANR_844de01878314ea5b4cfe0fc6a5d9232" hidden="1">#REF!</definedName>
    <definedName name="CIQANR_88c69f3a986b4777b9cdf6992a74d3dd" hidden="1">#REF!</definedName>
    <definedName name="CIQANR_93000237be504f62abac86c512938f4e" hidden="1">#REF!</definedName>
    <definedName name="CIQANR_9a7b7ac833294b6091b0ca37b516c297" hidden="1">#REF!</definedName>
    <definedName name="CIQANR_9ccc5add95ac4eefae02248b669d161c" hidden="1">#REF!</definedName>
    <definedName name="CIQANR_a38e4697e5dc42259580e9ca03909ec2" hidden="1">#REF!</definedName>
    <definedName name="CIQANR_a5aed6c2bd8e421cb2ae5ed5fcc5170d" hidden="1">#REF!</definedName>
    <definedName name="CIQANR_a5afacb2184747cd8c67ca7713db1aab" hidden="1">#REF!</definedName>
    <definedName name="CIQANR_a66129044a2c42d0933e997b5463698e" hidden="1">#REF!</definedName>
    <definedName name="CIQANR_acf9a5f478d741f2b7331bb557e4e755" hidden="1">#REF!</definedName>
    <definedName name="CIQANR_c792abc0d658466597f9228677b02083" hidden="1">#REF!</definedName>
    <definedName name="CIQANR_dd4c5f4e22d9498a934d71c4eb6eb4eb" hidden="1">#REF!</definedName>
    <definedName name="CIQANR_dfbd768cbfaf43ce93cdde13a94bc3b3" hidden="1">#REF!</definedName>
    <definedName name="CIQANR_e476d3bf91f946b9a1ff31e1cd44db92" hidden="1">#REF!</definedName>
    <definedName name="CIQANR_f076546fe15e43c588c020a5f0b9192b" hidden="1">#REF!</definedName>
    <definedName name="CIQANR_f08ea20652d441a880b1a2465b5b2b73" hidden="1">#REF!</definedName>
    <definedName name="CIQANR_f0aef81c6a40429a9ec399517ac493d6" hidden="1">#REF!</definedName>
    <definedName name="CIQANR_f31cc8cc57a040e7a506103a704cca6d" hidden="1">#REF!</definedName>
    <definedName name="CIQANR_f64a81b2bafc4adb852e91f8ef8a4538" hidden="1">#REF!</definedName>
    <definedName name="CIQWBGuid" hidden="1">"Laszeray Rolling Monthly v2 for Forecast.xlsx"</definedName>
    <definedName name="CIQWBGuil2" hidden="1">"c74735fe-0900-4227-b020-948d12a31ac8"</definedName>
    <definedName name="CIQWBInfo" hidden="1">"{ ""CIQVersion"":""9.49.2423.4439"" }"</definedName>
    <definedName name="CM_Accounts" hidden="1">#REF!</definedName>
    <definedName name="CM_Actual" hidden="1">#REF!</definedName>
    <definedName name="CM_Actual_Dump" hidden="1">#REF!</definedName>
    <definedName name="CM_ActualYTD_Dump" hidden="1">#REF!</definedName>
    <definedName name="CM_Budget_Dump" hidden="1">#REF!</definedName>
    <definedName name="CM_BudgetYTD_Dump" hidden="1">#REF!</definedName>
    <definedName name="CM_CONTR" hidden="1">#REF!</definedName>
    <definedName name="CM_DIV" hidden="1">#REF!</definedName>
    <definedName name="CM_GDWS" hidden="1">#REF!</definedName>
    <definedName name="Code" hidden="1">#REF!</definedName>
    <definedName name="comm" localSheetId="6">{"PAGE 1",#N/A,FALSE,"WEST_OT"}</definedName>
    <definedName name="comm" localSheetId="13" hidden="1">{"PAGE 1",#N/A,FALSE,"WEST_OT"}</definedName>
    <definedName name="comm" hidden="1">{"PAGE 1",#N/A,FALSE,"WEST_OT"}</definedName>
    <definedName name="comm2" localSheetId="6">{"PAGE 1",#N/A,FALSE,"WEST_OT"}</definedName>
    <definedName name="comm2" localSheetId="13" hidden="1">{"PAGE 1",#N/A,FALSE,"WEST_OT"}</definedName>
    <definedName name="comm2" hidden="1">{"PAGE 1",#N/A,FALSE,"WEST_OT"}</definedName>
    <definedName name="comm3" localSheetId="6">{"PAGE 1",#N/A,FALSE,"WEST_OT"}</definedName>
    <definedName name="comm3" localSheetId="13" hidden="1">{"PAGE 1",#N/A,FALSE,"WEST_OT"}</definedName>
    <definedName name="comm3" hidden="1">{"PAGE 1",#N/A,FALSE,"WEST_OT"}</definedName>
    <definedName name="commrev2" localSheetId="6">{"PAGE 1",#N/A,FALSE,"WEST_OT"}</definedName>
    <definedName name="commrev2" localSheetId="13" hidden="1">{"PAGE 1",#N/A,FALSE,"WEST_OT"}</definedName>
    <definedName name="commrev2" hidden="1">{"PAGE 1",#N/A,FALSE,"WEST_OT"}</definedName>
    <definedName name="ComparatEU" localSheetId="6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localSheetId="1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results" localSheetId="6">{"FCB_ALL",#N/A,FALSE,"FCB"}</definedName>
    <definedName name="compresults" localSheetId="13" hidden="1">{"FCB_ALL",#N/A,FALSE,"FCB"}</definedName>
    <definedName name="compresults" hidden="1">{"FCB_ALL",#N/A,FALSE,"FCB"}</definedName>
    <definedName name="coname">#REF!</definedName>
    <definedName name="consumer3" localSheetId="6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" localSheetId="13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tentsHelp" hidden="1">#REF!</definedName>
    <definedName name="ContentsHelp2" hidden="1">#REF!</definedName>
    <definedName name="Copy" localSheetId="6">{#N/A,#N/A,FALSE,"TESTING";#N/A,#N/A,FALSE,"TESTING"}</definedName>
    <definedName name="Copy" localSheetId="13" hidden="1">{#N/A,#N/A,FALSE,"TESTING";#N/A,#N/A,FALSE,"TESTING"}</definedName>
    <definedName name="Copy" hidden="1">{#N/A,#N/A,FALSE,"TESTING";#N/A,#N/A,FALSE,"TESTING"}</definedName>
    <definedName name="Corporate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un" localSheetId="6">{#N/A,#N/A,FALSE,"Assessment";#N/A,#N/A,FALSE,"Staffing";#N/A,#N/A,FALSE,"Hires";#N/A,#N/A,FALSE,"Assumptions"}</definedName>
    <definedName name="coun" localSheetId="13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RY" localSheetId="6">{#N/A,#N/A,FALSE,"Assessment";#N/A,#N/A,FALSE,"Staffing";#N/A,#N/A,FALSE,"Hires";#N/A,#N/A,FALSE,"Assumptions"}</definedName>
    <definedName name="COUNTRY" localSheetId="13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pvs" localSheetId="6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localSheetId="1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#REF!</definedName>
    <definedName name="CreateTable2" hidden="1">#REF!</definedName>
    <definedName name="csdfsa" hidden="1">"c4427"</definedName>
    <definedName name="Cwvu.GREY_ALL." hidden="1">#REF!</definedName>
    <definedName name="cxaa" localSheetId="6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1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Y_15_IS" hidden="1">#REF!</definedName>
    <definedName name="CY_16_IS" hidden="1">#REF!</definedName>
    <definedName name="d" localSheetId="6">{#N/A,#N/A,TRUE,"Acquirer_Cases_Input";#N/A,#N/A,TRUE,"Acquirer_Input";#N/A,#N/A,TRUE,"Acquirer"}</definedName>
    <definedName name="d" localSheetId="13" hidden="1">{#N/A,#N/A,TRUE,"Acquirer_Cases_Input";#N/A,#N/A,TRUE,"Acquirer_Input";#N/A,#N/A,TRUE,"Acquirer"}</definedName>
    <definedName name="d" hidden="1">{#N/A,#N/A,TRUE,"Acquirer_Cases_Input";#N/A,#N/A,TRUE,"Acquirer_Input";#N/A,#N/A,TRUE,"Acquirer"}</definedName>
    <definedName name="dafd" localSheetId="6">{"bs",#N/A,FALSE,"SCF"}</definedName>
    <definedName name="dafd" localSheetId="13" hidden="1">{"bs",#N/A,FALSE,"SCF"}</definedName>
    <definedName name="dafd" hidden="1">{"bs",#N/A,FALSE,"SCF"}</definedName>
    <definedName name="dafdsaf" localSheetId="6">{"incomemth",#N/A,TRUE,"forecast00";"incomepercentmth",#N/A,TRUE,"forecast00";"balancemth",#N/A,TRUE,"forecast00";"cashmth",#N/A,TRUE,"forecast00";"covenantmth",#N/A,TRUE,"forecast00"}</definedName>
    <definedName name="dafdsaf" localSheetId="13" hidden="1">{"incomemth",#N/A,TRUE,"forecast00";"incomepercentmth",#N/A,TRUE,"forecast00";"balancemth",#N/A,TRUE,"forecast00";"cashmth",#N/A,TRUE,"forecast00";"covenantmth",#N/A,TRUE,"forecast00"}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esra" hidden="1">#REF!</definedName>
    <definedName name="dafsaf1" localSheetId="6">{"incomemth",#N/A,TRUE,"forecast00";"incomepercentmth",#N/A,TRUE,"forecast00";"balancemth",#N/A,TRUE,"forecast00";"cashmth",#N/A,TRUE,"forecast00";"covenantmth",#N/A,TRUE,"forecast00"}</definedName>
    <definedName name="dafsaf1" localSheetId="13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bf" localSheetId="6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localSheetId="1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d" localSheetId="6">{#N/A,#N/A,FALSE,"AD_Purch";#N/A,#N/A,FALSE,"Projections";#N/A,#N/A,FALSE,"DCF";#N/A,#N/A,FALSE,"Mkt Val"}</definedName>
    <definedName name="dd" localSheetId="13" hidden="1">{#N/A,#N/A,FALSE,"AD_Purch";#N/A,#N/A,FALSE,"Projections";#N/A,#N/A,FALSE,"DCF";#N/A,#N/A,FALSE,"Mkt Val"}</definedName>
    <definedName name="dd" hidden="1">{#N/A,#N/A,FALSE,"AD_Purch";#N/A,#N/A,FALSE,"Projections";#N/A,#N/A,FALSE,"DCF";#N/A,#N/A,FALSE,"Mkt Val"}</definedName>
    <definedName name="ddd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d" localSheetId="6">{#N/A,#N/A,TRUE,"FOC_Product_Assumptions"}</definedName>
    <definedName name="dddd" localSheetId="13" hidden="1">{#N/A,#N/A,TRUE,"FOC_Product_Assumptions"}</definedName>
    <definedName name="dddd" hidden="1">{#N/A,#N/A,TRUE,"FOC_Product_Assumptions"}</definedName>
    <definedName name="ddddddddd" localSheetId="6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1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ebt000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localSheetId="6">{"Outflow 1",#N/A,FALSE,"Outflows-Inflows";"Outflow 2",#N/A,FALSE,"Outflows-Inflows";"Inflow 1",#N/A,FALSE,"Outflows-Inflows";"Inflow 2",#N/A,FALSE,"Outflows-Inflows"}</definedName>
    <definedName name="DebtService1" localSheetId="13" hidden="1">{"Outflow 1",#N/A,FALSE,"Outflows-Inflows";"Outflow 2",#N/A,FALSE,"Outflows-Inflows";"Inflow 1",#N/A,FALSE,"Outflows-Inflows";"Inflow 2",#N/A,FALSE,"Outflows-Inflows"}</definedName>
    <definedName name="DebtService1" hidden="1">{"Outflow 1",#N/A,FALSE,"Outflows-Inflows";"Outflow 2",#N/A,FALSE,"Outflows-Inflows";"Inflow 1",#N/A,FALSE,"Outflows-Inflows";"Inflow 2",#N/A,FALSE,"Outflows-Inflows"}</definedName>
    <definedName name="Dec95JobSched" localSheetId="6">{#N/A,#N/A,FALSE,"Job Sched"}</definedName>
    <definedName name="Dec95JobSched" localSheetId="13" hidden="1">{#N/A,#N/A,FALSE,"Job Sched"}</definedName>
    <definedName name="Dec95JobSched" hidden="1">{#N/A,#N/A,FALSE,"Job Sched"}</definedName>
    <definedName name="delete1" localSheetId="6">{"bs",#N/A,FALSE,"SCF"}</definedName>
    <definedName name="delete1" localSheetId="13" hidden="1">{"bs",#N/A,FALSE,"SCF"}</definedName>
    <definedName name="delete1" hidden="1">{"bs",#N/A,FALSE,"SCF"}</definedName>
    <definedName name="DeleteRange" hidden="1">#REF!</definedName>
    <definedName name="DeleteRange2" hidden="1">#REF!</definedName>
    <definedName name="DeleteTable" hidden="1">#REF!</definedName>
    <definedName name="DeleteTable2" hidden="1">#REF!</definedName>
    <definedName name="dfdfdfd" localSheetId="6">{#N/A,#N/A,FALSE,"AD_Purchase";#N/A,#N/A,FALSE,"Credit";#N/A,#N/A,FALSE,"PF Acquisition";#N/A,#N/A,FALSE,"PF Offering"}</definedName>
    <definedName name="dfdfdfd" localSheetId="13" hidden="1">{#N/A,#N/A,FALSE,"AD_Purchase";#N/A,#N/A,FALSE,"Credit";#N/A,#N/A,FALSE,"PF Acquisition";#N/A,#N/A,FALSE,"PF Offering"}</definedName>
    <definedName name="dfdfdfd" hidden="1">{#N/A,#N/A,FALSE,"AD_Purchase";#N/A,#N/A,FALSE,"Credit";#N/A,#N/A,FALSE,"PF Acquisition";#N/A,#N/A,FALSE,"PF Offering"}</definedName>
    <definedName name="dfdfdfldsjfd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f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localSheetId="6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localSheetId="1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localSheetId="6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1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6">{#N/A,#N/A,FALSE,"Assump";#N/A,#N/A,FALSE,"Income";#N/A,#N/A,FALSE,"Balance";#N/A,#N/A,FALSE,"DCF Pump";#N/A,#N/A,FALSE,"Trans Assump";#N/A,#N/A,FALSE,"Combined Income";#N/A,#N/A,FALSE,"Combined Balance"}</definedName>
    <definedName name="dfgdfgdfg" localSheetId="13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s" hidden="1">38922.8233796296</definedName>
    <definedName name="dfj" localSheetId="6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1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localSheetId="6">{"incomemth",#N/A,TRUE,"forecast00";"incomepercentmth",#N/A,TRUE,"forecast00";"balancemth",#N/A,TRUE,"forecast00";"cashmth",#N/A,TRUE,"forecast00";"covenantmth",#N/A,TRUE,"forecast00"}</definedName>
    <definedName name="dfjk" localSheetId="13" hidden="1">{"incomemth",#N/A,TRUE,"forecast00";"incomepercentmth",#N/A,TRUE,"forecast00";"balancemth",#N/A,TRUE,"forecast00";"cashmth",#N/A,TRUE,"forecast00";"covenantmth",#N/A,TRUE,"forecast00"}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localSheetId="6">{"bs",#N/A,FALSE,"SCF"}</definedName>
    <definedName name="dfjl" localSheetId="13" hidden="1">{"bs",#N/A,FALSE,"SCF"}</definedName>
    <definedName name="dfjl" hidden="1">{"bs",#N/A,FALSE,"SCF"}</definedName>
    <definedName name="dfjsldf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sfa" localSheetId="6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1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isplay_area_2" hidden="1">#REF!</definedName>
    <definedName name="DJK" localSheetId="6">{"bs",#N/A,FALSE,"SCF"}</definedName>
    <definedName name="DJK" localSheetId="13" hidden="1">{"bs",#N/A,FALSE,"SCF"}</definedName>
    <definedName name="DJK" hidden="1">{"bs",#N/A,FALSE,"SCF"}</definedName>
    <definedName name="dk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ma" localSheetId="6">{"GLI-Income Statement",#N/A,FALSE,"gli";"GLI - Balance Sheet Wksht",#N/A,FALSE,"gli";"GLI-Cash Flow",#N/A,FALSE,"gli";"GLI Qtrly Stats",#N/A,FALSE,"gli"}</definedName>
    <definedName name="dma" localSheetId="13" hidden="1">{"GLI-Income Statement",#N/A,FALSE,"gli";"GLI - Balance Sheet Wksht",#N/A,FALSE,"gli";"GLI-Cash Flow",#N/A,FALSE,"gli";"GLI Qtrly Stats",#N/A,FALSE,"gli"}</definedName>
    <definedName name="dma" hidden="1">{"GLI-Income Statement",#N/A,FALSE,"gli";"GLI - Balance Sheet Wksht",#N/A,FALSE,"gli";"GLI-Cash Flow",#N/A,FALSE,"gli";"GLI Qtrly Stats",#N/A,FALSE,"gli"}</definedName>
    <definedName name="DME_DocumentFlags" hidden="1">"1"</definedName>
    <definedName name="DME_DocumentID" hidden="1">"::ODMA\DME-MSE\London-36832"</definedName>
    <definedName name="DME_DocumentOpened" hidden="1">"True"</definedName>
    <definedName name="DME_DocumentTitle" hidden="1">"London-36832 - Standard Mini Model"</definedName>
    <definedName name="DME_LocalFile" hidden="1">"False"</definedName>
    <definedName name="DME_NextWindowNumber" hidden="1">"2"</definedName>
    <definedName name="doh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saf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uper" localSheetId="6">{#N/A,#N/A,FALSE,"Summary";#N/A,#N/A,FALSE,"Projections";#N/A,#N/A,FALSE,"Mkt Mults";#N/A,#N/A,FALSE,"DCF";#N/A,#N/A,FALSE,"Accr Dil";#N/A,#N/A,FALSE,"PIC LBO";#N/A,#N/A,FALSE,"MULT10_4";#N/A,#N/A,FALSE,"CBI LBO"}</definedName>
    <definedName name="Duper" localSheetId="13" hidden="1">{#N/A,#N/A,FALSE,"Summary";#N/A,#N/A,FALSE,"Projections";#N/A,#N/A,FALSE,"Mkt Mults";#N/A,#N/A,FALSE,"DCF";#N/A,#N/A,FALSE,"Accr Dil";#N/A,#N/A,FALSE,"PIC LBO";#N/A,#N/A,FALSE,"MULT10_4";#N/A,#N/A,FALSE,"CBI LBO"}</definedName>
    <definedName name="Duper" hidden="1">{#N/A,#N/A,FALSE,"Summary";#N/A,#N/A,FALSE,"Projections";#N/A,#N/A,FALSE,"Mkt Mults";#N/A,#N/A,FALSE,"DCF";#N/A,#N/A,FALSE,"Accr Dil";#N/A,#N/A,FALSE,"PIC LBO";#N/A,#N/A,FALSE,"MULT10_4";#N/A,#N/A,FALSE,"CBI LBO"}</definedName>
    <definedName name="dwcwc" localSheetId="6">{#N/A,#N/A,FALSE,"Assump";#N/A,#N/A,FALSE,"Income";#N/A,#N/A,FALSE,"Balance";#N/A,#N/A,FALSE,"DCF Pump";#N/A,#N/A,FALSE,"Trans Assump";#N/A,#N/A,FALSE,"Combined Income";#N/A,#N/A,FALSE,"Combined Balance"}</definedName>
    <definedName name="dwcwc" localSheetId="13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zfsdf" localSheetId="6">{#N/A,#N/A,TRUE,"FOC_Product_Assumptions"}</definedName>
    <definedName name="dzfsdf" localSheetId="13" hidden="1">{#N/A,#N/A,TRUE,"FOC_Product_Assumptions"}</definedName>
    <definedName name="dzfsdf" hidden="1">{#N/A,#N/A,TRUE,"FOC_Product_Assumptions"}</definedName>
    <definedName name="e" localSheetId="6">{"MonthlyRentRoll",#N/A,FALSE,"RentRoll"}</definedName>
    <definedName name="e" localSheetId="13" hidden="1">{"MonthlyRentRoll",#N/A,FALSE,"RentRoll"}</definedName>
    <definedName name="e" hidden="1">{"MonthlyRentRoll",#N/A,FALSE,"RentRoll"}</definedName>
    <definedName name="e5yy25y" localSheetId="6">{#N/A,#N/A,FALSE,"Projections";#N/A,#N/A,FALSE,"Contribution_Stock";#N/A,#N/A,FALSE,"PF_Combo_Stock";#N/A,#N/A,FALSE,"Projections";#N/A,#N/A,FALSE,"Contribution_Cash";#N/A,#N/A,FALSE,"PF_Combo_Cash";#N/A,#N/A,FALSE,"IPO_Cash"}</definedName>
    <definedName name="e5yy25y" localSheetId="13" hidden="1">{#N/A,#N/A,FALSE,"Projections";#N/A,#N/A,FALSE,"Contribution_Stock";#N/A,#N/A,FALSE,"PF_Combo_Stock";#N/A,#N/A,FALSE,"Projections";#N/A,#N/A,FALSE,"Contribution_Cash";#N/A,#N/A,FALSE,"PF_Combo_Cash";#N/A,#N/A,FALSE,"IPO_Cash"}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e" localSheetId="6">{#N/A,#N/A,FALSE,"OperatingAssumptions"}</definedName>
    <definedName name="ee" localSheetId="13" hidden="1">{#N/A,#N/A,FALSE,"OperatingAssumptions"}</definedName>
    <definedName name="ee" hidden="1">{#N/A,#N/A,FALSE,"OperatingAssumptions"}</definedName>
    <definedName name="EEE" localSheetId="6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" localSheetId="13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jejejej" localSheetId="6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" localSheetId="1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ng" localSheetId="6">{"PAGE 1",#N/A,FALSE,"WEST_OT"}</definedName>
    <definedName name="Eng" localSheetId="13" hidden="1">{"PAGE 1",#N/A,FALSE,"WEST_OT"}</definedName>
    <definedName name="Eng" hidden="1">{"PAGE 1",#N/A,FALSE,"WEST_OT"}</definedName>
    <definedName name="ENG_BI_EXE_NAME" hidden="1">"BICORE.EXE"</definedName>
    <definedName name="ENG_BI_EXEC_CMD_ARGS" hidden="1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 hidden="1">"91061191011161050730660760720850650850800720661200551230541341320951161191061191011161050730660940900700820700831021171111181211051191120851191061151261270951161191051271041171010770670810700830870920790910770610870720830660810580530550510680560490480"</definedName>
    <definedName name="ENG_BI_EXEC_CMD_ARGS_3" hidden="1">"68050050055059060058059058065056063056055060053054053064055066066057050068051051053059058054059058062052063055049054063050052058059059055050059058053053064050058054059059063054063054051054063049058062059064055060050058053060057057063055049059134123099"</definedName>
    <definedName name="ENG_BI_EXEC_CMD_ARGS_4" hidden="1">"117118099112105103081065087078068079077070062106110129128079091077069086074069081069082069082083070056126"</definedName>
    <definedName name="ENG_BI_GEN_LIC" hidden="1">"1"</definedName>
    <definedName name="ENG_BI_GEN_LIC_WS" hidden="1">"True"</definedName>
    <definedName name="ENG_BI_TLA2" hidden="1">"152;120;133;91;249;21;39;191;31;68;207;73;225;167;47;216;175;109;105;194;178;125;73;16;103;190;84;195;53;158;61;126"</definedName>
    <definedName name="EraseMe" localSheetId="6">{#N/A,#N/A,FALSE,"Job Sched"}</definedName>
    <definedName name="EraseMe" localSheetId="13" hidden="1">{#N/A,#N/A,FALSE,"Job Sched"}</definedName>
    <definedName name="EraseMe" hidden="1">{#N/A,#N/A,FALSE,"Job Sched"}</definedName>
    <definedName name="ero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t" localSheetId="6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 localSheetId="13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stimate" localSheetId="6">{#N/A,#N/A,FALSE,"P&amp;L";#N/A,#N/A,FALSE,"Capital";#N/A,#N/A,FALSE,"Summary";#N/A,#N/A,FALSE,"VAR Rec";#N/A,#N/A,FALSE,"EBIT Rec"}</definedName>
    <definedName name="Estimate" localSheetId="13" hidden="1">{#N/A,#N/A,FALSE,"P&amp;L";#N/A,#N/A,FALSE,"Capital";#N/A,#N/A,FALSE,"Summary";#N/A,#N/A,FALSE,"VAR Rec";#N/A,#N/A,FALSE,"EBIT Rec"}</definedName>
    <definedName name="Estimate" hidden="1">{#N/A,#N/A,FALSE,"P&amp;L";#N/A,#N/A,FALSE,"Capital";#N/A,#N/A,FALSE,"Summary";#N/A,#N/A,FALSE,"VAR Rec";#N/A,#N/A,FALSE,"EBIT Rec"}</definedName>
    <definedName name="ETR">#REF!</definedName>
    <definedName name="ev.Calculation" hidden="1">-4135</definedName>
    <definedName name="ev.Initialized" hidden="1">FALSE</definedName>
    <definedName name="EV__ALLOWSTOPEXPAND__" hidden="1">1</definedName>
    <definedName name="EV__CVPARAMS__" hidden="1">"Any by Any!$C$11:$D$32;"</definedName>
    <definedName name="EV__DECIMALSYMBOL__" hidden="1">"."</definedName>
    <definedName name="EV__EVCOM_OPTIONS__" hidden="1">8</definedName>
    <definedName name="EV__EXPOPTIONS__" hidden="1">1</definedName>
    <definedName name="EV__LASTREFTIME__" hidden="1">"(GMT-06:00)11/12/2013 10:29:55 AM"</definedName>
    <definedName name="EV__LOCKEDCVW__BILLING" hidden="1">"BTR_ALLBTR,BIN_AllBusInd,BAR_ALL_BUS_AREAS,CAT_ACTUAL,ACC_BillQ,CTY_ALLCTRY,P_GBP,DSR_TOTAL_DSRC,BDC_TOTAL_DC,MKT_ALLMK,2006.TOTAL,PIN_Total_Pind,PRD_1.1.2.2,STO_CGROUP_ALLAI,VEN_ALLVENDOR,PERIODIC,"</definedName>
    <definedName name="EV__LOCKEDCVW__BILLING_SUMMARY" hidden="1">"BIN_AllBusInd,CAT_BUDGET_v3,ACC_NetRev,G_EUR,DSR_TOTAL_DSRC,BDC_02,LOB_000,MKT_ALLMK,2008.TOTAL,PIN_Total_Pind,PRD_1.1.2.2,VEN_CGROUP_OTHER,YTD,"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INANCE_HP" hidden="1">"Balance_Sheet,ACTUAL,C_HPE,All_DS,2011.dec,YTD,"</definedName>
    <definedName name="EV__LOCKEDCVW__HBG_REPORTING" hidden="1">"BTO_AllBillTo,CAT_ACTUAL,ACC_NetRev,P_GBP,DSR_TOTAL_DSRC,BDC_TOTAL_DC,MKT_ALLMK,2007.SEP,PRD_TOTAL_HBG,SDT_TOTALSD,STO_AllSoldTo,VEN_ALLVENDOR,PERIODIC,"</definedName>
    <definedName name="EV__LOCKEDCVW__PAYROLL" hidden="1">"11250,Actual,TotalAdj,TOT_DEPT,ALLEMPL,TOT_COMPANY_PF,Tot_Job,TOT_LOB,ALLPAYGROUPS,2008.Total,ALLDATACONT,PERIODIC,"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TSL_REPORTING" hidden="1">"BTO_AllBillTo,CAT_ACTUAL,ACC_NetRev,P_GBP,DSR_TOTAL_DSRC,BDC_TOTAL_DC,MKT_ALLMK,0000.TOTAL,PRD_TOTAL_TSL,SDT_TOTALSD,STO_AllSoldTo,VEN_ALLVENDOR,PERIODIC,"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wr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localSheetId="6">{#N/A,#N/A,FALSE,"Projections";#N/A,#N/A,FALSE,"Multiples Valuation";#N/A,#N/A,FALSE,"LBO";#N/A,#N/A,FALSE,"Multiples_Sensitivity";#N/A,#N/A,FALSE,"Summary"}</definedName>
    <definedName name="ewrew" localSheetId="13" hidden="1">{#N/A,#N/A,FALSE,"Projections";#N/A,#N/A,FALSE,"Multiples Valuation";#N/A,#N/A,FALSE,"LBO";#N/A,#N/A,FALSE,"Multiples_Sensitivity";#N/A,#N/A,FALSE,"Summary"}</definedName>
    <definedName name="ewrew" hidden="1">{#N/A,#N/A,FALSE,"Projections";#N/A,#N/A,FALSE,"Multiples Valuation";#N/A,#N/A,FALSE,"LBO";#N/A,#N/A,FALSE,"Multiples_Sensitivity";#N/A,#N/A,FALSE,"Summary"}</definedName>
    <definedName name="ExactAddinConnection" hidden="1">"001"</definedName>
    <definedName name="ExactAddinConnection.001" hidden="1">"SQLVM;001;HenisDC;1"</definedName>
    <definedName name="ExactAddinConnection.002" hidden="1">"SQLVM;002;HenisDC;1"</definedName>
    <definedName name="ExactAddinConnection.003" hidden="1">"SQLVM;003;HenisDC;1"</definedName>
    <definedName name="ExactAddinConnection.005" hidden="1">"EVOLUTION;005;meberly;0"</definedName>
    <definedName name="ExactAddinConnection.100" hidden="1">"iecsa0600;100;staff.deublin;1"</definedName>
    <definedName name="ExactAddinReports" hidden="1">1</definedName>
    <definedName name="Exceptional" localSheetId="6">{#N/A,#N/A,FALSE,"TESTING";#N/A,#N/A,FALSE,"TESTING"}</definedName>
    <definedName name="Exceptional" localSheetId="13" hidden="1">{#N/A,#N/A,FALSE,"TESTING";#N/A,#N/A,FALSE,"TESTING"}</definedName>
    <definedName name="Exceptional" hidden="1">{#N/A,#N/A,FALSE,"TESTING";#N/A,#N/A,FALSE,"TESTING"}</definedName>
    <definedName name="Exp.2008" localSheetId="6">{"'WST RETAIL PRICE LIST Apr 9 (2)'!$B$1:$C$177"}</definedName>
    <definedName name="Exp.2008" localSheetId="13" hidden="1">{"'WST RETAIL PRICE LIST Apr 9 (2)'!$B$1:$C$177"}</definedName>
    <definedName name="Exp.2008" hidden="1">{"'WST RETAIL PRICE LIST Apr 9 (2)'!$B$1:$C$177"}</definedName>
    <definedName name="extr" localSheetId="6">{"P&amp;L",#N/A,TRUE,"HC";"P&amp;L Percents",#N/A,TRUE,"P&amp;L";"M&amp;A3 P&amp;L",#N/A,TRUE,"HC";"M&amp;A3 Pipeline",#N/A,TRUE,"HC";"Franchises",#N/A,TRUE,"HC";"CF&amp;BS",#N/A,TRUE,"HC"}</definedName>
    <definedName name="extr" localSheetId="13" hidden="1">{"P&amp;L",#N/A,TRUE,"HC";"P&amp;L Percents",#N/A,TRUE,"P&amp;L";"M&amp;A3 P&amp;L",#N/A,TRUE,"HC";"M&amp;A3 Pipeline",#N/A,TRUE,"HC";"Franchises",#N/A,TRUE,"HC";"CF&amp;BS",#N/A,TRUE,"HC"}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1" localSheetId="6">{"P&amp;L",#N/A,TRUE,"HC";"P&amp;L Percents",#N/A,TRUE,"P&amp;L";"M&amp;A3 P&amp;L",#N/A,TRUE,"HC";"M&amp;A3 Pipeline",#N/A,TRUE,"HC";"Franchises",#N/A,TRUE,"HC";"CF&amp;BS",#N/A,TRUE,"HC"}</definedName>
    <definedName name="extr1" localSheetId="13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eyteye" localSheetId="6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localSheetId="1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localSheetId="6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localSheetId="1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Code" hidden="1">#REF!</definedName>
    <definedName name="fd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6">{"incomemth",#N/A,TRUE,"forecast00";"incomepercentmth",#N/A,TRUE,"forecast00";"balancemth",#N/A,TRUE,"forecast00";"cashmth",#N/A,TRUE,"forecast00";"covenantmth",#N/A,TRUE,"forecast00"}</definedName>
    <definedName name="fdf" localSheetId="13" hidden="1">{"incomemth",#N/A,TRUE,"forecast00";"incomepercentmth",#N/A,TRUE,"forecast00";"balancemth",#N/A,TRUE,"forecast00";"cashmth",#N/A,TRUE,"forecast00";"covenantmth",#N/A,TRUE,"forecast00"}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 localSheetId="6">{"inputs raw data",#N/A,TRUE,"INPUT"}</definedName>
    <definedName name="fdfghdf" localSheetId="13" hidden="1">{"inputs raw data",#N/A,TRUE,"INPUT"}</definedName>
    <definedName name="fdfghdf" hidden="1">{"inputs raw data",#N/A,TRUE,"INPUT"}</definedName>
    <definedName name="FDFSD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localSheetId="6">{"incomemth",#N/A,TRUE,"forecast00";"incomepercentmth",#N/A,TRUE,"forecast00";"balancemth",#N/A,TRUE,"forecast00";"cashmth",#N/A,TRUE,"forecast00";"covenantmth",#N/A,TRUE,"forecast00"}</definedName>
    <definedName name="fdg" localSheetId="13" hidden="1">{"incomemth",#N/A,TRUE,"forecast00";"incomepercentmth",#N/A,TRUE,"forecast00";"balancemth",#N/A,TRUE,"forecast00";"cashmth",#N/A,TRUE,"forecast00";"covenantmth",#N/A,TRUE,"forecast00"}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hdfsdf" hidden="1">#REF!</definedName>
    <definedName name="fdjkei" localSheetId="6">{"bs",#N/A,FALSE,"SCF"}</definedName>
    <definedName name="fdjkei" localSheetId="13" hidden="1">{"bs",#N/A,FALSE,"SCF"}</definedName>
    <definedName name="fdjkei" hidden="1">{"bs",#N/A,FALSE,"SCF"}</definedName>
    <definedName name="FDP_0_1_aU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0_1_aUrv" hidden="1">#REF!</definedName>
    <definedName name="FDP_131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Drv" hidden="1">#REF!</definedName>
    <definedName name="FDP_140_1_aUrv" hidden="1">#REF!</definedName>
    <definedName name="FDP_141_1_aS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6_1_aUrv" hidden="1">#REF!</definedName>
    <definedName name="FDP_157_1_aSrv" hidden="1">#REF!</definedName>
    <definedName name="FDP_158_1_aUrv" hidden="1">#REF!</definedName>
    <definedName name="FDP_159_1_aSrv" hidden="1">#REF!</definedName>
    <definedName name="FDP_16_1_aDrv" hidden="1">#REF!</definedName>
    <definedName name="FDP_160_1_aUrv" hidden="1">#REF!</definedName>
    <definedName name="FDP_161_1_aSrv" hidden="1">#REF!</definedName>
    <definedName name="FDP_162_1_aUrv" hidden="1">#REF!</definedName>
    <definedName name="FDP_163_1_aSrv" hidden="1">#REF!</definedName>
    <definedName name="FDP_164_1_aUrv" hidden="1">#REF!</definedName>
    <definedName name="FDP_165_1_aS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Drv" hidden="1">#REF!</definedName>
    <definedName name="FDP_175_1_aDrv" hidden="1">#REF!</definedName>
    <definedName name="FDP_176_1_aDrv" hidden="1">#REF!</definedName>
    <definedName name="FDP_177_1_aDrv" hidden="1">#REF!</definedName>
    <definedName name="FDP_178_1_aDrv" hidden="1">#REF!</definedName>
    <definedName name="FDP_179_1_aUrv" hidden="1">#REF!</definedName>
    <definedName name="FDP_18_1_aUrv" hidden="1">#REF!</definedName>
    <definedName name="FDP_180_1_aUrv" hidden="1">#REF!</definedName>
    <definedName name="FDP_181_1_aUrv" hidden="1">#REF!</definedName>
    <definedName name="FDP_182_1_aDrv" hidden="1">#REF!</definedName>
    <definedName name="FDP_183_1_aDr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D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Drv" hidden="1">#REF!</definedName>
    <definedName name="FDP_200_1_aDdv" hidden="1">#REF!</definedName>
    <definedName name="FDP_201_1_aDdv" hidden="1">#REF!</definedName>
    <definedName name="FDP_202_1_aDdv" hidden="1">#REF!</definedName>
    <definedName name="FDP_203_1_aDdv" hidden="1">#REF!</definedName>
    <definedName name="FDP_204_1_aUrv" hidden="1">#REF!</definedName>
    <definedName name="FDP_205_1_aUrv" hidden="1">#REF!</definedName>
    <definedName name="FDP_206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Urv" hidden="1">#REF!</definedName>
    <definedName name="FDP_26_1_aUrv" hidden="1">#REF!</definedName>
    <definedName name="FDP_27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9_1_aU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D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Srv" hidden="1">#REF!</definedName>
    <definedName name="FDP_4_1_aS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Srv" hidden="1">#REF!</definedName>
    <definedName name="FDP_46_1_aSrv" hidden="1">#REF!</definedName>
    <definedName name="FDP_47_1_aUrv" hidden="1">#REF!</definedName>
    <definedName name="FDP_48_1_aUrv" hidden="1">#REF!</definedName>
    <definedName name="FDP_49_1_aUrv" hidden="1">#REF!</definedName>
    <definedName name="FDP_5_1_aDrv" hidden="1">#REF!</definedName>
    <definedName name="FDP_50_1_aUrv" hidden="1">#REF!</definedName>
    <definedName name="FDP_51_1_aUrv" hidden="1">#REF!</definedName>
    <definedName name="FDP_52_1_aS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S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5_1_aSrv" hidden="1">#REF!</definedName>
    <definedName name="FDP_66_1_aSrv" hidden="1">#REF!</definedName>
    <definedName name="FDP_67_1_aUrv" hidden="1">#REF!</definedName>
    <definedName name="FDP_68_1_aSrv" hidden="1">#REF!</definedName>
    <definedName name="FDP_69_1_aSrv" hidden="1">#REF!</definedName>
    <definedName name="FDP_7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5_1_aUrv" hidden="1">#REF!</definedName>
    <definedName name="FDP_76_1_aDrv" hidden="1">#REF!</definedName>
    <definedName name="FDP_77_1_aUrv" hidden="1">#REF!</definedName>
    <definedName name="FDP_78_1_aSrv" hidden="1">#REF!</definedName>
    <definedName name="FDP_79_1_aUrv" hidden="1">#REF!</definedName>
    <definedName name="FDP_8_1_aUrv" hidden="1">#REF!</definedName>
    <definedName name="FDP_80_1_aS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7_1_aUrv" hidden="1">#REF!</definedName>
    <definedName name="FDP_88_1_aSrv" hidden="1">#REF!</definedName>
    <definedName name="FDP_89_1_aUrv" hidden="1">#REF!</definedName>
    <definedName name="FDP_9_1_aSrv" hidden="1">#REF!</definedName>
    <definedName name="FDP_90_1_aUrv" hidden="1">#REF!</definedName>
    <definedName name="FDP_91_1_aUrv" hidden="1">#REF!</definedName>
    <definedName name="FDP_92_1_aSrv" hidden="1">#REF!</definedName>
    <definedName name="FDP_93_1_aUrv" hidden="1">#REF!</definedName>
    <definedName name="FDP_94_1_aSrv" hidden="1">#REF!</definedName>
    <definedName name="FDP_95_1_aUrv" hidden="1">#REF!</definedName>
    <definedName name="FDP_96_1_aUrv" hidden="1">#REF!</definedName>
    <definedName name="FDP_97_1_aSrv" hidden="1">#REF!</definedName>
    <definedName name="FDP_98_1_aDrv" hidden="1">#REF!</definedName>
    <definedName name="FDP_99_1_aUrv" hidden="1">#REF!</definedName>
    <definedName name="fds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a" localSheetId="6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" localSheetId="1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aefdf" hidden="1">#REF!</definedName>
    <definedName name="fdsfs" localSheetId="6">{"GLI-Income Statement",#N/A,FALSE,"gli";"GLI - Balance Sheet Wksht",#N/A,FALSE,"gli";"GLI-Cash Flow",#N/A,FALSE,"gli";"GLI Qtrly Stats",#N/A,FALSE,"gli"}</definedName>
    <definedName name="fdsfs" localSheetId="13" hidden="1">{"GLI-Income Statement",#N/A,FALSE,"gli";"GLI - Balance Sheet Wksht",#N/A,FALSE,"gli";"GLI-Cash Flow",#N/A,FALSE,"gli";"GLI Qtrly Stats",#N/A,FALSE,"gli"}</definedName>
    <definedName name="fdsfs" hidden="1">{"GLI-Income Statement",#N/A,FALSE,"gli";"GLI - Balance Sheet Wksht",#N/A,FALSE,"gli";"GLI-Cash Flow",#N/A,FALSE,"gli";"GLI Qtrly Stats",#N/A,FALSE,"gli"}</definedName>
    <definedName name="fdsfsd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6">{"incomemth",#N/A,TRUE,"forecast00";"incomepercentmth",#N/A,TRUE,"forecast00";"balancemth",#N/A,TRUE,"forecast00";"cashmth",#N/A,TRUE,"forecast00";"covenantmth",#N/A,TRUE,"forecast00"}</definedName>
    <definedName name="fdsg" localSheetId="13" hidden="1">{"incomemth",#N/A,TRUE,"forecast00";"incomepercentmth",#N/A,TRUE,"forecast00";"balancemth",#N/A,TRUE,"forecast00";"cashmth",#N/A,TRUE,"forecast00";"covenantmth",#N/A,TRUE,"forecast00"}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localSheetId="6">{"incomemth",#N/A,TRUE,"forecast00";"incomepercentmth",#N/A,TRUE,"forecast00";"balancemth",#N/A,TRUE,"forecast00";"cashmth",#N/A,TRUE,"forecast00";"covenantmth",#N/A,TRUE,"forecast00"}</definedName>
    <definedName name="fdsg1" localSheetId="13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" localSheetId="6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dfd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es" localSheetId="6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" localSheetId="13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Dan" localSheetId="6">{"Total Credit",#N/A,FALSE,"Credit";"Appraisal",#N/A,FALSE,"Credit";"Customer Service",#N/A,FALSE,"Credit";"Home Office",#N/A,FALSE,"Credit";"Quality Control",#N/A,FALSE,"Credit";"Risk Mgmt",#N/A,FALSE,"Credit"}</definedName>
    <definedName name="FeesDan" localSheetId="13" hidden="1">{"Total Credit",#N/A,FALSE,"Credit";"Appraisal",#N/A,FALSE,"Credit";"Customer Service",#N/A,FALSE,"Credit";"Home Office",#N/A,FALSE,"Credit";"Quality Control",#N/A,FALSE,"Credit";"Risk Mgmt",#N/A,FALSE,"Credit"}</definedName>
    <definedName name="FeesDan" hidden="1">{"Total Credit",#N/A,FALSE,"Credit";"Appraisal",#N/A,FALSE,"Credit";"Customer Service",#N/A,FALSE,"Credit";"Home Office",#N/A,FALSE,"Credit";"Quality Control",#N/A,FALSE,"Credit";"Risk Mgmt",#N/A,FALSE,"Credit"}</definedName>
    <definedName name="fefsf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gheath" hidden="1">#REF!</definedName>
    <definedName name="ff" localSheetId="6">{#N/A,#N/A,TRUE,"Summary";"AnnualRentRoll",#N/A,TRUE,"RentRoll";#N/A,#N/A,TRUE,"ExitStratigy";#N/A,#N/A,TRUE,"OperatingAssumptions"}</definedName>
    <definedName name="ff" localSheetId="13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FDFSD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localSheetId="6">{"NHEC",#N/A,FALSE,"NHEC"}</definedName>
    <definedName name="FFF" localSheetId="13" hidden="1">{"NHEC",#N/A,FALSE,"NHEC"}</definedName>
    <definedName name="FFF" hidden="1">{"NHEC",#N/A,FALSE,"NHEC"}</definedName>
    <definedName name="ffff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g" localSheetId="6">{#N/A,#N/A,FALSE,"Pooling";#N/A,#N/A,FALSE,"income";#N/A,#N/A,FALSE,"valuation"}</definedName>
    <definedName name="fg" localSheetId="13" hidden="1">{#N/A,#N/A,FALSE,"Pooling";#N/A,#N/A,FALSE,"income";#N/A,#N/A,FALSE,"valuation"}</definedName>
    <definedName name="fg" hidden="1">{#N/A,#N/A,FALSE,"Pooling";#N/A,#N/A,FALSE,"income";#N/A,#N/A,FALSE,"valuation"}</definedName>
    <definedName name="fgf" localSheetId="6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localSheetId="1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ina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jlk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otnoteDefaults" localSheetId="6">{1;TRUE;5;"Times New Roman";FALSE;FALSE;TRUE;18;8;-4.5;-4;1;2;2;1;TRUE;5}</definedName>
    <definedName name="FootnoteDefaults" localSheetId="13" hidden="1">{1;TRUE;5;"Times New Roman";FALSE;FALSE;TRUE;18;8;-4.5;-4;1;2;2;1;TRUE;5}</definedName>
    <definedName name="FootnoteDefaults" hidden="1">{1;TRUE;5;"Times New Roman";FALSE;FALSE;TRUE;18;8;-4.5;-4;1;2;2;1;TRUE;5}</definedName>
    <definedName name="forgetit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atted" localSheetId="6">{"'Sheet1'!$A$1:$F$101"}</definedName>
    <definedName name="Formatted" localSheetId="13" hidden="1">{"'Sheet1'!$A$1:$F$101"}</definedName>
    <definedName name="Formatted" hidden="1">{"'Sheet1'!$A$1:$F$101"}</definedName>
    <definedName name="fr" localSheetId="6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localSheetId="1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esfg" localSheetId="6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sdfsadf" localSheetId="6">{"investments",#N/A,FALSE,"CYTD CF Oct";"invest month",#N/A,FALSE,"CYTD CF Oct";"scf",#N/A,FALSE,"CYTD CF Oct";"direct method",#N/A,FALSE,"CYTD CF Oct";"indirect",#N/A,FALSE,"CYTD CF Oct"}</definedName>
    <definedName name="fsdfsadf" localSheetId="13" hidden="1">{"investments",#N/A,FALSE,"CYTD CF Oct";"invest month",#N/A,FALSE,"CYTD CF Oct";"scf",#N/A,FALSE,"CYTD CF Oct";"direct method",#N/A,FALSE,"CYTD CF Oct";"indirect",#N/A,FALSE,"CYTD CF Oct"}</definedName>
    <definedName name="fsdfsadf" hidden="1">{"investments",#N/A,FALSE,"CYTD CF Oct";"invest month",#N/A,FALSE,"CYTD CF Oct";"scf",#N/A,FALSE,"CYTD CF Oct";"direct method",#N/A,FALSE,"CYTD CF Oct";"indirect",#N/A,FALSE,"CYTD CF Oct"}</definedName>
    <definedName name="fsdsfafd" localSheetId="6">{"CSheet",#N/A,FALSE,"C";"SmCap",#N/A,FALSE,"VAL1";"GulfCoast",#N/A,FALSE,"VAL1";"nav",#N/A,FALSE,"NAV";"Summary",#N/A,FALSE,"NAV"}</definedName>
    <definedName name="fsdsfafd" localSheetId="13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ssadfd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 localSheetId="6">{"by departments",#N/A,TRUE,"FORECAST";"cap_headcount",#N/A,TRUE,"FORECAST";"summary",#N/A,TRUE,"FORECAST"}</definedName>
    <definedName name="fuck" localSheetId="13" hidden="1">{"by departments",#N/A,TRUE,"FORECAST";"cap_headcount",#N/A,TRUE,"FORECAST";"summary",#N/A,TRUE,"FORECAST"}</definedName>
    <definedName name="fuck" hidden="1">{"by departments",#N/A,TRUE,"FORECAST";"cap_headcount",#N/A,TRUE,"FORECAST";"summary",#N/A,TRUE,"FORECAST"}</definedName>
    <definedName name="fuckme" localSheetId="6">{"SUMMARY",#N/A,TRUE,"SUMMARY";"compare",#N/A,TRUE,"Vs. Bus Plan";"ratios",#N/A,TRUE,"Ratios";"REVENUE",#N/A,TRUE,"Revenue";"expenses",#N/A,TRUE,"1996 budget";"payroll",#N/A,TRUE,"Payroll"}</definedName>
    <definedName name="fuckme" localSheetId="13" hidden="1">{"SUMMARY",#N/A,TRUE,"SUMMARY";"compare",#N/A,TRUE,"Vs. Bus Plan";"ratios",#N/A,TRUE,"Ratios";"REVENUE",#N/A,TRUE,"Revenue";"expenses",#N/A,TRUE,"1996 budget";"payroll",#N/A,TRUE,"Payroll"}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1" hidden="1">#REF!</definedName>
    <definedName name="fundIV" localSheetId="6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localSheetId="1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6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1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ｇ" localSheetId="6">{"'下期集計（10.27迄・速報値）'!$Q$16"}</definedName>
    <definedName name="ｇ" localSheetId="13" hidden="1">{"'下期集計（10.27迄・速報値）'!$Q$16"}</definedName>
    <definedName name="ｇ" hidden="1">{"'下期集計（10.27迄・速報値）'!$Q$16"}</definedName>
    <definedName name="GA" localSheetId="6">{#N/A,#N/A,FALSE,"Job Sched"}</definedName>
    <definedName name="GA" localSheetId="13" hidden="1">{#N/A,#N/A,FALSE,"Job Sched"}</definedName>
    <definedName name="GA" hidden="1">{#N/A,#N/A,FALSE,"Job Sched"}</definedName>
    <definedName name="gb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d" localSheetId="6">{"'下期集計（10.27迄・速報値）'!$Q$16"}</definedName>
    <definedName name="gd" localSheetId="13" hidden="1">{"'下期集計（10.27迄・速報値）'!$Q$16"}</definedName>
    <definedName name="gd" hidden="1">{"'下期集計（10.27迄・速報値）'!$Q$16"}</definedName>
    <definedName name="gda" localSheetId="6">{"'下期集計（10.27迄・速報値）'!$Q$16"}</definedName>
    <definedName name="gda" localSheetId="13" hidden="1">{"'下期集計（10.27迄・速報値）'!$Q$16"}</definedName>
    <definedName name="gda" hidden="1">{"'下期集計（10.27迄・速報値）'!$Q$16"}</definedName>
    <definedName name="gdfs" localSheetId="6">{#N/A,#N/A,FALSE,"Projections";#N/A,#N/A,FALSE,"Multiples Valuation";#N/A,#N/A,FALSE,"LBO";#N/A,#N/A,FALSE,"Multiples_Sensitivity";#N/A,#N/A,FALSE,"Summary"}</definedName>
    <definedName name="gdfs" localSheetId="13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sa" localSheetId="6">{"'下期集計（10.27迄・速報値）'!$Q$16"}</definedName>
    <definedName name="gdsa" localSheetId="13" hidden="1">{"'下期集計（10.27迄・速報値）'!$Q$16"}</definedName>
    <definedName name="gdsa" hidden="1">{"'下期集計（10.27迄・速報値）'!$Q$16"}</definedName>
    <definedName name="gf" localSheetId="6">{"incomemth",#N/A,TRUE,"forecast00";"incomepercentmth",#N/A,TRUE,"forecast00";"balancemth",#N/A,TRUE,"forecast00";"cashmth",#N/A,TRUE,"forecast00";"covenantmth",#N/A,TRUE,"forecast00"}</definedName>
    <definedName name="gf" localSheetId="13" hidden="1">{"incomemth",#N/A,TRUE,"forecast00";"incomepercentmth",#N/A,TRUE,"forecast00";"balancemth",#N/A,TRUE,"forecast00";"cashmth",#N/A,TRUE,"forecast00";"covenantmth",#N/A,TRUE,"forecast00"}</definedName>
    <definedName name="gf" hidden="1">{"incomemth",#N/A,TRUE,"forecast00";"incomepercentmth",#N/A,TRUE,"forecast00";"balancemth",#N/A,TRUE,"forecast00";"cashmth",#N/A,TRUE,"forecast00";"covenantmth",#N/A,TRUE,"forecast00"}</definedName>
    <definedName name="gfie" localSheetId="6">{"bs",#N/A,FALSE,"SCF"}</definedName>
    <definedName name="gfie" localSheetId="13" hidden="1">{"bs",#N/A,FALSE,"SCF"}</definedName>
    <definedName name="gfie" hidden="1">{"bs",#N/A,FALSE,"SCF"}</definedName>
    <definedName name="gfkf" localSheetId="6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localSheetId="1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G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 localSheetId="6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" localSheetId="13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g" localSheetId="6">{#N/A,#N/A,TRUE,"Model"}</definedName>
    <definedName name="gggg" localSheetId="13" hidden="1">{#N/A,#N/A,TRUE,"Model"}</definedName>
    <definedName name="gggg" hidden="1">{#N/A,#N/A,TRUE,"Model"}</definedName>
    <definedName name="gk" localSheetId="6">{"incomemth",#N/A,TRUE,"forecast00";"incomepercentmth",#N/A,TRUE,"forecast00";"balancemth",#N/A,TRUE,"forecast00";"cashmth",#N/A,TRUE,"forecast00";"covenantmth",#N/A,TRUE,"forecast00"}</definedName>
    <definedName name="gk" localSheetId="13" hidden="1">{"incomemth",#N/A,TRUE,"forecast00";"incomepercentmth",#N/A,TRUE,"forecast00";"balancemth",#N/A,TRUE,"forecast00";"cashmth",#N/A,TRUE,"forecast00";"covenantmth",#N/A,TRUE,"forecast00"}</definedName>
    <definedName name="gk" hidden="1">{"incomemth",#N/A,TRUE,"forecast00";"incomepercentmth",#N/A,TRUE,"forecast00";"balancemth",#N/A,TRUE,"forecast00";"cashmth",#N/A,TRUE,"forecast00";"covenantmth",#N/A,TRUE,"forecast00"}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ooch" localSheetId="6">{#N/A,#N/A,FALSE,"Projections";#N/A,#N/A,FALSE,"Multiples Valuation";#N/A,#N/A,FALSE,"LBO";#N/A,#N/A,FALSE,"Multiples_Sensitivity";#N/A,#N/A,FALSE,"Summary"}</definedName>
    <definedName name="gooch" localSheetId="13" hidden="1">{#N/A,#N/A,FALSE,"Projections";#N/A,#N/A,FALSE,"Multiples Valuation";#N/A,#N/A,FALSE,"LBO";#N/A,#N/A,FALSE,"Multiples_Sensitivity";#N/A,#N/A,FALSE,"Summary"}</definedName>
    <definedName name="gooch" hidden="1">{#N/A,#N/A,FALSE,"Projections";#N/A,#N/A,FALSE,"Multiples Valuation";#N/A,#N/A,FALSE,"LBO";#N/A,#N/A,FALSE,"Multiples_Sensitivity";#N/A,#N/A,FALSE,"Summary"}</definedName>
    <definedName name="gors" localSheetId="6">{"var_page",#N/A,FALSE,"template"}</definedName>
    <definedName name="gors" localSheetId="13" hidden="1">{"var_page",#N/A,FALSE,"template"}</definedName>
    <definedName name="gors" hidden="1">{"var_page",#N/A,FALSE,"template"}</definedName>
    <definedName name="gotfff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aph" hidden="1">#REF!</definedName>
    <definedName name="h" localSheetId="6">{"summary1",#N/A,FALSE,"Summary of Values";"summary2",#N/A,FALSE,"Summary of Values";"weighted average returns",#N/A,FALSE,"WACC and WARA";"fixed asset detail",#N/A,FALSE,"Fixed Asset Detail"}</definedName>
    <definedName name="h" localSheetId="13" hidden="1">{"summary1",#N/A,FALSE,"Summary of Values";"summary2",#N/A,FALSE,"Summary of Values";"weighted average returns",#N/A,FALSE,"WACC and WARA";"fixed asset detail",#N/A,FALSE,"Fixed Asset Detail"}</definedName>
    <definedName name="h" hidden="1">{"summary1",#N/A,FALSE,"Summary of Values";"summary2",#N/A,FALSE,"Summary of Values";"weighted average returns",#N/A,FALSE,"WACC and WARA";"fixed asset detail",#N/A,FALSE,"Fixed Asset Detail"}</definedName>
    <definedName name="ｈ" localSheetId="6">{"'下期集計（10.27迄・速報値）'!$Q$16"}</definedName>
    <definedName name="ｈ" localSheetId="13" hidden="1">{"'下期集計（10.27迄・速報値）'!$Q$16"}</definedName>
    <definedName name="ｈ" hidden="1">{"'下期集計（10.27迄・速報値）'!$Q$16"}</definedName>
    <definedName name="Ｈ16・１" localSheetId="13" hidden="1">{"'コメント'!$A$1:$C$37"}</definedName>
    <definedName name="Ｈ16・１" hidden="1">{"'コメント'!$A$1:$C$37"}</definedName>
    <definedName name="H16･1速報" localSheetId="6">{"'コメント'!$A$1:$C$37"}</definedName>
    <definedName name="H16･1速報" localSheetId="13" hidden="1">{"'コメント'!$A$1:$C$37"}</definedName>
    <definedName name="H16･1速報" hidden="1">{"'コメント'!$A$1:$C$37"}</definedName>
    <definedName name="Hello" localSheetId="6">{"rtn",#N/A,FALSE,"RTN";"tables",#N/A,FALSE,"RTN";"cf",#N/A,FALSE,"CF";"stats",#N/A,FALSE,"Stats";"prop",#N/A,FALSE,"Prop"}</definedName>
    <definedName name="Hello" localSheetId="13" hidden="1">{"rtn",#N/A,FALSE,"RTN";"tables",#N/A,FALSE,"RTN";"cf",#N/A,FALSE,"CF";"stats",#N/A,FALSE,"Stats";"prop",#N/A,FALSE,"Prop"}</definedName>
    <definedName name="Hello" hidden="1">{"rtn",#N/A,FALSE,"RTN";"tables",#N/A,FALSE,"RTN";"cf",#N/A,FALSE,"CF";"stats",#N/A,FALSE,"Stats";"prop",#N/A,FALSE,"Prop"}</definedName>
    <definedName name="help1" localSheetId="6">{#N/A,#N/A,FALSE,"CONSOLIDATED";#N/A,#N/A,FALSE,"LANCE CO";#N/A,#N/A,FALSE,"VISTA"}</definedName>
    <definedName name="help1" localSheetId="13" hidden="1">{#N/A,#N/A,FALSE,"CONSOLIDATED";#N/A,#N/A,FALSE,"LANCE CO";#N/A,#N/A,FALSE,"VISTA"}</definedName>
    <definedName name="help1" hidden="1">{#N/A,#N/A,FALSE,"CONSOLIDATED";#N/A,#N/A,FALSE,"LANCE CO";#N/A,#N/A,FALSE,"VISTA"}</definedName>
    <definedName name="HELP3" localSheetId="6">{#N/A,#N/A,FALSE,"CONSOLIDATED";#N/A,#N/A,FALSE,"LANCE CO";#N/A,#N/A,FALSE,"VISTA"}</definedName>
    <definedName name="HELP3" localSheetId="13" hidden="1">{#N/A,#N/A,FALSE,"CONSOLIDATED";#N/A,#N/A,FALSE,"LANCE CO";#N/A,#N/A,FALSE,"VISTA"}</definedName>
    <definedName name="HELP3" hidden="1">{#N/A,#N/A,FALSE,"CONSOLIDATED";#N/A,#N/A,FALSE,"LANCE CO";#N/A,#N/A,FALSE,"VISTA"}</definedName>
    <definedName name="HELP4" localSheetId="6">{#N/A,#N/A,FALSE,"CONSOLIDATED";#N/A,#N/A,FALSE,"LANCE CO";#N/A,#N/A,FALSE,"VISTA"}</definedName>
    <definedName name="HELP4" localSheetId="13" hidden="1">{#N/A,#N/A,FALSE,"CONSOLIDATED";#N/A,#N/A,FALSE,"LANCE CO";#N/A,#N/A,FALSE,"VISTA"}</definedName>
    <definedName name="HELP4" hidden="1">{#N/A,#N/A,FALSE,"CONSOLIDATED";#N/A,#N/A,FALSE,"LANCE CO";#N/A,#N/A,FALSE,"VISTA"}</definedName>
    <definedName name="HELP5" localSheetId="6">{#N/A,#N/A,FALSE,"CONSOLIDATED";#N/A,#N/A,FALSE,"LANCE CO";#N/A,#N/A,FALSE,"VISTA"}</definedName>
    <definedName name="HELP5" localSheetId="13" hidden="1">{#N/A,#N/A,FALSE,"CONSOLIDATED";#N/A,#N/A,FALSE,"LANCE CO";#N/A,#N/A,FALSE,"VISTA"}</definedName>
    <definedName name="HELP5" hidden="1">{#N/A,#N/A,FALSE,"CONSOLIDATED";#N/A,#N/A,FALSE,"LANCE CO";#N/A,#N/A,FALSE,"VISTA"}</definedName>
    <definedName name="HELP6" localSheetId="6">{#N/A,#N/A,FALSE,"CONSOLIDATED";#N/A,#N/A,FALSE,"LANCE CO";#N/A,#N/A,FALSE,"VISTA"}</definedName>
    <definedName name="HELP6" localSheetId="13" hidden="1">{#N/A,#N/A,FALSE,"CONSOLIDATED";#N/A,#N/A,FALSE,"LANCE CO";#N/A,#N/A,FALSE,"VISTA"}</definedName>
    <definedName name="HELP6" hidden="1">{#N/A,#N/A,FALSE,"CONSOLIDATED";#N/A,#N/A,FALSE,"LANCE CO";#N/A,#N/A,FALSE,"VISTA"}</definedName>
    <definedName name="HELP7" localSheetId="6">{#N/A,#N/A,FALSE,"CONSOLIDATED";#N/A,#N/A,FALSE,"LANCE CO";#N/A,#N/A,FALSE,"VISTA"}</definedName>
    <definedName name="HELP7" localSheetId="13" hidden="1">{#N/A,#N/A,FALSE,"CONSOLIDATED";#N/A,#N/A,FALSE,"LANCE CO";#N/A,#N/A,FALSE,"VISTA"}</definedName>
    <definedName name="HELP7" hidden="1">{#N/A,#N/A,FALSE,"CONSOLIDATED";#N/A,#N/A,FALSE,"LANCE CO";#N/A,#N/A,FALSE,"VISTA"}</definedName>
    <definedName name="HELP8" localSheetId="6">{#N/A,#N/A,FALSE,"CONSOLIDATED";#N/A,#N/A,FALSE,"LANCE CO";#N/A,#N/A,FALSE,"VISTA"}</definedName>
    <definedName name="HELP8" localSheetId="13" hidden="1">{#N/A,#N/A,FALSE,"CONSOLIDATED";#N/A,#N/A,FALSE,"LANCE CO";#N/A,#N/A,FALSE,"VISTA"}</definedName>
    <definedName name="HELP8" hidden="1">{#N/A,#N/A,FALSE,"CONSOLIDATED";#N/A,#N/A,FALSE,"LANCE CO";#N/A,#N/A,FALSE,"VISTA"}</definedName>
    <definedName name="hg" localSheetId="6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localSheetId="1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j" localSheetId="6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" localSheetId="13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h" localSheetId="6">{#N/A,#N/A,FALSE,"Summary"}</definedName>
    <definedName name="hh" localSheetId="13" hidden="1">{#N/A,#N/A,FALSE,"Summary"}</definedName>
    <definedName name="hh" hidden="1">{#N/A,#N/A,FALSE,"Summary"}</definedName>
    <definedName name="HHH" localSheetId="6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" localSheetId="13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h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hgh" localSheetId="6">{"Total Admin",#N/A,FALSE,"Admin";"Executive",#N/A,FALSE,"Admin";"Finance",#N/A,FALSE,"Admin";"Marketing",#N/A,FALSE,"Admin";"NonDepartmental",#N/A,FALSE,"Admin"}</definedName>
    <definedName name="hhhhhgh" localSheetId="13" hidden="1">{"Total Admin",#N/A,FALSE,"Admin";"Executive",#N/A,FALSE,"Admin";"Finance",#N/A,FALSE,"Admin";"Marketing",#N/A,FALSE,"Admin";"NonDepartmental",#N/A,FALSE,"Admin"}</definedName>
    <definedName name="hhhhhgh" hidden="1">{"Total Admin",#N/A,FALSE,"Admin";"Executive",#N/A,FALSE,"Admin";"Finance",#N/A,FALSE,"Admin";"Marketing",#N/A,FALSE,"Admin";"NonDepartmental",#N/A,FALSE,"Admin"}</definedName>
    <definedName name="HiddenRows" hidden="1">#REF!</definedName>
    <definedName name="HistogramV02" localSheetId="6">{#N/A,#N/A,FALSE,"Sheet1"}</definedName>
    <definedName name="HistogramV02" localSheetId="13" hidden="1">{#N/A,#N/A,FALSE,"Sheet1"}</definedName>
    <definedName name="HistogramV02" hidden="1">{#N/A,#N/A,FALSE,"Sheet1"}</definedName>
    <definedName name="historical" localSheetId="6">{"GTI monthly IS",#N/A,FALSE,"gti";#N/A,#N/A,FALSE,"gti"}</definedName>
    <definedName name="historical" localSheetId="13" hidden="1">{"GTI monthly IS",#N/A,FALSE,"gti";#N/A,#N/A,FALSE,"gti"}</definedName>
    <definedName name="historical" hidden="1">{"GTI monthly IS",#N/A,FALSE,"gti";#N/A,#N/A,FALSE,"gti"}</definedName>
    <definedName name="hjhjkhas" localSheetId="6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localSheetId="1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yny" localSheetId="6">{#N/A,#N/A,FALSE,"TSUM";#N/A,#N/A,FALSE,"shares";#N/A,#N/A,FALSE,"earnout";#N/A,#N/A,FALSE,"Heaty";#N/A,#N/A,FALSE,"self-tend";#N/A,#N/A,FALSE,"self-sum"}</definedName>
    <definedName name="hjyny" localSheetId="13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ls" localSheetId="6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s" localSheetId="13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s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n.YearLabel" hidden="1">#REF!</definedName>
    <definedName name="hnu" localSheetId="6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localSheetId="1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localSheetId="6">{#N/A,#N/A,FALSE,"Assessment";#N/A,#N/A,FALSE,"Staffing";#N/A,#N/A,FALSE,"Hires";#N/A,#N/A,FALSE,"Assumptions"}</definedName>
    <definedName name="HOMFE" localSheetId="13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localSheetId="6">{#N/A,#N/A,FALSE,"AD_Purchase";#N/A,#N/A,FALSE,"Credit";#N/A,#N/A,FALSE,"PF Acquisition";#N/A,#N/A,FALSE,"PF Offering"}</definedName>
    <definedName name="houy" localSheetId="13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2" localSheetId="6">{#N/A,#N/A,FALSE,"AD_Purchase";#N/A,#N/A,FALSE,"Credit";#N/A,#N/A,FALSE,"PF Acquisition";#N/A,#N/A,FALSE,"PF Offering"}</definedName>
    <definedName name="houy2" localSheetId="13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TM_Control" localSheetId="6">{"'下期集計（10.27迄・速報値）'!$Q$16"}</definedName>
    <definedName name="HTM_Control" localSheetId="13" hidden="1">{"'下期集計（10.27迄・速報値）'!$Q$16"}</definedName>
    <definedName name="HTM_Control" hidden="1">{"'下期集計（10.27迄・速報値）'!$Q$16"}</definedName>
    <definedName name="ＨＴＭＬ" localSheetId="6">{"'コメント'!$A$1:$C$37"}</definedName>
    <definedName name="ＨＴＭＬ" localSheetId="13" hidden="1">{"'コメント'!$A$1:$C$37"}</definedName>
    <definedName name="ＨＴＭＬ" hidden="1">{"'コメント'!$A$1:$C$37"}</definedName>
    <definedName name="HTML_CodePage" hidden="1">1252</definedName>
    <definedName name="HTML_Control" localSheetId="6">{"'Sheet1'!$A$1:$O$40"}</definedName>
    <definedName name="HTML_Control" localSheetId="13" hidden="1">{"'Sheet1'!$A$1:$O$40"}</definedName>
    <definedName name="HTML_Control" hidden="1">{"'Sheet1'!$A$1:$O$40"}</definedName>
    <definedName name="HTML_Control2" localSheetId="6">{"'NWC03'!$C$81"}</definedName>
    <definedName name="HTML_Control2" localSheetId="13" hidden="1">{"'NWC03'!$C$81"}</definedName>
    <definedName name="HTML_Control2" hidden="1">{"'NWC03'!$C$81"}</definedName>
    <definedName name="HTML_Description" hidden="1">""</definedName>
    <definedName name="HTML_Email" hidden="1">""</definedName>
    <definedName name="HTML_Header" hidden="1">"Sheet1"</definedName>
    <definedName name="HTML_LastUpdate" hidden="1">"2/5/99"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"E:\statements-2.0\from_excel.htm"</definedName>
    <definedName name="HTML_PathFileMac" hidden="1">"Macintosh HD:HomePageStuff:pc:datasets:implprem.html"</definedName>
    <definedName name="HTML_Title" hidden="1">"S&amp;P Implied Equity Premiums"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"[poolprices.xls]Sheet1!$A$3:$F$16"</definedName>
    <definedName name="HTML2_10" hidden="1">"robert.schulten@corporate.ge.com"</definedName>
    <definedName name="HTML2_11" hidden="1">1</definedName>
    <definedName name="HTML2_12" hidden="1">"C:\webpage\poolpri2.htm"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0" hidden="1">"robert.schulten@corporate.ge.com"</definedName>
    <definedName name="HTML3_11" hidden="1">1</definedName>
    <definedName name="HTML3_12" hidden="1">"C:\webpage\MyHTML.htm"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MLCount" hidden="1">1</definedName>
    <definedName name="hui" localSheetId="6">{#N/A,#N/A,FALSE,"Assump2";#N/A,#N/A,FALSE,"Income2";#N/A,#N/A,FALSE,"Balance2";#N/A,#N/A,FALSE,"DCF Filter";#N/A,#N/A,FALSE,"Trans Assump2";#N/A,#N/A,FALSE,"Combined Income2";#N/A,#N/A,FALSE,"Combined Balance2"}</definedName>
    <definedName name="hui" localSheetId="13" hidden="1">{#N/A,#N/A,FALSE,"Assump2";#N/A,#N/A,FALSE,"Income2";#N/A,#N/A,FALSE,"Balance2";#N/A,#N/A,FALSE,"DCF Filter";#N/A,#N/A,FALSE,"Trans Assump2";#N/A,#N/A,FALSE,"Combined Income2";#N/A,#N/A,FALSE,"Combined Balance2"}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yt" localSheetId="6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localSheetId="1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iffx" localSheetId="6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localSheetId="1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6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1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I" localSheetId="6">{"Total Wholesale",#N/A,FALSE,"Wholesale";"Whsle_Admin",#N/A,FALSE,"Wholesale";"Whsle_Lombard",#N/A,FALSE,"Wholesale";"Whsle_Marlton",#N/A,FALSE,"Wholesale";"Whsle_Pleasanton",#N/A,FALSE,"Wholesale"}</definedName>
    <definedName name="III" localSheetId="13" hidden="1">{"Total Wholesale",#N/A,FALSE,"Wholesale";"Whsle_Admin",#N/A,FALSE,"Wholesale";"Whsle_Lombard",#N/A,FALSE,"Wholesale";"Whsle_Marlton",#N/A,FALSE,"Wholesale";"Whsle_Pleasanton",#N/A,FALSE,"Wholesale"}</definedName>
    <definedName name="III" hidden="1">{"Total Wholesale",#N/A,FALSE,"Wholesale";"Whsle_Admin",#N/A,FALSE,"Wholesale";"Whsle_Lombard",#N/A,FALSE,"Wholesale";"Whsle_Marlton",#N/A,FALSE,"Wholesale";"Whsle_Pleasanton",#N/A,FALSE,"Wholesale"}</definedName>
    <definedName name="iioo" localSheetId="6">{#N/A,#N/A,FALSE,"TSUM";#N/A,#N/A,FALSE,"shares";#N/A,#N/A,FALSE,"earnout";#N/A,#N/A,FALSE,"Heaty";#N/A,#N/A,FALSE,"self-tend";#N/A,#N/A,FALSE,"self-sum"}</definedName>
    <definedName name="iioo" localSheetId="13" hidden="1">{#N/A,#N/A,FALSE,"TSUM";#N/A,#N/A,FALSE,"shares";#N/A,#N/A,FALSE,"earnout";#N/A,#N/A,FALSE,"Heaty";#N/A,#N/A,FALSE,"self-tend";#N/A,#N/A,FALSE,"self-sum"}</definedName>
    <definedName name="iioo" hidden="1">{#N/A,#N/A,FALSE,"TSUM";#N/A,#N/A,FALSE,"shares";#N/A,#N/A,FALSE,"earnout";#N/A,#N/A,FALSE,"Heaty";#N/A,#N/A,FALSE,"self-tend";#N/A,#N/A,FALSE,"self-sum"}</definedName>
    <definedName name="ijn" localSheetId="6">{#N/A,#N/A,FALSE,"AD_Purchase";#N/A,#N/A,FALSE,"Credit";#N/A,#N/A,FALSE,"PF Acquisition";#N/A,#N/A,FALSE,"PF Offering"}</definedName>
    <definedName name="ijn" localSheetId="13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ncentive" localSheetId="6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 localSheetId="1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INSTANCE_ID" hidden="1">"0"</definedName>
    <definedName name="INFO_INSTANCE_NAME" hidden="1">"Sales - Analytics_20140210_12_40_15_4040.xls"</definedName>
    <definedName name="INFO_REPORT_CODE" hidden="1">""</definedName>
    <definedName name="INFO_REPORT_ID" hidden="1">"66"</definedName>
    <definedName name="INFO_REPORT_NAME" hidden="1">"Sales - Analytics"</definedName>
    <definedName name="INFO_RUN_USER" hidden="1">""</definedName>
    <definedName name="INFO_RUN_WORKSTATION" hidden="1">"BELMONTLPT3-HP"</definedName>
    <definedName name="Interco2" localSheetId="6">{#N/A,#N/A,FALSE,"Job Sched"}</definedName>
    <definedName name="Interco2" localSheetId="13" hidden="1">{#N/A,#N/A,FALSE,"Job Sched"}</definedName>
    <definedName name="Interco2" hidden="1">{#N/A,#N/A,FALSE,"Job Sched"}</definedName>
    <definedName name="IntroPrintArea" hidden="1">#REF!</definedName>
    <definedName name="io" localSheetId="6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localSheetId="1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PRD_mites" localSheetId="6">{"bs",#N/A,FALSE,"SCF"}</definedName>
    <definedName name="IPRD_mites" localSheetId="13" hidden="1">{"bs",#N/A,FALSE,"SCF"}</definedName>
    <definedName name="IPRD_mites" hidden="1">{"bs",#N/A,FALSE,"SCF"}</definedName>
    <definedName name="IPRD_Pollen" localSheetId="6">{"bs",#N/A,FALSE,"SCF"}</definedName>
    <definedName name="IPRD_Pollen" localSheetId="13" hidden="1">{"bs",#N/A,FALSE,"SCF"}</definedName>
    <definedName name="IPRD_Pollen" hidden="1">{"bs",#N/A,FALSE,"SCF"}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G_INT_BEAR_CD" hidden="1">"c11749"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ODE_RT" hidden="1">"CONTRIBUTOR"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ET_INT" hidden="1">"c360"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ET_INT" hidden="1">"c373"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7" hidden="1">"c6927"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7" hidden="1">"c7147"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7" hidden="1">"c7367"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7" hidden="1">"c7587"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4" hidden="1">"c7704"</definedName>
    <definedName name="IQ_ECO_METRIC_7705" hidden="1">"c7705"</definedName>
    <definedName name="IQ_ECO_METRIC_7705_UNUSED_UNUSED_UNUSED" hidden="1">"c7705"</definedName>
    <definedName name="IQ_ECO_METRIC_7706" hidden="1">"c7706"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8" hidden="1">"c7718"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7" hidden="1">"c7807"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1" hidden="1">"c7811"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3" hidden="1">"c7873"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4" hidden="1">"c7924"</definedName>
    <definedName name="IQ_ECO_METRIC_7925" hidden="1">"c7925"</definedName>
    <definedName name="IQ_ECO_METRIC_7925_UNUSED_UNUSED_UNUSED" hidden="1">"c7925"</definedName>
    <definedName name="IQ_ECO_METRIC_7926" hidden="1">"c7926"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8" hidden="1">"c7938"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7" hidden="1">"c8027"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1" hidden="1">"c8031"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3" hidden="1">"c8093"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4" hidden="1">"c8144"</definedName>
    <definedName name="IQ_ECO_METRIC_8145" hidden="1">"c8145"</definedName>
    <definedName name="IQ_ECO_METRIC_8145_UNUSED_UNUSED_UNUSED" hidden="1">"c8145"</definedName>
    <definedName name="IQ_ECO_METRIC_8146" hidden="1">"c8146"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8" hidden="1">"c8158"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7" hidden="1">"c8247"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1" hidden="1">"c8251"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3" hidden="1">"c8313"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6" hidden="1">"c8366"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78" hidden="1">"c8378"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7" hidden="1">"c8467"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1" hidden="1">"c8471"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3" hidden="1">"c8533"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"c4982"</definedName>
    <definedName name="IQ_EST_FFO_SURPRISE_PERCENT" hidden="1">"c1870"</definedName>
    <definedName name="IQ_EST_FFO_SURPRISE_PERCENT_CIQ" hidden="1">"c3722"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HANGE_CODE_RT" hidden="1">"EXCHANGE"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5099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DATE" hidden="1">"c12212"</definedName>
    <definedName name="IQ_FFO_EST_DET_EST_DATE_CIQ" hidden="1">"c12267"</definedName>
    <definedName name="IQ_FFO_EST_DET_EST_INCL" hidden="1">"c12349"</definedName>
    <definedName name="IQ_FFO_EST_DET_EST_INCL_CIQ" hidden="1">"c12395"</definedName>
    <definedName name="IQ_FFO_EST_DET_EST_ORIGIN" hidden="1">"c12722"</definedName>
    <definedName name="IQ_FFO_EST_DET_EST_ORIGIN_CIQ" hidden="1">"c12720"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NUM_EST" hidden="1">"c4451"</definedName>
    <definedName name="IQ_FFO_SHARE_NUM_EST_CIQ" hidden="1">"c4980"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"c4981"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HOTEL_MOTEL" hidden="1">"c8731"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CASINO_GAMING" hidden="1">"c8723"</definedName>
    <definedName name="IQ_HG_REV_TOTAL_HOTEL_MOTEL" hidden="1">"c8732"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PRICE_RT" hidden="1">"HIGH"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GA_MARGIN" hidden="1">"c9930"</definedName>
    <definedName name="IQ_MC_GA_OPERATING_REV" hidden="1">"c9929"</definedName>
    <definedName name="IQ_MC_MEDICAL_COSTS_PMPM" hidden="1">"c9925"</definedName>
    <definedName name="IQ_MC_MEDICAL_EXPENSE_RATIO" hidden="1">"c9927"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MARGIN" hidden="1">"c9932"</definedName>
    <definedName name="IQ_MC_SGA_OPERATING_REV" hidden="1">"c9931"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DATE_LT" hidden="1">"c5682"</definedName>
    <definedName name="IQ_MOODYS_ISSUE_LT" hidden="1">"c5684"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ERSION_DATE_QUARTERLY" hidden="1">40969.0452314815</definedName>
    <definedName name="IQ_NAMES_REVISION_DATE_" hidden="1">45155.1202199074</definedName>
    <definedName name="IQ_NAMES_REVISION_DATE__1" hidden="1">41085.4903819444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" hidden="1">"c1723"</definedName>
    <definedName name="IQ_NI_GW_EST_CIQ" hidden="1">"c4709"</definedName>
    <definedName name="IQ_NI_GW_EST_REUT" hidden="1">"c5375"</definedName>
    <definedName name="IQ_NI_GW_EST_THOM" hidden="1">"c5133"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IOUS_DATE_RT" hidden="1">"PREVIOUSLASTDATE"</definedName>
    <definedName name="IQ_PREVIOUS_PRICE_RT" hidden="1">"PREVIOUSLAST"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39776.6797337963</definedName>
    <definedName name="IQ_REVISION_DATE__1" hidden="1">39111.4358564815</definedName>
    <definedName name="IQ_REVOLVING_SECURED_1_–4_NON_ACCRUAL_FFIEC" hidden="1">"c15565"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UNITS" hidden="1">"c10005"</definedName>
    <definedName name="IQ_SEMI_BACKLOG_VALUE" hidden="1">"c10007"</definedName>
    <definedName name="IQ_SEMI_BOOK_TO_BILL_RATIO" hidden="1">"c10008"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LOCATION_0" hidden="1">#REF!</definedName>
    <definedName name="IQB_BOOKMARK_LOCATION_2" hidden="1">#REF!</definedName>
    <definedName name="IQB_BOOKMARK_LOCATION_3" hidden="1">#REF!</definedName>
    <definedName name="IQB_CURRENT_BOOKMARK" hidden="1">0</definedName>
    <definedName name="IQNAMA" hidden="1">39972.4171759259</definedName>
    <definedName name="IQRA8" hidden="1">"$A$9:$A$260"</definedName>
    <definedName name="IQRAA3" hidden="1">"$AA$4:$AA$253"</definedName>
    <definedName name="IQRAA4" hidden="1">"$AA$5:$AA$254"</definedName>
    <definedName name="IQRAA5" hidden="1">"$AA$6:$AA$255"</definedName>
    <definedName name="IQRAA6" hidden="1">"$AA$7:$AA$256"</definedName>
    <definedName name="IQRAA7" hidden="1">"$AA$8:$AA$257"</definedName>
    <definedName name="IQRAB3" hidden="1">"$AB$4:$AB$253"</definedName>
    <definedName name="IQRAC3" hidden="1">"$AC$4:$AC$253"</definedName>
    <definedName name="IQRAD3" hidden="1">"$AD$4:$AD$253"</definedName>
    <definedName name="IQRAD4" hidden="1">"$AD$5:$AD$254"</definedName>
    <definedName name="IQRAD5" hidden="1">"$AD$6:$AD$255"</definedName>
    <definedName name="IQRAD6" hidden="1">"$AD$7:$AD$256"</definedName>
    <definedName name="IQRAE3" hidden="1">"$AE$4:$AE$253"</definedName>
    <definedName name="IQRAE4" hidden="1">"$AE$5:$AE$254"</definedName>
    <definedName name="IQRAE5" hidden="1">"$AE$6:$AE$255"</definedName>
    <definedName name="IQRAE6" hidden="1">"$AE$7:$AE$256"</definedName>
    <definedName name="IQRAF17" hidden="1">"$AF$18:$AF$269"</definedName>
    <definedName name="IQRAF3" hidden="1">"$AF$4:$AF$253"</definedName>
    <definedName name="IQRAF6" hidden="1">"$AF$7:$AF$256"</definedName>
    <definedName name="IQRAF7" hidden="1">"$AF$8:$AF$257"</definedName>
    <definedName name="IQRAG18" hidden="1">"$AG$19:$AG$270"</definedName>
    <definedName name="IQRAG3" hidden="1">"$AG$4:$AG$253"</definedName>
    <definedName name="IQRAH3" hidden="1">"$AH$4:$AH$253"</definedName>
    <definedName name="IQRAH4" hidden="1">"$AH$5:$AH$254"</definedName>
    <definedName name="IQRAH5" hidden="1">"$AH$6:$AH$255"</definedName>
    <definedName name="IQRAH6" hidden="1">"$AH$7:$AH$256"</definedName>
    <definedName name="IQRAI3" hidden="1">"$AI$4:$AI$253"</definedName>
    <definedName name="IQRAI4" hidden="1">"$AI$5:$AI$254"</definedName>
    <definedName name="IQRAI5" hidden="1">"$AI$6:$AI$255"</definedName>
    <definedName name="IQRAI6" hidden="1">"$AI$7:$AI$256"</definedName>
    <definedName name="IQRAJ3" hidden="1">"$AJ$4:$AJ$253"</definedName>
    <definedName name="IQRAK3" hidden="1">"$AK$4:$AK$253"</definedName>
    <definedName name="IQRAK6" hidden="1">"$AK$7:$AK$256"</definedName>
    <definedName name="IQRAK7" hidden="1">"$AK$8:$AK$257"</definedName>
    <definedName name="IQRAL3" hidden="1">"$AL$4:$AL$253"</definedName>
    <definedName name="IQRAL4" hidden="1">"$AL$5:$AL$254"</definedName>
    <definedName name="IQRAL5" hidden="1">"$AL$6:$AL$255"</definedName>
    <definedName name="IQRAL6" hidden="1">"$AL$7:$AL$256"</definedName>
    <definedName name="IQRAM3" hidden="1">"$AM$4:$AM$253"</definedName>
    <definedName name="IQRAM4" hidden="1">"$AM$5:$AM$254"</definedName>
    <definedName name="IQRAM5" hidden="1">"$AM$6:$AM$255"</definedName>
    <definedName name="IQRAM6" hidden="1">"$AM$7:$AM$256"</definedName>
    <definedName name="IQRAN3" hidden="1">"$AN$4:$AN$253"</definedName>
    <definedName name="IQRAO3" hidden="1">"$AO$4:$AO$253"</definedName>
    <definedName name="IQRAP5" hidden="1">"$AP$6:$AP$255"</definedName>
    <definedName name="IQRAP6" hidden="1">"$AP$7:$AP$256"</definedName>
    <definedName name="IQRAP7" hidden="1">"$AP$8:$AP$257"</definedName>
    <definedName name="IQRAQ6" hidden="1">"$AQ$7:$AQ$256"</definedName>
    <definedName name="IQRAU6" hidden="1">"$AU$7:$AU$256"</definedName>
    <definedName name="IQRAU7" hidden="1">"$AU$8:$AU$257"</definedName>
    <definedName name="IQRAY10" hidden="1">"$AY$11"</definedName>
    <definedName name="IQRAY7" hidden="1">"$AY$8"</definedName>
    <definedName name="IQRAZ6" hidden="1">"$AZ$7:$AZ$256"</definedName>
    <definedName name="IQRAZ7" hidden="1">"$AZ$8:$AZ$257"</definedName>
    <definedName name="IQRB3" hidden="1">"$B$4:$B$253"</definedName>
    <definedName name="IQRB4" hidden="1">"$B$5:$B$254"</definedName>
    <definedName name="IQRB400" hidden="1">"$B$401:$B$652"</definedName>
    <definedName name="IQRB402" hidden="1">"$B$403:$B$654"</definedName>
    <definedName name="IQRB403" hidden="1">"$B$404:$B$656"</definedName>
    <definedName name="IQRB405" hidden="1">"$B$406:$B$658"</definedName>
    <definedName name="IQRB406" hidden="1">"$B$407:$B$659"</definedName>
    <definedName name="IQRB413" hidden="1">"$B$414:$B$666"</definedName>
    <definedName name="IQRB415" hidden="1">"$B$416:$B$668"</definedName>
    <definedName name="IQRB417" hidden="1">"$B$418:$B$670"</definedName>
    <definedName name="IQRB419" hidden="1">"$B$420:$B$672"</definedName>
    <definedName name="IQRB434" hidden="1">"$B$435:$B$687"</definedName>
    <definedName name="IQRB439" hidden="1">"$B$440:$B$692"</definedName>
    <definedName name="IQRB441" hidden="1">"$B$442:$B$694"</definedName>
    <definedName name="IQRB442" hidden="1">"$B$443:$B$695"</definedName>
    <definedName name="IQRB443" hidden="1">"$B$444:$B$696"</definedName>
    <definedName name="IQRB444" hidden="1">"$B$445:$B$697"</definedName>
    <definedName name="IQRB448" hidden="1">"$B$449:$B$701"</definedName>
    <definedName name="IQRB449" hidden="1">"$B$450:$B$702"</definedName>
    <definedName name="IQRB450" hidden="1">"$B$451:$B$703"</definedName>
    <definedName name="IQRB5" hidden="1">"$B$6:$B$585"</definedName>
    <definedName name="IQRB581" hidden="1">"$B$582:$B$834"</definedName>
    <definedName name="IQRB582" hidden="1">"$B$583:$B$835"</definedName>
    <definedName name="IQRB583" hidden="1">"$B$584:$B$836"</definedName>
    <definedName name="IQRB6" hidden="1">"$B$7"</definedName>
    <definedName name="IQRB7" hidden="1">"$B$8:$B$257"</definedName>
    <definedName name="IQRB8" hidden="1">"$B$9:$B$260"</definedName>
    <definedName name="IQRBA10" hidden="1">"$BA$11"</definedName>
    <definedName name="IQRBC10" hidden="1">"$BC$11"</definedName>
    <definedName name="IQRC3" hidden="1">"$C$4:$C$253"</definedName>
    <definedName name="IQRC4" hidden="1">"$C$5:$C$254"</definedName>
    <definedName name="IQRC5" hidden="1">"$C$6:$C$255"</definedName>
    <definedName name="IQRC8" hidden="1">"$C$9:$C$260"</definedName>
    <definedName name="IQRCashBalanceA8" hidden="1">#REF!</definedName>
    <definedName name="IQRCashBalanceAA10" hidden="1">#REF!</definedName>
    <definedName name="IQRCashBalanceAB10" hidden="1">#REF!</definedName>
    <definedName name="IQRCashBalanceAB2" hidden="1">#REF!</definedName>
    <definedName name="IQRCashBalanceAC10" hidden="1">#REF!</definedName>
    <definedName name="IQRCashBalanceAD10" hidden="1">#REF!</definedName>
    <definedName name="IQRCashBalanceAD2" hidden="1">#REF!</definedName>
    <definedName name="IQRCashBalanceAE10" hidden="1">#REF!</definedName>
    <definedName name="IQRCashBalanceAF10" hidden="1">#REF!</definedName>
    <definedName name="IQRCashBalanceAF2" hidden="1">#REF!</definedName>
    <definedName name="IQRCashBalanceAG10" hidden="1">#REF!</definedName>
    <definedName name="IQRCashBalanceAH10" hidden="1">#REF!</definedName>
    <definedName name="IQRCashBalanceAH2" hidden="1">#REF!</definedName>
    <definedName name="IQRCashBalanceAI10" hidden="1">#REF!</definedName>
    <definedName name="IQRCashBalanceAJ10" hidden="1">#REF!</definedName>
    <definedName name="IQRCashBalanceAJ2" hidden="1">#REF!</definedName>
    <definedName name="IQRCashBalanceAK10" hidden="1">#REF!</definedName>
    <definedName name="IQRCashBalanceAL10" hidden="1">#REF!</definedName>
    <definedName name="IQRCashBalanceAL2" hidden="1">#REF!</definedName>
    <definedName name="IQRCashBalanceAM10" hidden="1">#REF!</definedName>
    <definedName name="IQRCashBalanceAN10" hidden="1">#REF!</definedName>
    <definedName name="IQRCashBalanceAN2" hidden="1">#REF!</definedName>
    <definedName name="IQRCashBalanceAO10" hidden="1">#REF!</definedName>
    <definedName name="IQRCashBalanceAP10" hidden="1">#REF!</definedName>
    <definedName name="IQRCashBalanceAP2" hidden="1">#REF!</definedName>
    <definedName name="IQRCashBalanceAQ10" hidden="1">#REF!</definedName>
    <definedName name="IQRCashBalanceAR10" hidden="1">#REF!</definedName>
    <definedName name="IQRCashBalanceAR2" hidden="1">#REF!</definedName>
    <definedName name="IQRCashBalanceAS10" hidden="1">#REF!</definedName>
    <definedName name="IQRCashBalanceAT10" hidden="1">#REF!</definedName>
    <definedName name="IQRCashBalanceAT2" hidden="1">#REF!</definedName>
    <definedName name="IQRCashBalanceAU10" hidden="1">#REF!</definedName>
    <definedName name="IQRCashBalanceAV10" hidden="1">#REF!</definedName>
    <definedName name="IQRCashBalanceAV2" hidden="1">#REF!</definedName>
    <definedName name="IQRCashBalanceAW10" hidden="1">#REF!</definedName>
    <definedName name="IQRCashBalanceAX2" hidden="1">#REF!</definedName>
    <definedName name="IQRCashBalanceAY10" hidden="1">#REF!</definedName>
    <definedName name="IQRCashBalanceBA10" hidden="1">#REF!</definedName>
    <definedName name="IQRCashBalanceBE10" hidden="1">#REF!</definedName>
    <definedName name="IQRCashBalanceM10" hidden="1">#REF!</definedName>
    <definedName name="IQRCashBalanceN10" hidden="1">#REF!</definedName>
    <definedName name="IQRCashBalanceN2" hidden="1">#REF!</definedName>
    <definedName name="IQRCashBalanceO10" hidden="1">#REF!</definedName>
    <definedName name="IQRCashBalanceP10" hidden="1">#REF!</definedName>
    <definedName name="IQRCashBalanceP2" hidden="1">#REF!</definedName>
    <definedName name="IQRCashBalanceQ10" hidden="1">#REF!</definedName>
    <definedName name="IQRCashBalanceR10" hidden="1">#REF!</definedName>
    <definedName name="IQRCashBalanceR2" hidden="1">#REF!</definedName>
    <definedName name="IQRCashBalanceS10" hidden="1">#REF!</definedName>
    <definedName name="IQRCashBalanceT10" hidden="1">#REF!</definedName>
    <definedName name="IQRCashBalanceT2" hidden="1">#REF!</definedName>
    <definedName name="IQRCashBalanceU10" hidden="1">#REF!</definedName>
    <definedName name="IQRCashBalanceV10" hidden="1">#REF!</definedName>
    <definedName name="IQRCashBalanceV2" hidden="1">#REF!</definedName>
    <definedName name="IQRCashBalanceW10" hidden="1">#REF!</definedName>
    <definedName name="IQRCashBalanceX10" hidden="1">#REF!</definedName>
    <definedName name="IQRCashBalanceX2" hidden="1">#REF!</definedName>
    <definedName name="IQRCashBalanceX7" hidden="1">#REF!</definedName>
    <definedName name="IQRCashBalanceX8" hidden="1">#REF!</definedName>
    <definedName name="IQRCashBalanceY10" hidden="1">#REF!</definedName>
    <definedName name="IQRCashBalanceZ10" hidden="1">#REF!</definedName>
    <definedName name="IQRCashBalanceZ2" hidden="1">#REF!</definedName>
    <definedName name="IQRCorporateProfitsB6" hidden="1">#REF!</definedName>
    <definedName name="IQRCorporateProfitsD7" hidden="1">#REF!</definedName>
    <definedName name="IQRCurrentCompsO6" hidden="1">#REF!</definedName>
    <definedName name="IQRD3" hidden="1">"$D$4:$D$253"</definedName>
    <definedName name="IQRD405" hidden="1">"$D$406:$D$658"</definedName>
    <definedName name="IQRD406" hidden="1">"$D$407:$D$659"</definedName>
    <definedName name="IQRD413" hidden="1">"$D$414:$D$666"</definedName>
    <definedName name="IQRD415" hidden="1">"$D$416:$D$668"</definedName>
    <definedName name="IQRD417" hidden="1">"$D$418:$D$670"</definedName>
    <definedName name="IQRD419" hidden="1">"$D$420:$D$672"</definedName>
    <definedName name="IQRD434" hidden="1">"$D$435:$D$687"</definedName>
    <definedName name="IQRD439" hidden="1">"$D$440:$D$692"</definedName>
    <definedName name="IQRD441" hidden="1">"$D$442:$D$694"</definedName>
    <definedName name="IQRD442" hidden="1">"$D$443:$D$695"</definedName>
    <definedName name="IQRD443" hidden="1">"$D$444:$D$696"</definedName>
    <definedName name="IQRD444" hidden="1">"$D$445:$D$697"</definedName>
    <definedName name="IQRD448" hidden="1">"$D$449:$D$701"</definedName>
    <definedName name="IQRD449" hidden="1">"$D$450:$D$702"</definedName>
    <definedName name="IQRD450" hidden="1">"$D$451:$D$703"</definedName>
    <definedName name="IQRD581" hidden="1">"$D$582:$D$834"</definedName>
    <definedName name="IQRD582" hidden="1">"$D$583:$D$835"</definedName>
    <definedName name="IQRD583" hidden="1">"$D$584:$D$836"</definedName>
    <definedName name="IQRF3" hidden="1">"$F$4:$F$253"</definedName>
    <definedName name="IQRF4" hidden="1">"$F$5:$F$254"</definedName>
    <definedName name="IQRF405" hidden="1">"$F$406:$F$658"</definedName>
    <definedName name="IQRF406" hidden="1">"$F$407:$F$659"</definedName>
    <definedName name="IQRF413" hidden="1">"$F$414:$F$666"</definedName>
    <definedName name="IQRF415" hidden="1">"$F$416:$F$668"</definedName>
    <definedName name="IQRF417" hidden="1">"$F$418:$F$670"</definedName>
    <definedName name="IQRF419" hidden="1">"$F$420:$F$672"</definedName>
    <definedName name="IQRF434" hidden="1">"$F$435:$F$687"</definedName>
    <definedName name="IQRF439" hidden="1">"$F$440:$F$692"</definedName>
    <definedName name="IQRF441" hidden="1">"$F$442:$F$694"</definedName>
    <definedName name="IQRF442" hidden="1">"$F$443:$F$695"</definedName>
    <definedName name="IQRF443" hidden="1">"$F$444:$F$696"</definedName>
    <definedName name="IQRF444" hidden="1">"$F$445:$F$697"</definedName>
    <definedName name="IQRF448" hidden="1">"$F$449:$F$701"</definedName>
    <definedName name="IQRF449" hidden="1">"$F$450:$F$702"</definedName>
    <definedName name="IQRF450" hidden="1">"$F$451:$F$703"</definedName>
    <definedName name="IQRF5" hidden="1">"$F$6:$F$255"</definedName>
    <definedName name="IQRF581" hidden="1">"$F$582:$F$834"</definedName>
    <definedName name="IQRF582" hidden="1">"$F$583:$F$835"</definedName>
    <definedName name="IQRF583" hidden="1">"$F$584:$F$836"</definedName>
    <definedName name="IQRF6" hidden="1">"$F$7:$F$256"</definedName>
    <definedName name="IQRG3" hidden="1">"$G$4:$G$253"</definedName>
    <definedName name="IQRG4" hidden="1">"$G$5:$G$254"</definedName>
    <definedName name="IQRG5" hidden="1">"$G$6:$G$255"</definedName>
    <definedName name="IQRG6" hidden="1">"$G$7:$G$256"</definedName>
    <definedName name="IQRG7" hidden="1">"$G$8:$G$257"</definedName>
    <definedName name="IQRH3" hidden="1">"$H$4:$H$253"</definedName>
    <definedName name="IQRH405" hidden="1">"$H$406:$H$658"</definedName>
    <definedName name="IQRH406" hidden="1">"$H$407:$H$659"</definedName>
    <definedName name="IQRH413" hidden="1">"$H$414:$H$666"</definedName>
    <definedName name="IQRH415" hidden="1">"$H$416:$H$668"</definedName>
    <definedName name="IQRH417" hidden="1">"$H$418:$H$670"</definedName>
    <definedName name="IQRH419" hidden="1">"$H$420:$H$672"</definedName>
    <definedName name="IQRH434" hidden="1">"$H$435:$H$687"</definedName>
    <definedName name="IQRH439" hidden="1">"$H$440:$H$692"</definedName>
    <definedName name="IQRH441" hidden="1">"$H$442:$H$694"</definedName>
    <definedName name="IQRH442" hidden="1">"$H$443:$H$695"</definedName>
    <definedName name="IQRH443" hidden="1">"$H$444:$H$696"</definedName>
    <definedName name="IQRH444" hidden="1">"$H$445:$H$697"</definedName>
    <definedName name="IQRH448" hidden="1">"$H$449:$H$701"</definedName>
    <definedName name="IQRH449" hidden="1">"$H$450:$H$702"</definedName>
    <definedName name="IQRH450" hidden="1">"$H$451:$H$703"</definedName>
    <definedName name="IQRH581" hidden="1">"$H$582:$H$834"</definedName>
    <definedName name="IQRH582" hidden="1">"$H$583:$H$835"</definedName>
    <definedName name="IQRH583" hidden="1">"$H$584:$H$836"</definedName>
    <definedName name="IQRH59" hidden="1">"$H$60"</definedName>
    <definedName name="IQRI287" hidden="1">"$I$288:$I$307"</definedName>
    <definedName name="IQRJ3" hidden="1">"$J$4:$J$253"</definedName>
    <definedName name="IQRJ4" hidden="1">"$J$5:$J$254"</definedName>
    <definedName name="IQRJ405" hidden="1">"$J$406:$J$658"</definedName>
    <definedName name="IQRJ406" hidden="1">"$J$407:$J$659"</definedName>
    <definedName name="IQRJ413" hidden="1">"$J$414:$J$666"</definedName>
    <definedName name="IQRJ415" hidden="1">"$J$416:$J$668"</definedName>
    <definedName name="IQRJ417" hidden="1">"$J$418:$J$670"</definedName>
    <definedName name="IQRJ419" hidden="1">"$J$420:$J$672"</definedName>
    <definedName name="IQRJ434" hidden="1">"$J$435:$J$687"</definedName>
    <definedName name="IQRJ439" hidden="1">"$J$440:$J$692"</definedName>
    <definedName name="IQRJ441" hidden="1">"$J$442:$J$694"</definedName>
    <definedName name="IQRJ442" hidden="1">"$J$443:$J$695"</definedName>
    <definedName name="IQRJ443" hidden="1">"$J$444:$J$696"</definedName>
    <definedName name="IQRJ444" hidden="1">"$J$445:$J$697"</definedName>
    <definedName name="IQRJ448" hidden="1">"$J$449:$J$701"</definedName>
    <definedName name="IQRJ449" hidden="1">"$J$450:$J$702"</definedName>
    <definedName name="IQRJ450" hidden="1">"$J$451:$J$703"</definedName>
    <definedName name="IQRJ5" hidden="1">"$J$6:$J$255"</definedName>
    <definedName name="IQRJ581" hidden="1">"$J$582:$J$834"</definedName>
    <definedName name="IQRJ582" hidden="1">"$J$583:$J$835"</definedName>
    <definedName name="IQRJ583" hidden="1">"$J$584:$J$836"</definedName>
    <definedName name="IQRJ59" hidden="1">"$J$60"</definedName>
    <definedName name="IQRJ6" hidden="1">"$J$7:$J$256"</definedName>
    <definedName name="IQRK102" hidden="1">"$K$103:$K$352"</definedName>
    <definedName name="IQRK3" hidden="1">"$K$4:$K$253"</definedName>
    <definedName name="IQRK4" hidden="1">"$K$5:$K$254"</definedName>
    <definedName name="IQRK5" hidden="1">"$K$6:$K$255"</definedName>
    <definedName name="IQRK6" hidden="1">"$K$7:$K$256"</definedName>
    <definedName name="IQRK71" hidden="1">"$K$72:$K$321"</definedName>
    <definedName name="IQRK73" hidden="1">"$K$74:$K$323"</definedName>
    <definedName name="IQRK74" hidden="1">"$K$75:$K$324"</definedName>
    <definedName name="IQRK75" hidden="1">"$K$76:$K$325"</definedName>
    <definedName name="IQRL3" hidden="1">"$L$4:$L$253"</definedName>
    <definedName name="IQRL405" hidden="1">"$L$406:$L$658"</definedName>
    <definedName name="IQRL406" hidden="1">"$L$407:$L$659"</definedName>
    <definedName name="IQRL413" hidden="1">"$L$414:$L$666"</definedName>
    <definedName name="IQRL415" hidden="1">"$L$416:$L$668"</definedName>
    <definedName name="IQRL417" hidden="1">"$L$418:$L$670"</definedName>
    <definedName name="IQRL419" hidden="1">"$L$420:$L$672"</definedName>
    <definedName name="IQRL434" hidden="1">"$L$435:$L$687"</definedName>
    <definedName name="IQRL439" hidden="1">"$L$440:$L$692"</definedName>
    <definedName name="IQRL441" hidden="1">"$L$442:$L$694"</definedName>
    <definedName name="IQRL442" hidden="1">"$L$443:$L$695"</definedName>
    <definedName name="IQRL443" hidden="1">"$L$444:$L$696"</definedName>
    <definedName name="IQRL444" hidden="1">"$L$445:$L$697"</definedName>
    <definedName name="IQRL448" hidden="1">"$L$449:$L$701"</definedName>
    <definedName name="IQRL449" hidden="1">"$L$450:$L$702"</definedName>
    <definedName name="IQRL450" hidden="1">"$L$451:$L$703"</definedName>
    <definedName name="IQRL581" hidden="1">"$L$582:$L$834"</definedName>
    <definedName name="IQRL582" hidden="1">"$L$583:$L$835"</definedName>
    <definedName name="IQRL583" hidden="1">"$L$584:$L$836"</definedName>
    <definedName name="IQRL59" hidden="1">"$L$60"</definedName>
    <definedName name="IQRL6" hidden="1">"$L$7:$L$256"</definedName>
    <definedName name="IQRL7" hidden="1">"$L$8:$L$257"</definedName>
    <definedName name="IQRM101" hidden="1">"$M$102:$M$351"</definedName>
    <definedName name="IQRM102" hidden="1">"$M$103:$M$352"</definedName>
    <definedName name="IQRM103" hidden="1">"$M$104:$M$353"</definedName>
    <definedName name="IQRM104" hidden="1">"$M$105:$M$354"</definedName>
    <definedName name="IQRM105" hidden="1">"$M$106:$M$355"</definedName>
    <definedName name="IQRM106" hidden="1">"$M$107:$M$357"</definedName>
    <definedName name="IQRM107" hidden="1">"$M$108:$M$358"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12" hidden="1">"$M$113:$M$363"</definedName>
    <definedName name="IQRM113" hidden="1">"$M$114:$M$364"</definedName>
    <definedName name="IQRM22" hidden="1">"$M$23:$M$387"</definedName>
    <definedName name="IQRM3" hidden="1">"$M$4:$M$253"</definedName>
    <definedName name="IQRM97" hidden="1">"$M$98:$M$347"</definedName>
    <definedName name="IQRMovingAverageV4" hidden="1">#REF!</definedName>
    <definedName name="IQRN3" hidden="1">"$N$4:$N$253"</definedName>
    <definedName name="IQRN4" hidden="1">"$N$5:$N$254"</definedName>
    <definedName name="IQRN406" hidden="1">"$N$407:$N$659"</definedName>
    <definedName name="IQRN5" hidden="1">"$N$6:$N$255"</definedName>
    <definedName name="IQRN6" hidden="1">"$N$7:$N$256"</definedName>
    <definedName name="IQRN97" hidden="1">"$N$98:$N$347"</definedName>
    <definedName name="IQRO14" hidden="1">"$O$15:$O$66"</definedName>
    <definedName name="IQRO3" hidden="1">"$O$4:$O$253"</definedName>
    <definedName name="IQRO4" hidden="1">"$O$5:$O$254"</definedName>
    <definedName name="IQRO405" hidden="1">"$O$406:$O$658"</definedName>
    <definedName name="IQRO406" hidden="1">"$O$407:$O$659"</definedName>
    <definedName name="IQRO413" hidden="1">"$O$414:$O$666"</definedName>
    <definedName name="IQRO415" hidden="1">"$O$416:$O$668"</definedName>
    <definedName name="IQRO417" hidden="1">"$O$418:$O$670"</definedName>
    <definedName name="IQRO419" hidden="1">"$O$420:$O$672"</definedName>
    <definedName name="IQRO434" hidden="1">"$O$435:$O$687"</definedName>
    <definedName name="IQRO439" hidden="1">"$O$440:$O$692"</definedName>
    <definedName name="IQRO441" hidden="1">"$O$442:$O$694"</definedName>
    <definedName name="IQRO442" hidden="1">"$O$443:$O$695"</definedName>
    <definedName name="IQRO443" hidden="1">"$O$444:$O$696"</definedName>
    <definedName name="IQRO444" hidden="1">"$O$445:$O$697"</definedName>
    <definedName name="IQRO448" hidden="1">"$O$449:$O$701"</definedName>
    <definedName name="IQRO449" hidden="1">"$O$450:$O$702"</definedName>
    <definedName name="IQRO450" hidden="1">"$O$451:$O$703"</definedName>
    <definedName name="IQRO5" hidden="1">"$O$6:$O$255"</definedName>
    <definedName name="IQRO581" hidden="1">"$O$582:$O$834"</definedName>
    <definedName name="IQRO582" hidden="1">"$O$583:$O$835"</definedName>
    <definedName name="IQRO583" hidden="1">"$O$584:$O$836"</definedName>
    <definedName name="IQRO6" hidden="1">"$O$7:$O$256"</definedName>
    <definedName name="IQRO74" hidden="1">"$O$75:$O$324"</definedName>
    <definedName name="IQRO97" hidden="1">"$O$98:$O$347"</definedName>
    <definedName name="IQRP119" hidden="1">"$P$120:$P$369"</definedName>
    <definedName name="IQRP120" hidden="1">"$P$121:$P$370"</definedName>
    <definedName name="IQRP129" hidden="1">"$P$130:$P$379"</definedName>
    <definedName name="IQRP3" hidden="1">"$P$4:$P$253"</definedName>
    <definedName name="IQRP30" hidden="1">"$P$31:$P$281"</definedName>
    <definedName name="IQRPublicComp1WACC2BF9" hidden="1">#REF!</definedName>
    <definedName name="IQRPublicComp1WACC2BN9" hidden="1">#REF!</definedName>
    <definedName name="IQRPublicComp1WACCBF10" hidden="1">#REF!</definedName>
    <definedName name="IQRPublicComp1WACCBF9" hidden="1">#REF!</definedName>
    <definedName name="IQRPublicComp1WACCBN10" hidden="1">#REF!</definedName>
    <definedName name="IQRPublicComp4WACCBF9" hidden="1">#REF!</definedName>
    <definedName name="IQRPublicComp4WACCBN9" hidden="1">#REF!</definedName>
    <definedName name="IQRPublicComp6WACCBN9" hidden="1">#REF!</definedName>
    <definedName name="IQRPublicComp7WACCBN9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Q102" hidden="1">"$Q$103:$Q$352"</definedName>
    <definedName name="IQRQ129" hidden="1">"$Q$130:$Q$379"</definedName>
    <definedName name="IQRQ3" hidden="1">"$Q$4:$Q$253"</definedName>
    <definedName name="IQRQ6" hidden="1">"$Q$7:$Q$256"</definedName>
    <definedName name="IQRQ7" hidden="1">"$Q$8:$Q$257"</definedName>
    <definedName name="IQRQ73" hidden="1">"$Q$74:$Q$323"</definedName>
    <definedName name="IQRQ74" hidden="1">"$Q$75:$Q$324"</definedName>
    <definedName name="IQRQ77" hidden="1">"$Q$78:$Q$327"</definedName>
    <definedName name="IQRQ94" hidden="1">"$Q$95:$Q$344"</definedName>
    <definedName name="IQRQ95" hidden="1">"$Q$96:$Q$345"</definedName>
    <definedName name="IQRR102" hidden="1">"$R$103:$R$352"</definedName>
    <definedName name="IQRR192" hidden="1">"$R$193:$R$443"</definedName>
    <definedName name="IQRR207" hidden="1">"$R$208:$R$458"</definedName>
    <definedName name="IQRR24" hidden="1">"$R$25:$R$275"</definedName>
    <definedName name="IQRR3" hidden="1">"$R$4:$R$253"</definedName>
    <definedName name="IQRR4" hidden="1">"$R$5:$R$254"</definedName>
    <definedName name="IQRR5" hidden="1">"$R$6:$R$255"</definedName>
    <definedName name="IQRR6" hidden="1">"$R$7:$R$256"</definedName>
    <definedName name="IQRS3" hidden="1">"$S$4:$S$253"</definedName>
    <definedName name="IQRS4" hidden="1">"$S$5:$S$254"</definedName>
    <definedName name="IQRS5" hidden="1">"$S$6:$S$255"</definedName>
    <definedName name="IQRS6" hidden="1">"$S$7:$S$259"</definedName>
    <definedName name="IQRS71" hidden="1">"$S$72:$S$321"</definedName>
    <definedName name="IQRS74" hidden="1">"$S$75:$S$324"</definedName>
    <definedName name="IQRSheet1A3" hidden="1">#REF!</definedName>
    <definedName name="IQRSheet1B10" hidden="1">#REF!</definedName>
    <definedName name="IQRSheet1B5" hidden="1">#REF!</definedName>
    <definedName name="IQRSheet1B8" hidden="1">#REF!</definedName>
    <definedName name="IQRSheet1B9" hidden="1">#REF!</definedName>
    <definedName name="IQRSheet1C10" hidden="1">#REF!</definedName>
    <definedName name="IQRSheet1E2646" hidden="1">#REF!</definedName>
    <definedName name="IQRSheet6BF9" hidden="1">#REF!</definedName>
    <definedName name="IQRSheet6BN9" hidden="1">#REF!</definedName>
    <definedName name="IQRT3" hidden="1">"$T$4:$T$253"</definedName>
    <definedName name="IQRU11" hidden="1">"$U$12:$U$264"</definedName>
    <definedName name="IQRU3" hidden="1">"$U$4:$U$253"</definedName>
    <definedName name="IQRV11" hidden="1">"$V$12:$V$264"</definedName>
    <definedName name="IQRV125" hidden="1">"$V$126:$V$375"</definedName>
    <definedName name="IQRV126" hidden="1">"$V$127:$V$376"</definedName>
    <definedName name="IQRV127" hidden="1">"$V$128:$V$377"</definedName>
    <definedName name="IQRV128" hidden="1">"$V$129:$V$378"</definedName>
    <definedName name="IQRV129" hidden="1">"$V$130:$V$379"</definedName>
    <definedName name="IQRV3" hidden="1">"$V$4:$V$253"</definedName>
    <definedName name="IQRV4" hidden="1">"$V$5:$V$254"</definedName>
    <definedName name="IQRV5" hidden="1">"$V$6:$V$255"</definedName>
    <definedName name="IQRV6" hidden="1">"$V$7:$V$256"</definedName>
    <definedName name="IQRV7" hidden="1">"$V$8:$V$257"</definedName>
    <definedName name="IQRV97" hidden="1">"$V$98:$V$347"</definedName>
    <definedName name="IQRW3" hidden="1">"$W$4:$W$253"</definedName>
    <definedName name="IQRW4" hidden="1">"$W$5:$W$254"</definedName>
    <definedName name="IQRW5" hidden="1">"$W$6:$W$255"</definedName>
    <definedName name="IQRW6" hidden="1">"$W$7:$W$256"</definedName>
    <definedName name="IQRWACC_Comp4BF9" hidden="1">#REF!</definedName>
    <definedName name="IQRWACC_Comp4BN9" hidden="1">#REF!</definedName>
    <definedName name="IQRWACC_Comp6BF9" hidden="1">#REF!</definedName>
    <definedName name="IQRWACC_Comp7BN9" hidden="1">#REF!</definedName>
    <definedName name="IQRWACC_Comp9BF9" hidden="1">#REF!</definedName>
    <definedName name="IQRWACC_Comp9BN9" hidden="1">#REF!</definedName>
    <definedName name="IQRWACCAnalysisBV10" hidden="1">#REF!</definedName>
    <definedName name="IQRX3" hidden="1">"$X$4:$X$253"</definedName>
    <definedName name="IQRY3" hidden="1">"$Y$4:$Y$253"</definedName>
    <definedName name="IQRZ3" hidden="1">"$Z$4:$Z$253"</definedName>
    <definedName name="IQRZ4" hidden="1">"$Z$5:$Z$254"</definedName>
    <definedName name="IQRZ5" hidden="1">"$Z$6:$Z$255"</definedName>
    <definedName name="IQRZ6" hidden="1">"$Z$7:$Z$256"</definedName>
    <definedName name="iQShowHideColumns" hidden="1">"iQShowAll"</definedName>
    <definedName name="IRI_WorkspaceId" hidden="1">"8a6e39098610417db46cc04a2213e7eb"</definedName>
    <definedName name="IsColHidden" hidden="1">FALSE</definedName>
    <definedName name="IsLTMColHidden" hidden="1">FALSE</definedName>
    <definedName name="iv" localSheetId="6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localSheetId="1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 localSheetId="6">{"summary1",#N/A,FALSE,"Summary of Values";"summary2",#N/A,FALSE,"Summary of Values"}</definedName>
    <definedName name="j" localSheetId="13" hidden="1">{"summary1",#N/A,FALSE,"Summary of Values";"summary2",#N/A,FALSE,"Summary of Values"}</definedName>
    <definedName name="j" hidden="1">{"summary1",#N/A,FALSE,"Summary of Values";"summary2",#N/A,FALSE,"Summary of Values"}</definedName>
    <definedName name="jason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eyj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 localSheetId="6">{#N/A,#N/A,FALSE,"Assump";#N/A,#N/A,FALSE,"Income";#N/A,#N/A,FALSE,"Balance";#N/A,#N/A,FALSE,"DCF Pump";#N/A,#N/A,FALSE,"Trans Assump";#N/A,#N/A,FALSE,"Combined Income";#N/A,#N/A,FALSE,"Combined Balance"}</definedName>
    <definedName name="jh" localSheetId="13" hidden="1">{#N/A,#N/A,FALSE,"Assump";#N/A,#N/A,FALSE,"Income";#N/A,#N/A,FALSE,"Balance";#N/A,#N/A,FALSE,"DCF Pump";#N/A,#N/A,FALSE,"Trans Assump";#N/A,#N/A,FALSE,"Combined Income";#N/A,#N/A,FALSE,"Combined Balance"}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rtfyh" hidden="1">#REF!</definedName>
    <definedName name="ji" localSheetId="6">{"'Highlights'!$A$1:$M$123"}</definedName>
    <definedName name="ji" localSheetId="13" hidden="1">{"'Highlights'!$A$1:$M$123"}</definedName>
    <definedName name="ji" hidden="1">{"'Highlights'!$A$1:$M$123"}</definedName>
    <definedName name="jim" localSheetId="6">{"'Directory'!$A$72:$E$91"}</definedName>
    <definedName name="jim" localSheetId="13" hidden="1">{"'Directory'!$A$72:$E$91"}</definedName>
    <definedName name="jim" hidden="1">{"'Directory'!$A$72:$E$91"}</definedName>
    <definedName name="jimm" localSheetId="6">{"'Directory'!$A$72:$E$91"}</definedName>
    <definedName name="jimm" localSheetId="13" hidden="1">{"'Directory'!$A$72:$E$91"}</definedName>
    <definedName name="jimm" hidden="1">{"'Directory'!$A$72:$E$91"}</definedName>
    <definedName name="jip" localSheetId="6">{"'Highlights'!$A$1:$M$123"}</definedName>
    <definedName name="jip" localSheetId="13" hidden="1">{"'Highlights'!$A$1:$M$123"}</definedName>
    <definedName name="jip" hidden="1">{"'Highlights'!$A$1:$M$123"}</definedName>
    <definedName name="jj" localSheetId="6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 localSheetId="1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j" localSheetId="6">{"CSheet",#N/A,FALSE,"C";"SmCap",#N/A,FALSE,"VAL1";"GulfCoast",#N/A,FALSE,"VAL1";"nav",#N/A,FALSE,"NAV";"Summary",#N/A,FALSE,"NAV"}</definedName>
    <definedName name="jjj" localSheetId="13" hidden="1">{"CSheet",#N/A,FALSE,"C";"SmCap",#N/A,FALSE,"VAL1";"GulfCoast",#N/A,FALSE,"VAL1";"nav",#N/A,FALSE,"NAV";"Summary",#N/A,FALSE,"NAV"}</definedName>
    <definedName name="jjj" hidden="1">{"CSheet",#N/A,FALSE,"C";"SmCap",#N/A,FALSE,"VAL1";"GulfCoast",#N/A,FALSE,"VAL1";"nav",#N/A,FALSE,"NAV";"Summary",#N/A,FALSE,"NAV"}</definedName>
    <definedName name="jjjj" localSheetId="6">{"Total",#N/A,FALSE,"Total Proved";"PDP",#N/A,FALSE,"Total Proved";"PNP",#N/A,FALSE,"Total Proved";"PUD",#N/A,FALSE,"Total Proved"}</definedName>
    <definedName name="jjjj" localSheetId="13" hidden="1">{"Total",#N/A,FALSE,"Total Proved";"PDP",#N/A,FALSE,"Total Proved";"PNP",#N/A,FALSE,"Total Proved";"PUD",#N/A,FALSE,"Total Proved"}</definedName>
    <definedName name="jjjj" hidden="1">{"Total",#N/A,FALSE,"Total Proved";"PDP",#N/A,FALSE,"Total Proved";"PNP",#N/A,FALSE,"Total Proved";"PUD",#N/A,FALSE,"Total Proved"}</definedName>
    <definedName name="jjjjj" localSheetId="6">{"Total",#N/A,FALSE,"Total Proved + Probable";"PDP",#N/A,FALSE,"Total Proved + Probable";"PNP",#N/A,FALSE,"Total Proved + Probable";"PUD",#N/A,FALSE,"Total Proved + Probable";"Prob",#N/A,FALSE,"Total Proved + Probable"}</definedName>
    <definedName name="jjjjj" localSheetId="13" hidden="1">{"Total",#N/A,FALSE,"Total Proved + Probable";"PDP",#N/A,FALSE,"Total Proved + Probable";"PNP",#N/A,FALSE,"Total Proved + Probable";"PUD",#N/A,FALSE,"Total Proved + Probable";"Prob",#N/A,FALSE,"Total Proved + Probable"}</definedName>
    <definedName name="jjjjj" hidden="1">{"Total",#N/A,FALSE,"Total Proved + Probable";"PDP",#N/A,FALSE,"Total Proved + Probable";"PNP",#N/A,FALSE,"Total Proved + Probable";"PUD",#N/A,FALSE,"Total Proved + Probable";"Prob",#N/A,FALSE,"Total Proved + Probable"}</definedName>
    <definedName name="jjjjjj" localSheetId="6">{"trademark1",#N/A,FALSE,"Trademark(s) and Trade Name(s)"}</definedName>
    <definedName name="jjjjjj" localSheetId="13" hidden="1">{"trademark1",#N/A,FALSE,"Trademark(s) and Trade Name(s)"}</definedName>
    <definedName name="jjjjjj" hidden="1">{"trademark1",#N/A,FALSE,"Trademark(s) and Trade Name(s)"}</definedName>
    <definedName name="jjjjjjj" localSheetId="6">{"histincome",#N/A,FALSE,"hyfins";"closing balance",#N/A,FALSE,"hyfins"}</definedName>
    <definedName name="jjjjjjj" localSheetId="13" hidden="1">{"histincome",#N/A,FALSE,"hyfins";"closing balance",#N/A,FALSE,"hyfins"}</definedName>
    <definedName name="jjjjjjj" hidden="1">{"histincome",#N/A,FALSE,"hyfins";"closing balance",#N/A,FALSE,"hyfins"}</definedName>
    <definedName name="jklhjk" localSheetId="6">{#N/A,#N/A,FALSE,"Sheet1"}</definedName>
    <definedName name="jklhjk" localSheetId="13" hidden="1">{#N/A,#N/A,FALSE,"Sheet1"}</definedName>
    <definedName name="jklhjk" hidden="1">{#N/A,#N/A,FALSE,"Sheet1"}</definedName>
    <definedName name="joe" localSheetId="6">{"PrintView",#N/A,FALSE,"Cash &amp; Equiv";"PrintView",#N/A,FALSE,"Investments";"Other Assets Print View",#N/A,FALSE,"Other Assets"}</definedName>
    <definedName name="joe" localSheetId="13" hidden="1">{"PrintView",#N/A,FALSE,"Cash &amp; Equiv";"PrintView",#N/A,FALSE,"Investments";"Other Assets Print View",#N/A,FALSE,"Other Assets"}</definedName>
    <definedName name="joe" hidden="1">{"PrintView",#N/A,FALSE,"Cash &amp; Equiv";"PrintView",#N/A,FALSE,"Investments";"Other Assets Print View",#N/A,FALSE,"Other Assets"}</definedName>
    <definedName name="jop" localSheetId="6">{"bs",#N/A,FALSE,"SCF"}</definedName>
    <definedName name="jop" localSheetId="13" hidden="1">{"bs",#N/A,FALSE,"SCF"}</definedName>
    <definedName name="jop" hidden="1">{"bs",#N/A,FALSE,"SCF"}</definedName>
    <definedName name="jsfda" localSheetId="6">{"incomemth",#N/A,TRUE,"forecast00";"incomepercentmth",#N/A,TRUE,"forecast00";"balancemth",#N/A,TRUE,"forecast00";"cashmth",#N/A,TRUE,"forecast00";"covenantmth",#N/A,TRUE,"forecast00"}</definedName>
    <definedName name="jsfda" localSheetId="13" hidden="1">{"incomemth",#N/A,TRUE,"forecast00";"incomepercentmth",#N/A,TRUE,"forecast00";"balancemth",#N/A,TRUE,"forecast00";"cashmth",#N/A,TRUE,"forecast00";"covenantmth",#N/A,TRUE,"forecast00"}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" localSheetId="6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" localSheetId="1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k" localSheetId="6">{"Total",#N/A,FALSE,"Six Fields";"PDP",#N/A,FALSE,"Six Fields";"PNP",#N/A,FALSE,"Six Fields";"PUD",#N/A,FALSE,"Six Fields";"Prob",#N/A,FALSE,"Six Fields"}</definedName>
    <definedName name="k" localSheetId="13" hidden="1">{"Total",#N/A,FALSE,"Six Fields";"PDP",#N/A,FALSE,"Six Fields";"PNP",#N/A,FALSE,"Six Fields";"PUD",#N/A,FALSE,"Six Fields";"Prob",#N/A,FALSE,"Six Fields"}</definedName>
    <definedName name="k" hidden="1">{"Total",#N/A,FALSE,"Six Fields";"PDP",#N/A,FALSE,"Six Fields";"PNP",#N/A,FALSE,"Six Fields";"PUD",#N/A,FALSE,"Six Fields";"Prob",#N/A,FALSE,"Six Fields"}</definedName>
    <definedName name="K2_WBEVMODE" hidden="1">-1</definedName>
    <definedName name="kay" localSheetId="6">{"bs",#N/A,FALSE,"SCF"}</definedName>
    <definedName name="kay" localSheetId="13" hidden="1">{"bs",#N/A,FALSE,"SCF"}</definedName>
    <definedName name="kay" hidden="1">{"bs",#N/A,FALSE,"SCF"}</definedName>
    <definedName name="kedar2" localSheetId="6">{"bs",#N/A,FALSE,"SCF"}</definedName>
    <definedName name="kedar2" localSheetId="13" hidden="1">{"bs",#N/A,FALSE,"SCF"}</definedName>
    <definedName name="kedar2" hidden="1">{"bs",#N/A,FALSE,"SCF"}</definedName>
    <definedName name="key" hidden="1">#REF!</definedName>
    <definedName name="Key1V2" hidden="1">#REF!</definedName>
    <definedName name="keycopr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IT" localSheetId="6">{"equity comps",#N/A,FALSE,"CS Comps";"equity comps",#N/A,FALSE,"PS Comps";"equity comps",#N/A,FALSE,"GIC_Comps";"equity comps",#N/A,FALSE,"GIC2_Comps"}</definedName>
    <definedName name="KIT" localSheetId="13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j" localSheetId="6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localSheetId="1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slf" localSheetId="6">{#N/A,#N/A,FALSE,"Sheet1"}</definedName>
    <definedName name="kjdslf" localSheetId="13" hidden="1">{#N/A,#N/A,FALSE,"Sheet1"}</definedName>
    <definedName name="kjdslf" hidden="1">{#N/A,#N/A,FALSE,"Sheet1"}</definedName>
    <definedName name="kk" localSheetId="6">{"Sum1",#N/A,FALSE,"Reserve Report";"Sum2",#N/A,FALSE,"Reserve Report";"Sum3",#N/A,FALSE,"Reserve Report";"Sum4",#N/A,FALSE,"Reserve Report"}</definedName>
    <definedName name="kk" localSheetId="13" hidden="1">{"Sum1",#N/A,FALSE,"Reserve Report";"Sum2",#N/A,FALSE,"Reserve Report";"Sum3",#N/A,FALSE,"Reserve Report";"Sum4",#N/A,FALSE,"Reserve Report"}</definedName>
    <definedName name="kk" hidden="1">{"Sum1",#N/A,FALSE,"Reserve Report";"Sum2",#N/A,FALSE,"Reserve Report";"Sum3",#N/A,FALSE,"Reserve Report";"Sum4",#N/A,FALSE,"Reserve Report"}</definedName>
    <definedName name="kkk" localSheetId="6">{"'下期集計（10.27迄・速報値）'!$Q$16"}</definedName>
    <definedName name="kkk" localSheetId="13" hidden="1">{"'下期集計（10.27迄・速報値）'!$Q$16"}</definedName>
    <definedName name="kkk" hidden="1">{"'下期集計（10.27迄・速報値）'!$Q$16"}</definedName>
    <definedName name="kkkkk" localSheetId="6">{#N/A,#N/A,FALSE,"Report Data";#N/A,#N/A,FALSE,"COMP POOL";#N/A,#N/A,FALSE,"COMP POOL NB95";#N/A,#N/A,FALSE,"COMP POOL NB94"}</definedName>
    <definedName name="kkkkk" localSheetId="13" hidden="1">{#N/A,#N/A,FALSE,"Report Data";#N/A,#N/A,FALSE,"COMP POOL";#N/A,#N/A,FALSE,"COMP POOL NB95";#N/A,#N/A,FALSE,"COMP POOL NB94"}</definedName>
    <definedName name="kkkkk" hidden="1">{#N/A,#N/A,FALSE,"Report Data";#N/A,#N/A,FALSE,"COMP POOL";#N/A,#N/A,FALSE,"COMP POOL NB95";#N/A,#N/A,FALSE,"COMP POOL NB94"}</definedName>
    <definedName name="kl" localSheetId="6">{"bs",#N/A,FALSE,"SCF"}</definedName>
    <definedName name="kl" localSheetId="13" hidden="1">{"bs",#N/A,FALSE,"SCF"}</definedName>
    <definedName name="kl" hidden="1">{"bs",#N/A,FALSE,"SCF"}</definedName>
    <definedName name="kol" localSheetId="6">{"away stand alones",#N/A,FALSE,"Target"}</definedName>
    <definedName name="kol" localSheetId="13" hidden="1">{"away stand alones",#N/A,FALSE,"Target"}</definedName>
    <definedName name="kol" hidden="1">{"away stand alones",#N/A,FALSE,"Target"}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"toad:Company"</definedName>
    <definedName name="kyd.Dim.02." hidden="1">"chandep#"</definedName>
    <definedName name="kyd.ElementList.01." hidden="1">#REF!</definedName>
    <definedName name="kyd.ElementList.02." hidden="1">#REF!</definedName>
    <definedName name="kyd.ElementType.01." hidden="1">3</definedName>
    <definedName name="kyd.ElementType.02." hidden="1">1</definedName>
    <definedName name="kyd.ItemType.01." hidden="1">2</definedName>
    <definedName name="kyd.ItemType.02." hidden="1">2</definedName>
    <definedName name="kyd.NumLevels.01." hidden="1">999</definedName>
    <definedName name="kyd.NumLevels.02." hidden="1">999</definedName>
    <definedName name="kyd.ParentName.01." hidden="1">""</definedName>
    <definedName name="kyd.ParentName.02." hidden="1">""</definedName>
    <definedName name="kyd.PrintParent.01." hidden="1">TRUE</definedName>
    <definedName name="kyd.PrintParent.02." hidden="1">TRUE</definedName>
    <definedName name="kyd.SelectString.01." hidden="1">"*"</definedName>
    <definedName name="kyd.SelectString.02." hidden="1">"*"</definedName>
    <definedName name="l" localSheetId="6">{#N/A,#N/A,TRUE,"Acquirer_Cases_Input";#N/A,#N/A,TRUE,"Acquirer_Input";#N/A,#N/A,TRUE,"Acquirer"}</definedName>
    <definedName name="l" localSheetId="13" hidden="1">{#N/A,#N/A,TRUE,"Acquirer_Cases_Input";#N/A,#N/A,TRUE,"Acquirer_Input";#N/A,#N/A,TRUE,"Acquirer"}</definedName>
    <definedName name="l" hidden="1">{#N/A,#N/A,TRUE,"Acquirer_Cases_Input";#N/A,#N/A,TRUE,"Acquirer_Input";#N/A,#N/A,TRUE,"Acquirer"}</definedName>
    <definedName name="LBO" localSheetId="6">{#N/A,#N/A,FALSE,"Projections";#N/A,#N/A,FALSE,"Multiples Valuation";#N/A,#N/A,FALSE,"LBO";#N/A,#N/A,FALSE,"Multiples_Sensitivity";#N/A,#N/A,FALSE,"Summary"}</definedName>
    <definedName name="LBO" localSheetId="13" hidden="1">{#N/A,#N/A,FALSE,"Projections";#N/A,#N/A,FALSE,"Multiples Valuation";#N/A,#N/A,FALSE,"LBO";#N/A,#N/A,FALSE,"Multiples_Sensitivity";#N/A,#N/A,FALSE,"Summary"}</definedName>
    <definedName name="LBO" hidden="1">{#N/A,#N/A,FALSE,"Projections";#N/A,#N/A,FALSE,"Multiples Valuation";#N/A,#N/A,FALSE,"LBO";#N/A,#N/A,FALSE,"Multiples_Sensitivity";#N/A,#N/A,FALSE,"Summary"}</definedName>
    <definedName name="lima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2</definedName>
    <definedName name="ListOffset" hidden="1">1</definedName>
    <definedName name="lk" localSheetId="6">{"bs",#N/A,FALSE,"SCF"}</definedName>
    <definedName name="lk" localSheetId="13" hidden="1">{"bs",#N/A,FALSE,"SCF"}</definedName>
    <definedName name="lk" hidden="1">{"bs",#N/A,FALSE,"SCF"}</definedName>
    <definedName name="lkjlkj" localSheetId="6">{"Final",#N/A,FALSE,"Feb-96"}</definedName>
    <definedName name="lkjlkj" localSheetId="13" hidden="1">{"Final",#N/A,FALSE,"Feb-96"}</definedName>
    <definedName name="lkjlkj" hidden="1">{"Final",#N/A,FALSE,"Feb-96"}</definedName>
    <definedName name="ll" localSheetId="6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 localSheetId="1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l" localSheetId="6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 localSheetId="1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l" localSheetId="6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 localSheetId="1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l" localSheetId="6">{#N/A,#N/A,FALSE,"SUM";#N/A,#N/A,FALSE,"Holding Cost ";#N/A,#N/A,FALSE,"2000 &amp; C3D";#N/A,#N/A,FALSE,"Disposal Costs";#N/A,#N/A,FALSE,"WIP";#N/A,#N/A,FALSE,"Fin Goods"}</definedName>
    <definedName name="lllll" localSheetId="13" hidden="1">{#N/A,#N/A,FALSE,"SUM";#N/A,#N/A,FALSE,"Holding Cost ";#N/A,#N/A,FALSE,"2000 &amp; C3D";#N/A,#N/A,FALSE,"Disposal Costs";#N/A,#N/A,FALSE,"WIP";#N/A,#N/A,FALSE,"Fin Goods"}</definedName>
    <definedName name="lllll" hidden="1">{#N/A,#N/A,FALSE,"SUM";#N/A,#N/A,FALSE,"Holding Cost ";#N/A,#N/A,FALSE,"2000 &amp; C3D";#N/A,#N/A,FALSE,"Disposal Costs";#N/A,#N/A,FALSE,"WIP";#N/A,#N/A,FALSE,"Fin Goods"}</definedName>
    <definedName name="llllll" localSheetId="6">{"revenue detail 1",#N/A,FALSE,"Revenue Detail";"revenue detail 2",#N/A,FALSE,"Revenue Detail";"revenue detail 3",#N/A,FALSE,"Revenue Detail";"revenue detail 4",#N/A,FALSE,"Revenue Detail"}</definedName>
    <definedName name="llllll" localSheetId="13" hidden="1">{"revenue detail 1",#N/A,FALSE,"Revenue Detail";"revenue detail 2",#N/A,FALSE,"Revenue Detail";"revenue detail 3",#N/A,FALSE,"Revenue Detail";"revenue detail 4",#N/A,FALSE,"Revenue Detail"}</definedName>
    <definedName name="llllll" hidden="1">{"revenue detail 1",#N/A,FALSE,"Revenue Detail";"revenue detail 2",#N/A,FALSE,"Revenue Detail";"revenue detail 3",#N/A,FALSE,"Revenue Detail";"revenue detail 4",#N/A,FALSE,"Revenue Detail"}</definedName>
    <definedName name="lllllll" localSheetId="6">{"revenue graph",#N/A,FALSE,"Revenue Graph"}</definedName>
    <definedName name="lllllll" localSheetId="13" hidden="1">{"revenue graph",#N/A,FALSE,"Revenue Graph"}</definedName>
    <definedName name="lllllll" hidden="1">{"revenue graph",#N/A,FALSE,"Revenue Graph"}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h" localSheetId="6">{"GTI monthly IS",#N/A,FALSE,"gti";#N/A,#N/A,FALSE,"gti"}</definedName>
    <definedName name="longh" localSheetId="13" hidden="1">{"GTI monthly IS",#N/A,FALSE,"gti";#N/A,#N/A,FALSE,"gti"}</definedName>
    <definedName name="longh" hidden="1">{"GTI monthly IS",#N/A,FALSE,"gti";#N/A,#N/A,FALSE,"gti"}</definedName>
    <definedName name="m" localSheetId="6">{#N/A,#N/A,TRUE,"MAIN FT TERM";#N/A,#N/A,TRUE,"MCI  FT TERM ";#N/A,#N/A,TRUE,"OC12 EQV"}</definedName>
    <definedName name="m" localSheetId="13" hidden="1">{#N/A,#N/A,TRUE,"MAIN FT TERM";#N/A,#N/A,TRUE,"MCI  FT TERM ";#N/A,#N/A,TRUE,"OC12 EQV"}</definedName>
    <definedName name="m" hidden="1">{#N/A,#N/A,TRUE,"MAIN FT TERM";#N/A,#N/A,TRUE,"MCI  FT TERM ";#N/A,#N/A,TRUE,"OC12 EQV"}</definedName>
    <definedName name="MA" localSheetId="6">{#N/A,#N/A,FALSE,"Consol P&amp;L ";#N/A,#N/A,FALSE,"CP P&amp;L";#N/A,#N/A,FALSE,"ADS P&amp;L";#N/A,#N/A,FALSE,"Corp P&amp;L"}</definedName>
    <definedName name="MA" localSheetId="13" hidden="1">{#N/A,#N/A,FALSE,"Consol P&amp;L ";#N/A,#N/A,FALSE,"CP P&amp;L";#N/A,#N/A,FALSE,"ADS P&amp;L";#N/A,#N/A,FALSE,"Corp P&amp;L"}</definedName>
    <definedName name="MA" hidden="1">{#N/A,#N/A,FALSE,"Consol P&amp;L ";#N/A,#N/A,FALSE,"CP P&amp;L";#N/A,#N/A,FALSE,"ADS P&amp;L";#N/A,#N/A,FALSE,"Corp P&amp;L"}</definedName>
    <definedName name="March" localSheetId="6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 localSheetId="1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6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1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uro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ed_prod" localSheetId="6">{#N/A,#N/A,FALSE,"Prem_Sum";#N/A,#N/A,FALSE,"Prem"}</definedName>
    <definedName name="Med_prod" localSheetId="13" hidden="1">{#N/A,#N/A,FALSE,"Prem_Sum";#N/A,#N/A,FALSE,"Prem"}</definedName>
    <definedName name="Med_prod" hidden="1">{#N/A,#N/A,FALSE,"Prem_Sum";#N/A,#N/A,FALSE,"Prem"}</definedName>
    <definedName name="Med_prod.xls" localSheetId="6">{#N/A,#N/A,FALSE,"FACTSHEETS";#N/A,#N/A,FALSE,"pump";#N/A,#N/A,FALSE,"filter"}</definedName>
    <definedName name="Med_prod.xls" localSheetId="13" hidden="1">{#N/A,#N/A,FALSE,"FACTSHEETS";#N/A,#N/A,FALSE,"pump";#N/A,#N/A,FALSE,"filter"}</definedName>
    <definedName name="Med_prod.xls" hidden="1">{#N/A,#N/A,FALSE,"FACTSHEETS";#N/A,#N/A,FALSE,"pump";#N/A,#N/A,FALSE,"filter"}</definedName>
    <definedName name="Med_products" localSheetId="6">{#N/A,#N/A,FALSE,"FACTSHEETS";#N/A,#N/A,FALSE,"pump";#N/A,#N/A,FALSE,"filter"}</definedName>
    <definedName name="Med_products" localSheetId="13" hidden="1">{#N/A,#N/A,FALSE,"FACTSHEETS";#N/A,#N/A,FALSE,"pump";#N/A,#N/A,FALSE,"filter"}</definedName>
    <definedName name="Med_products" hidden="1">{#N/A,#N/A,FALSE,"FACTSHEETS";#N/A,#N/A,FALSE,"pump";#N/A,#N/A,FALSE,"filter"}</definedName>
    <definedName name="MerrillPrintIt" hidden="1">#REF!</definedName>
    <definedName name="MEWarning" hidden="1">1</definedName>
    <definedName name="mfgr" localSheetId="6">{"PAGE 1",#N/A,FALSE,"WEST_OT"}</definedName>
    <definedName name="mfgr" localSheetId="13" hidden="1">{"PAGE 1",#N/A,FALSE,"WEST_OT"}</definedName>
    <definedName name="mfgr" hidden="1">{"PAGE 1",#N/A,FALSE,"WEST_OT"}</definedName>
    <definedName name="mfgtest" localSheetId="6">{"PAGE 1",#N/A,FALSE,"WEST_OT"}</definedName>
    <definedName name="mfgtest" localSheetId="13" hidden="1">{"PAGE 1",#N/A,FALSE,"WEST_OT"}</definedName>
    <definedName name="mfgtest" hidden="1">{"PAGE 1",#N/A,FALSE,"WEST_OT"}</definedName>
    <definedName name="mj" localSheetId="6">{#N/A,#N/A,FALSE,"Heat";#N/A,#N/A,FALSE,"DCF";#N/A,#N/A,FALSE,"LBO";#N/A,#N/A,FALSE,"A";#N/A,#N/A,FALSE,"C";#N/A,#N/A,FALSE,"impd";#N/A,#N/A,FALSE,"Accr-Dilu"}</definedName>
    <definedName name="mj" localSheetId="13" hidden="1">{#N/A,#N/A,FALSE,"Heat";#N/A,#N/A,FALSE,"DCF";#N/A,#N/A,FALSE,"LBO";#N/A,#N/A,FALSE,"A";#N/A,#N/A,FALSE,"C";#N/A,#N/A,FALSE,"impd";#N/A,#N/A,FALSE,"Accr-Dilu"}</definedName>
    <definedName name="mj" hidden="1">{#N/A,#N/A,FALSE,"Heat";#N/A,#N/A,FALSE,"DCF";#N/A,#N/A,FALSE,"LBO";#N/A,#N/A,FALSE,"A";#N/A,#N/A,FALSE,"C";#N/A,#N/A,FALSE,"impd";#N/A,#N/A,FALSE,"Accr-Dilu"}</definedName>
    <definedName name="MKK" localSheetId="6">{"'下期集計（10.27迄・速報値）'!$Q$16"}</definedName>
    <definedName name="MKK" localSheetId="13" hidden="1">{"'下期集計（10.27迄・速報値）'!$Q$16"}</definedName>
    <definedName name="MKK" hidden="1">{"'下期集計（10.27迄・速報値）'!$Q$16"}</definedName>
    <definedName name="MLNK001a80ff05c14549b6968cbe46f7b9fe" hidden="1">#REF!</definedName>
    <definedName name="MLNK0029a2db3fcc4eecbadadd84ea97e13e" hidden="1">#REF!</definedName>
    <definedName name="MLNK004a0959ac41400d82cd0b978e160b91" hidden="1">#REF!</definedName>
    <definedName name="MLNK0080f629ed1b41818e3b4168146b044c" hidden="1">#REF!</definedName>
    <definedName name="MLNK012a601c87aa4a63bb6e950c06c5dc3a" hidden="1">#REF!</definedName>
    <definedName name="MLNK0146247cc3134e37a5709c1007be706f" hidden="1">#REF!</definedName>
    <definedName name="MLNK0154a9782792405a8bed62b79de9de88" hidden="1">#REF!</definedName>
    <definedName name="MLNK01accadbebff4db8bbb0f8bfc77a8708" hidden="1">#REF!</definedName>
    <definedName name="MLNK01b1f866082e490d9d27489e01b6955b" hidden="1">#REF!</definedName>
    <definedName name="MLNK01c1b3ccc5704aeaa8ef94698b078894" hidden="1">#REF!</definedName>
    <definedName name="MLNK01c5ceaa10e24507adab41de59f80724" hidden="1">#REF!</definedName>
    <definedName name="MLNK01c7a4d0f64948868a40d27f2aa4d998" hidden="1">#REF!</definedName>
    <definedName name="MLNK01e74e1779f34329bdd3cef410ce912c" hidden="1">#REF!</definedName>
    <definedName name="MLNK01fcffd4dbbf41bbbd2d43e012cb91c6" hidden="1">#REF!</definedName>
    <definedName name="MLNK022d45756e5e4e6b8964df9c378c7002" hidden="1">#REF!</definedName>
    <definedName name="MLNK023e5246b2d943d6ba0268c58c1b6e84" hidden="1">#REF!</definedName>
    <definedName name="MLNK024d4c9e6a1341b1b1119be6ccb6f648" hidden="1">#REF!</definedName>
    <definedName name="MLNK02a30ffa5e8c42d888ab214449c1047d" hidden="1">#REF!</definedName>
    <definedName name="MLNK02bd389437cd4d8b990685811bf30dbb" hidden="1">#REF!</definedName>
    <definedName name="MLNK02f143f44e1f48e28fc91ebaff73d315" hidden="1">#REF!</definedName>
    <definedName name="MLNK02fdb8a718fa44bd9f28c343dab5ef86" hidden="1">#REF!</definedName>
    <definedName name="MLNK030ec4e17eb0487881db060d5a162257" hidden="1">#REF!</definedName>
    <definedName name="MLNK0313b527b7f54e0482750bca50f41766" hidden="1">#REF!</definedName>
    <definedName name="MLNK032a7ef0ea374d4c9479d0640fb77603" hidden="1">#REF!</definedName>
    <definedName name="MLNK03de70ec765b4556904bb17cc6e17d76" hidden="1">#REF!</definedName>
    <definedName name="MLNK03e3e71e40424022af7dbc1eda244c28" hidden="1">#REF!</definedName>
    <definedName name="MLNK046370ffb7484ea3942f5d15ebefe1bc" hidden="1">#REF!</definedName>
    <definedName name="MLNK049a6cdeca044f11896538ba25c72484" hidden="1">#REF!</definedName>
    <definedName name="MLNK04b29eb543d14b179f39cbbda1d08109" hidden="1">#REF!</definedName>
    <definedName name="MLNK04e8232b24f444d2a3653f138d1f593c" hidden="1">#REF!</definedName>
    <definedName name="MLNK05109aa1a4b2467aa894f159e7a35b92" hidden="1">#REF!</definedName>
    <definedName name="MLNK05e76dc6960c4f1e9185901519d70bf5" hidden="1">#REF!</definedName>
    <definedName name="MLNK0612231b3cf54422bcc21f378d6178ee" hidden="1">#REF!</definedName>
    <definedName name="MLNK0638738d6d744815824cc68d6a505f58" hidden="1">#REF!</definedName>
    <definedName name="MLNK0647f839cd9e4795a248d82e2fb99d47" hidden="1">#REF!</definedName>
    <definedName name="MLNK067230215cad4376addcce0ee2037cf8" hidden="1">#REF!</definedName>
    <definedName name="MLNK068aae2f8f9e4275bcaafb0beab44474" hidden="1">#REF!</definedName>
    <definedName name="MLNK069e0db62d8f4d178f7b11015e2bb116" hidden="1">#REF!</definedName>
    <definedName name="MLNK06f34e61b5304f7087931436c7639669" hidden="1">#REF!</definedName>
    <definedName name="MLNK06ffa43103cb4b0387928598adc2fa09" hidden="1">#REF!</definedName>
    <definedName name="MLNK070f7c964a3347d59211cd424510add7" hidden="1">#REF!</definedName>
    <definedName name="MLNK071345b37e3b4462827635b24a9526c2" hidden="1">#REF!</definedName>
    <definedName name="MLNK071b0a11b073406aa81763064ab52106" hidden="1">#REF!</definedName>
    <definedName name="MLNK0733f820f4cf4b95923670a2c8d25a0d" hidden="1">#REF!</definedName>
    <definedName name="MLNK075a1000068c408ea2ccf3b2ad9cb321" hidden="1">#REF!</definedName>
    <definedName name="MLNK0761816f6d124df585ee85ea9b345fa9" hidden="1">#REF!</definedName>
    <definedName name="MLNK0793f8f3070446d4a19bae88ebbce328" hidden="1">#REF!</definedName>
    <definedName name="MLNK079f5a73c8364fbf9b77a583095774b7" hidden="1">#REF!</definedName>
    <definedName name="MLNK0808c9204056405a8504762a61f5bb7c" hidden="1">#REF!</definedName>
    <definedName name="MLNK083f9032b5bc4c238e9d60a643145534" hidden="1">#REF!</definedName>
    <definedName name="MLNK0842d415e249473e9437576cfd134e4b" hidden="1">#REF!</definedName>
    <definedName name="MLNK0858ea2ce6934f10b4f2dbbc5e98b009" hidden="1">#REF!</definedName>
    <definedName name="MLNK08e808cc2ba34297992b51e10977d001" hidden="1">#REF!</definedName>
    <definedName name="MLNK090ceaccc12d413794a49ca2218dff13" hidden="1">#REF!</definedName>
    <definedName name="MLNK092ef938fe694b40b7a57828b9b9945b" hidden="1">#REF!</definedName>
    <definedName name="MLNK094ae2cf73854f25be3daae2785ec707" hidden="1">#REF!</definedName>
    <definedName name="MLNK0954c33bf5ef4bdf9aba19fe5f904926" hidden="1">#REF!</definedName>
    <definedName name="MLNK099d9e5926b1497a967db4b9f7ced311" hidden="1">#REF!</definedName>
    <definedName name="MLNK09cd7dbaa03045f89afa5948a57084bb" hidden="1">#REF!</definedName>
    <definedName name="MLNK09ee301443a24207a7888c268487f4fd" hidden="1">#REF!</definedName>
    <definedName name="MLNK0a377b42e1c24123a514d0ffc6ff85b3" hidden="1">#REF!</definedName>
    <definedName name="MLNK0a95c9ad26f041229889d4fff98550af" hidden="1">#REF!</definedName>
    <definedName name="MLNK0ad1b373f5b74c40b71d2fa3be9251d6" hidden="1">#REF!</definedName>
    <definedName name="MLNK0ae7f5927a054f8fa73714bb72fabb21" hidden="1">#REF!</definedName>
    <definedName name="MLNK0b363239dd854af3baf9bb633a72f560" hidden="1">#REF!</definedName>
    <definedName name="MLNK0b5ff2763f4645ef8ccf52f2f8208ef0" hidden="1">#REF!</definedName>
    <definedName name="MLNK0bd7e1da50d743ffa053212ca64d27dd" hidden="1">#REF!</definedName>
    <definedName name="MLNK0c105577c12c4068a95f4f80a12c002f" hidden="1">#REF!</definedName>
    <definedName name="MLNK0c40f22efb9d4a33933c9157062d6cce" hidden="1">#REF!</definedName>
    <definedName name="MLNK0c48bed944e9498cba5c2b08bfab86c6" hidden="1">#REF!</definedName>
    <definedName name="MLNK0c52eb89a0264374acc67959ae4f603f" hidden="1">#REF!</definedName>
    <definedName name="MLNK0c7fbc750e914592972f750f0ca5188b" hidden="1">#REF!</definedName>
    <definedName name="MLNK0caa629f9f1f48779101cf8af00425e3" hidden="1">#REF!</definedName>
    <definedName name="MLNK0ce3e734337748aea8279bbe0a46bc91" hidden="1">#REF!</definedName>
    <definedName name="MLNK0ce66c987ffd44a08afaca088f2b866d" hidden="1">#REF!</definedName>
    <definedName name="MLNK0cf5cbe10bba4d02806523ecf5a7caa0" hidden="1">#REF!</definedName>
    <definedName name="MLNK0d196377627e48fbbb797f385521e7c9" hidden="1">#REF!</definedName>
    <definedName name="MLNK0d26d33ecf6942aba1b3fcd6558f0dc0" hidden="1">#REF!</definedName>
    <definedName name="MLNK0d6afda4f3354bfc84bde7b2b1a233e7" hidden="1">#REF!</definedName>
    <definedName name="MLNK0da82c4bc2834e139e720997143fb0cb" hidden="1">#REF!</definedName>
    <definedName name="MLNK0dab32f843164184b6ee674d256a3c9e" hidden="1">#REF!</definedName>
    <definedName name="MLNK0dd155b2e6b341ccad931e7db3c33951" hidden="1">#REF!</definedName>
    <definedName name="MLNK0de49bfd9597493fb9147395aab54590" hidden="1">#REF!</definedName>
    <definedName name="MLNK0e40149d86134610bd9e0ab52d13718c" hidden="1">#REF!</definedName>
    <definedName name="MLNK0e73e66cc615444caf1b88cd81e76379" hidden="1">#REF!</definedName>
    <definedName name="MLNK0e7a1970c7c344b6a7e0895f9ab2aadd" hidden="1">#REF!</definedName>
    <definedName name="MLNK0e802151b2984d889f369d4a22894fa3" hidden="1">#REF!</definedName>
    <definedName name="MLNK0e988521518b44f8acc016b8c5142b04" hidden="1">#REF!</definedName>
    <definedName name="MLNK0ea8bc194f4241288f82d08c90be0821" hidden="1">#REF!</definedName>
    <definedName name="MLNK0ea8e2ef7b5c4b10aa34ed3e8ff41f6b" hidden="1">#REF!</definedName>
    <definedName name="MLNK0eb8150713ce4cd8871bed8c1141104f" hidden="1">#REF!</definedName>
    <definedName name="MLNK0ed0c8b560a548d0b3d7e2672924f23a" hidden="1">#REF!</definedName>
    <definedName name="MLNK0f3c1287ebad467fb7341ce5261f30c6" hidden="1">#REF!</definedName>
    <definedName name="MLNK0f6cc886f3da466090759751971bf676" hidden="1">#REF!</definedName>
    <definedName name="MLNK0faeaeb6ed5c4410ad610b2be7cec455" hidden="1">#REF!</definedName>
    <definedName name="MLNK10341875af084525a3ca6890e4d310f3" hidden="1">#REF!</definedName>
    <definedName name="MLNK104aee804f734992af8beb0715d3b386" hidden="1">#REF!</definedName>
    <definedName name="MLNK105fdc035e2c403393a12540e9601bbe" hidden="1">#REF!</definedName>
    <definedName name="MLNK108f367a08034676b6a6e8631227ea99" hidden="1">#REF!</definedName>
    <definedName name="MLNK1097254fb1b54abaacf155050feb7b85" hidden="1">#REF!</definedName>
    <definedName name="MLNK10cb869d5a0c47f7bd3e0507673242dc" hidden="1">#REF!</definedName>
    <definedName name="MLNK11aa8161fc504e0f9d2379222714c9c8" hidden="1">#REF!</definedName>
    <definedName name="MLNK1289e78ed9504efcabdc74a25eddbe70" hidden="1">#REF!</definedName>
    <definedName name="MLNK12dee047aa3f4beaafd3936e540ac18e" hidden="1">#REF!</definedName>
    <definedName name="MLNK13d9f7e3738248ce824895de9107feff" hidden="1">#REF!</definedName>
    <definedName name="MLNK142c1e8b31b041a19631a2cd87b3427c" hidden="1">#REF!</definedName>
    <definedName name="MLNK14e36f743f6547fe964b1154c4ea46b6" hidden="1">#REF!</definedName>
    <definedName name="MLNK153d1e3d7d8046c29c926ab432126477" hidden="1">#REF!</definedName>
    <definedName name="MLNK164990058f1a431b9398caa12031af71" hidden="1">#REF!</definedName>
    <definedName name="MLNK16ba6a6542744965aa852ff2866305b8" hidden="1">#REF!</definedName>
    <definedName name="MLNK16e85f3eb0134fdeb7310375f53ac2b3" hidden="1">#REF!</definedName>
    <definedName name="MLNK177a5c3941e244028e188c75a9ee82cc" hidden="1">#REF!</definedName>
    <definedName name="MLNK178ba5ce714442959a298451247232db" hidden="1">#REF!</definedName>
    <definedName name="MLNK17f134ae092e40ba8a828748d971f308" hidden="1">#REF!</definedName>
    <definedName name="MLNK1850ba09f0aa4ee78ca563e074bf887a" hidden="1">#REF!</definedName>
    <definedName name="MLNK186bb8ac60ef47cca297083b5fcad2f1" hidden="1">#REF!</definedName>
    <definedName name="MLNK186ef97e691449fba4d91196b9fe6ead" hidden="1">#REF!</definedName>
    <definedName name="MLNK187850a6f3894d11b89b4b356149b532" hidden="1">#REF!</definedName>
    <definedName name="MLNK18c599bf84554eac845e07acef6cc7f1" hidden="1">#REF!</definedName>
    <definedName name="MLNK196a78f76bfa4d5eb12c85104b574402" hidden="1">#REF!</definedName>
    <definedName name="MLNK1a0dfe4afc4940f08e73d2849451d28a" hidden="1">#REF!</definedName>
    <definedName name="MLNK1a1936eefafa43b8a4cb8f252f05e88d" hidden="1">#REF!</definedName>
    <definedName name="MLNK1a4530f7ff7b462b84d30e42610e3332" hidden="1">#REF!</definedName>
    <definedName name="MLNK1a88ef8825b144d4934a34e10540c754" hidden="1">#REF!</definedName>
    <definedName name="MLNK1a8a6413018049b9b9427d0c507e2e42" hidden="1">#REF!</definedName>
    <definedName name="MLNK1af1fd7f37c94571b7555035f20d920b" hidden="1">#REF!</definedName>
    <definedName name="MLNK1b33e97d01234a3fb012094d6b28a4cf" hidden="1">#REF!</definedName>
    <definedName name="MLNK1b43814ee97f48d78b5ef8f5c7e89726" hidden="1">#REF!</definedName>
    <definedName name="MLNK1b56d935131041268c36a1a69e282eef" hidden="1">#REF!</definedName>
    <definedName name="MLNK1b86c43398924f9c951516a9c520c2e5" hidden="1">#REF!</definedName>
    <definedName name="MLNK1c40490962664e8ca4e0cb4a1ab7abf0" hidden="1">#REF!</definedName>
    <definedName name="MLNK1c619c7774c3452e9d348c94413a707d" hidden="1">#REF!</definedName>
    <definedName name="MLNK1cf9af1c88ef4922ad06f0eca7c871f0" hidden="1">#REF!</definedName>
    <definedName name="MLNK1dbaebac199f4b30a8c42427a7685253" hidden="1">#REF!</definedName>
    <definedName name="MLNK1de3d00b677741c693f4b60450b0c500" hidden="1">#REF!</definedName>
    <definedName name="MLNK1e49079ed1f1481aab43b5d5eecc3c97" hidden="1">#REF!</definedName>
    <definedName name="MLNK1e60f83cd7c84422b95a4492ab79f86b" hidden="1">#REF!</definedName>
    <definedName name="MLNK1e6b90b2cfb1479caf9e34cfffb9284e" hidden="1">#REF!</definedName>
    <definedName name="MLNK1e743555964d4bbb8a6cde43baf2eff0" hidden="1">#REF!</definedName>
    <definedName name="MLNK1ebbfd62e1494c07a7885dea60395160" hidden="1">#REF!</definedName>
    <definedName name="MLNK1f53fbd0f82445d487d511a1688291b9" hidden="1">#REF!</definedName>
    <definedName name="MLNK1f6d06afa54546fcb51b44c94833fc53" hidden="1">#REF!</definedName>
    <definedName name="MLNK1fd6f9b924584427b2f67c71605bf9d1" hidden="1">#REF!</definedName>
    <definedName name="MLNK20067948657d405daa28e03fcaad8c19" hidden="1">#REF!</definedName>
    <definedName name="MLNK200cea2cfe39418aaef0ab529ea64e3b" hidden="1">#REF!</definedName>
    <definedName name="MLNK2043b23fdb8a435caae0de85f29646b4" hidden="1">#REF!</definedName>
    <definedName name="MLNK20a14aca840b49c58c617e2257f3e40f" hidden="1">#REF!</definedName>
    <definedName name="MLNK20edf30d6c8b4c86b7c193fb13bb05b2" hidden="1">#REF!</definedName>
    <definedName name="MLNK20fac060f3db4f53bb3582eabeeb0e24" hidden="1">#REF!</definedName>
    <definedName name="MLNK2128bcf6c91e43409f416694b2a49bbf" hidden="1">#REF!</definedName>
    <definedName name="MLNK21c0049c811b4420942bc61b3a2971f6" hidden="1">#REF!</definedName>
    <definedName name="MLNK21d78cce335a47e8ab27ec1350941ca7" hidden="1">#REF!</definedName>
    <definedName name="MLNK225e028d080940b7803aae26e34de15a" hidden="1">#REF!</definedName>
    <definedName name="MLNK22d5e78337c84bd7908175ba0e2edd94" hidden="1">#REF!</definedName>
    <definedName name="MLNK2315d09589f54f069a6e933168bc80e6" hidden="1">#REF!</definedName>
    <definedName name="MLNK237d04f6e8444037a808500007f1408e" hidden="1">#REF!</definedName>
    <definedName name="MLNK239c1c4bfcd0488a8c60a7812f23ba54" hidden="1">#REF!</definedName>
    <definedName name="MLNK24061bd9e8584c80aed6e39173670bdf" hidden="1">#REF!</definedName>
    <definedName name="MLNK2411e5cb7bff402d889283397d34726d" hidden="1">#REF!</definedName>
    <definedName name="MLNK2429fb1b788b47129fe97137a029866e" hidden="1">#REF!</definedName>
    <definedName name="MLNK24382ac55747434cbe84f45dcfb87558" hidden="1">#REF!</definedName>
    <definedName name="MLNK2455aebbf9a441299f2145fd061dc24f" hidden="1">#REF!</definedName>
    <definedName name="MLNK246abac262ac47d38ff014518367adf5" hidden="1">#REF!</definedName>
    <definedName name="MLNK24b44ca607684079a22e4d7b865fac8a" hidden="1">#REF!</definedName>
    <definedName name="MLNK251d306e36914e41bf122dd91457f08e" hidden="1">#REF!</definedName>
    <definedName name="MLNK2528746ca89948dfb79456ffee8ab3f8" hidden="1">#REF!</definedName>
    <definedName name="MLNK260482138bb7457098508242aa1a4eca" hidden="1">#REF!</definedName>
    <definedName name="MLNK26a4f2fd37864222bc1bf6d3f0b1905c" hidden="1">#REF!</definedName>
    <definedName name="MLNK2789e4b38b7f46b69b9d4766b0bc429b" hidden="1">#REF!</definedName>
    <definedName name="MLNK281db84a92d04d14b5c909fcbfdc4ca0" hidden="1">#REF!</definedName>
    <definedName name="MLNK282f82a9d41944b4b1124f2558062d53" hidden="1">#REF!</definedName>
    <definedName name="MLNK28604eb6b95044ffb26ed1a11c9f636a" hidden="1">#REF!</definedName>
    <definedName name="MLNK288a543751284cec9a0e58c2b39a6780" hidden="1">#REF!</definedName>
    <definedName name="MLNK28b0efc6b72f430491fb5464bff974ed" hidden="1">#REF!</definedName>
    <definedName name="MLNK28d7772f206a4e45b255351fa0e195a8" hidden="1">#REF!</definedName>
    <definedName name="MLNK2935eee0aaee42dba30577ebb540f22f" hidden="1">#REF!</definedName>
    <definedName name="MLNK29906730f9ba443db04b9d1a41c37575" hidden="1">#REF!</definedName>
    <definedName name="MLNK29b2bb1aa9bf45749e13e66d755fdd6b" hidden="1">#REF!</definedName>
    <definedName name="MLNK2a2eb5b2f28d41ed9d98b6884d8e28c6" hidden="1">#REF!</definedName>
    <definedName name="MLNK2a7da34465b3497c9cc27baaf7ba74a7" hidden="1">#REF!</definedName>
    <definedName name="MLNK2b22fd3110794f1c8d4757cfd586e683" hidden="1">#REF!</definedName>
    <definedName name="MLNK2b9149c4a06640ada2c37fb49eaca1a2" hidden="1">#REF!</definedName>
    <definedName name="MLNK2b9f2cc7fde3462daa10be72138db961" hidden="1">#REF!</definedName>
    <definedName name="MLNK2bdf8dc186634fec8d84ebde44594410" hidden="1">#REF!</definedName>
    <definedName name="MLNK2bf750094a3640f9a3780d6afe542b76" hidden="1">#REF!</definedName>
    <definedName name="MLNK2bfd0b75c2bf4f0bac45103f2dffc4db" hidden="1">#REF!</definedName>
    <definedName name="MLNK2c75576617b2482698f3581c56ec2fae" hidden="1">#REF!</definedName>
    <definedName name="MLNK2da09f23c5b949f290e743e533ecd5ef" hidden="1">#REF!</definedName>
    <definedName name="MLNK2de2a48b620b4e4fbac5812f62d83186" hidden="1">#REF!</definedName>
    <definedName name="MLNK2e08472118e948e5b7c9c97aa6290406" hidden="1">#REF!</definedName>
    <definedName name="MLNK2e897cc32ecd41368a70295d9ef6ad33" hidden="1">#REF!</definedName>
    <definedName name="MLNK2eaeed4539ad4f4b9cbbf43e4ed28afb" hidden="1">#REF!</definedName>
    <definedName name="MLNK2f0f016eefbb4db68c9e897c2e3499f8" hidden="1">#REF!</definedName>
    <definedName name="MLNK2f8ea2f8b6974b6482e68ea862d9d108" hidden="1">#REF!</definedName>
    <definedName name="MLNK2f9179d73806428bb4e720043652dc87" hidden="1">#REF!</definedName>
    <definedName name="MLNK2fa869fa0ba54addb8f8f38ace7c87c4" hidden="1">#REF!</definedName>
    <definedName name="MLNK2fdb8d612fc947468bbcd744585a761b" hidden="1">#REF!</definedName>
    <definedName name="MLNK300525c6f10141d593602a72940f6e14" hidden="1">#REF!</definedName>
    <definedName name="MLNK3061450bfd7044989588564d8ad9b988" hidden="1">#REF!</definedName>
    <definedName name="MLNK308c9e56529b4852a1df350f7283bb84" hidden="1">#REF!</definedName>
    <definedName name="MLNK3099246381034553ab1763ee1399f727" hidden="1">#REF!</definedName>
    <definedName name="MLNK30c53cb0e6fd46c39173cd882490e169" hidden="1">#REF!</definedName>
    <definedName name="MLNK30cc8baccc10475aa2ff89e711244eae" hidden="1">#REF!</definedName>
    <definedName name="MLNK311e0e3a1a84497dba3d1fab1eec99a2" hidden="1">#REF!</definedName>
    <definedName name="MLNK31fc18691ac44fe196bd7ff49e8f3b69" hidden="1">#REF!</definedName>
    <definedName name="MLNK31fce08da23c4592a86b67468930385d" hidden="1">#REF!</definedName>
    <definedName name="MLNK326a4919306343a1ab82a360dfe1b943" hidden="1">#REF!</definedName>
    <definedName name="MLNK328fd440e9524b0ba828fd37ab4c8ea0" hidden="1">#REF!</definedName>
    <definedName name="MLNK32dce6af1c574afa98aac16107bbfd46" hidden="1">#REF!</definedName>
    <definedName name="MLNK332af91dccae4f9cb602b07b841a95b3" hidden="1">#REF!</definedName>
    <definedName name="MLNK339db016e33e4fa58634925a6ad9438f" hidden="1">#REF!</definedName>
    <definedName name="MLNK339e5f9789894cc8b1803027ca109f2e" hidden="1">#REF!</definedName>
    <definedName name="MLNK340361f3aa004facab7bac511a743b1f" hidden="1">#REF!</definedName>
    <definedName name="MLNK342e3f6d277b4110a6d2821dff9b34fc" hidden="1">#REF!</definedName>
    <definedName name="MLNK34332aac43b54dee93c40f73b5fc3ba6" hidden="1">#REF!</definedName>
    <definedName name="MLNK344f08a48de14e3eb8a3aab8ccb18301" hidden="1">#REF!</definedName>
    <definedName name="MLNK348f44a552a540078282a10d6ac1b186" hidden="1">#REF!</definedName>
    <definedName name="MLNK349d12034f93433fabbcf2d7599d6e4a" hidden="1">#REF!</definedName>
    <definedName name="MLNK34e3e0364e7b455996c004eee5501acd" hidden="1">#REF!</definedName>
    <definedName name="MLNK35459868630e41c0a7cd4448fbf94924" hidden="1">#REF!</definedName>
    <definedName name="MLNK35d6aa00d3464bdebc972bd7b4adc50a" hidden="1">#REF!</definedName>
    <definedName name="MLNK36a0eb6e245142a8b86a5050162573e0" hidden="1">#REF!</definedName>
    <definedName name="MLNK370321de8e4f42abaf006deb4a704e72" hidden="1">#REF!</definedName>
    <definedName name="MLNK3707eca45256404aac92cec6d40c5bfb" hidden="1">#REF!</definedName>
    <definedName name="MLNK37160acaaf704b628bc0ad174ed738e4" hidden="1">#REF!</definedName>
    <definedName name="MLNK372049ec9d45496c9773693749288f7c" hidden="1">#REF!</definedName>
    <definedName name="MLNK372abd0aff0e4ac8b0c9521d48bcc39c" hidden="1">#REF!</definedName>
    <definedName name="MLNK383e435ce9f444f9959820f25cd226a1" hidden="1">#REF!</definedName>
    <definedName name="MLNK384a12934a284d7a9c70760d85610f5e" hidden="1">#REF!</definedName>
    <definedName name="MLNK391e1592f34f4e6b8f65ec6da2d64a6d" hidden="1">#REF!</definedName>
    <definedName name="MLNK39a06ab1e6aa4f5296d31dd2dd616600" hidden="1">#REF!</definedName>
    <definedName name="MLNK39a2a898dad148739170f220d440f83b" hidden="1">#REF!</definedName>
    <definedName name="MLNK3b3287447a644d67bd6425c5c1b81e5c" hidden="1">#REF!</definedName>
    <definedName name="MLNK3b5cf33141fc47289bdf490a14302e8e" hidden="1">#REF!</definedName>
    <definedName name="MLNK3b9fb3a9165443f68788b0197aad80e5" hidden="1">#REF!</definedName>
    <definedName name="MLNK3bbf463efb92434392c6d607f9e86527" hidden="1">#REF!</definedName>
    <definedName name="MLNK3bd7c0e5924841f2ad9ef2b0653da3d7" hidden="1">#REF!</definedName>
    <definedName name="MLNK3c594e3686c1417fa251abb6a654f583" hidden="1">#REF!</definedName>
    <definedName name="MLNK3cb4e868d25743c29fbbe076f7f82915" hidden="1">#REF!</definedName>
    <definedName name="MLNK3cb7a153ab454934961a077319d3aac2" hidden="1">#REF!</definedName>
    <definedName name="MLNK3d49d1215d264eb58f9e1a3863434ff7" hidden="1">#REF!</definedName>
    <definedName name="MLNK3d82fba1c532431c9f9d70f99e5fcdd4" hidden="1">#REF!</definedName>
    <definedName name="MLNK3dbcb0be00ae4453976661dd1617f70a" hidden="1">#REF!</definedName>
    <definedName name="MLNK3e6f96ef26944aa7af6f072c8c7ed5e5" hidden="1">#REF!</definedName>
    <definedName name="MLNK40137eb3d2ae4fe5b80826272388b74d" hidden="1">#REF!</definedName>
    <definedName name="MLNK407b0748935f44eda48b435f435e67c7" hidden="1">#REF!</definedName>
    <definedName name="MLNK40eaf1033aeb4c62b173a9c4fb3aaf25" hidden="1">#REF!</definedName>
    <definedName name="MLNK4135837227e643af9acaa2ca9088984e" hidden="1">#REF!</definedName>
    <definedName name="MLNK413f69eccdd54337a4c08ea1b9101124" hidden="1">#REF!</definedName>
    <definedName name="MLNK415df2c666ec4accbdd92f86fd9d1992" hidden="1">#REF!</definedName>
    <definedName name="MLNK427f58bcbf6e4199bc722ab556d5fe84" hidden="1">#REF!</definedName>
    <definedName name="MLNK432273d43fe14ee9a1e5c47a692e645f" hidden="1">#REF!</definedName>
    <definedName name="MLNK433407f4e86e4fd2b5c5ff37e75f419f" hidden="1">#REF!</definedName>
    <definedName name="MLNK4342a35132f9411c9e6c5724700ad7e2" hidden="1">#REF!</definedName>
    <definedName name="MLNK4345bf5a869048b086c0fe54dca923d2" hidden="1">#REF!</definedName>
    <definedName name="MLNK4399cdae22ea4315aa0aaf973d16a716" hidden="1">#REF!</definedName>
    <definedName name="MLNK43f5ad25ad0e4482bfc3f6401216c4d5" hidden="1">#REF!</definedName>
    <definedName name="MLNK43f8b6952ac24e47ba9f0be1d03fffc9" hidden="1">#REF!</definedName>
    <definedName name="MLNK44e3a2d31f5e4727966c7d538de7d52b" hidden="1">#REF!</definedName>
    <definedName name="MLNK453a8aaa7aef4c16a9805aedc7fde307" hidden="1">#REF!</definedName>
    <definedName name="MLNK4586aee921e540319c4230df51920cb5" hidden="1">#REF!</definedName>
    <definedName name="MLNK45e521f879084d7ca0fc10f683b08aee" hidden="1">#REF!</definedName>
    <definedName name="MLNK45e6ec245af0452ea474716a660b3d61" hidden="1">#REF!</definedName>
    <definedName name="MLNK46120b4845c14fada7df6c9954e31cc4" hidden="1">#REF!</definedName>
    <definedName name="MLNK4658c580a224432eb80f943a7241bb05" hidden="1">#REF!</definedName>
    <definedName name="MLNK465ed50b393240f0bc895eb259a95267" hidden="1">#REF!</definedName>
    <definedName name="MLNK46757ad32c7644a39e75ef0376ebdf86" hidden="1">#REF!</definedName>
    <definedName name="MLNK468ce8660ac3422091a12950e39f7f0c" hidden="1">#REF!</definedName>
    <definedName name="MLNK46ac712039c14ebabe61431bb9556b7e" hidden="1">#REF!</definedName>
    <definedName name="MLNK46f8c177a6354a10a909f28bca4e53ea" hidden="1">#REF!</definedName>
    <definedName name="MLNK47519572e0ec487287a2968338e94d8b" hidden="1">#REF!</definedName>
    <definedName name="MLNK479bc61a53514e77810a2ac220305049" hidden="1">#REF!</definedName>
    <definedName name="MLNK47a3bd0c4d2e4bf0b38af6c9bbf898dc" hidden="1">#REF!</definedName>
    <definedName name="MLNK482094e9072b4bd9bd658fe1822f3cf1" hidden="1">#REF!</definedName>
    <definedName name="MLNK492bee5d7baf44e3a37f2a022a73fd76" hidden="1">#REF!</definedName>
    <definedName name="MLNK49d1217ec34a4979bba2efd528376dca" hidden="1">#REF!</definedName>
    <definedName name="MLNK49f5392899ef40cb85e53f1ea2c500a6" hidden="1">#REF!</definedName>
    <definedName name="MLNK4b2799fc501b4a1aa3fecf9e1dce9e24" hidden="1">#REF!</definedName>
    <definedName name="MLNK4b399e2f0e5f41e08bc1505fddd6feed" hidden="1">#REF!</definedName>
    <definedName name="MLNK4b6deb91c8d94b76ad4e7d34f1520a7a" hidden="1">#REF!</definedName>
    <definedName name="MLNK4b6f5d58615c42b0a484018fedc3ad1c" hidden="1">#REF!</definedName>
    <definedName name="MLNK4c5893de0c6b411dbecc625423767105" hidden="1">#REF!</definedName>
    <definedName name="MLNK4c92e2693961479ca9178be4bfea1401" hidden="1">#REF!</definedName>
    <definedName name="MLNK4d30c65824be4a41a633b26131c2b192" hidden="1">#REF!</definedName>
    <definedName name="MLNK4d4368c2fb29476d84b074219fca3645" hidden="1">#REF!</definedName>
    <definedName name="MLNK4d65cd3fd64f46a4a75c63dfee58f85d" hidden="1">#REF!</definedName>
    <definedName name="MLNK4dd5380cad0f4ae89b5a51900b766bc0" hidden="1">#REF!</definedName>
    <definedName name="MLNK4f37261b9ecc4dbdb97cf6b3af08ff16" hidden="1">#REF!</definedName>
    <definedName name="MLNK4f51b33387844e998f69b4e715a9e606" hidden="1">#REF!</definedName>
    <definedName name="MLNK4ff446ea21b640db83797d8dc152ffab" hidden="1">#REF!</definedName>
    <definedName name="MLNK4ff8572370fe4f15bb47aab28d8f8bd2" hidden="1">#REF!</definedName>
    <definedName name="MLNK5022e304572c46cd940c97fef362cf41" hidden="1">#REF!</definedName>
    <definedName name="MLNK5058624f76284d668101194a44285ee6" hidden="1">#REF!</definedName>
    <definedName name="MLNK506e3ab54e724e9c89f097bb1ab6df80" hidden="1">#REF!</definedName>
    <definedName name="MLNK5112a914e03b44b5b642f2dc4cd88c4d" hidden="1">#REF!</definedName>
    <definedName name="MLNK5144749db37348199928f12213c7c66e" hidden="1">#REF!</definedName>
    <definedName name="MLNK5153eb9a6efe450ab0f74bb6ee94322c" hidden="1">#REF!</definedName>
    <definedName name="MLNK515e38f5393c4ba1921677f0ced69cdb" hidden="1">#REF!</definedName>
    <definedName name="MLNK5174d69f057849e4a042282e9e2296c0" hidden="1">#REF!</definedName>
    <definedName name="MLNK517e4b51d02947e3ba0594260ba0d45e" hidden="1">#REF!</definedName>
    <definedName name="MLNK519de93bf78f47a1891887d3e149a825" hidden="1">#REF!</definedName>
    <definedName name="MLNK51b9322b297e42f98857a44ab5909471" hidden="1">#REF!</definedName>
    <definedName name="MLNK52215100950345f7ac4fb1cf09422517" hidden="1">#REF!</definedName>
    <definedName name="MLNK523938909daa4113b5389f7f3367a70b" hidden="1">#REF!</definedName>
    <definedName name="MLNK5243b4869cf342d98e8ba29fa17c0b60" hidden="1">#REF!</definedName>
    <definedName name="MLNK52622e2fd25943f9b38cacc978394d03" hidden="1">#REF!</definedName>
    <definedName name="MLNK52923a577919421b9bb69d18fc5d66de" hidden="1">#REF!</definedName>
    <definedName name="MLNK52d88a9049f34beea6c2bd46c139c15e" hidden="1">#REF!</definedName>
    <definedName name="MLNK52dfc42163a24e15a3b3ffc54e1dce17" hidden="1">#REF!</definedName>
    <definedName name="MLNK52fb39cf081d4806b16909d9eb363c98" hidden="1">#REF!</definedName>
    <definedName name="MLNK5323f2bc55a04b0f908e21fe00af67e6" hidden="1">#REF!</definedName>
    <definedName name="MLNK534adbd662a6456f83ed0c1c39c87fbb" hidden="1">#REF!</definedName>
    <definedName name="MLNK53630e5bed204c5589360f9b24a140af" hidden="1">#REF!</definedName>
    <definedName name="MLNK5396b3f096794ec392a4d747f245981f" hidden="1">#REF!</definedName>
    <definedName name="MLNK53d7b0caaed146078091740cc893b8f1" hidden="1">#REF!</definedName>
    <definedName name="MLNK540009530c974479b128fdaaec98b51d" hidden="1">#REF!</definedName>
    <definedName name="MLNK5427b219985343eb844cf7ee5f64e601" hidden="1">#REF!</definedName>
    <definedName name="MLNK5488eaac1d064fceb74e71512b1be4e2" hidden="1">#REF!</definedName>
    <definedName name="MLNK5504a03a15d443e8985512713de6c01c" hidden="1">#REF!</definedName>
    <definedName name="MLNK555bce0a00624ad1b15ef496ba195be1" hidden="1">#REF!</definedName>
    <definedName name="MLNK5590f6cba0f0457a8222fc14a2ca98da" hidden="1">#REF!</definedName>
    <definedName name="MLNK55ad1f9073064640b409adffd2cb8165" hidden="1">#REF!</definedName>
    <definedName name="MLNK56df14b7b30943c1b85636cf03218603" hidden="1">#REF!</definedName>
    <definedName name="MLNK57982bf85a794c8aa525e7ac6e60b0f6" hidden="1">#REF!</definedName>
    <definedName name="MLNK586d0bb520b840d5b2d9f87bc89b9dad" hidden="1">#REF!</definedName>
    <definedName name="MLNK58b9ee432b5d4da3bf936adb1c9b2c3a" hidden="1">#REF!</definedName>
    <definedName name="MLNK58ede9999bda47e9bd9e9d28d2ab61e0" hidden="1">#REF!</definedName>
    <definedName name="MLNK5946d7acb0c54ff1b98626b97c51f8f8" hidden="1">#REF!</definedName>
    <definedName name="MLNK594c21c0287749de92e37cf114847173" hidden="1">#REF!</definedName>
    <definedName name="MLNK596365a0066d4aeb967d6d36a6736762" hidden="1">#REF!</definedName>
    <definedName name="MLNK59a213ff0dc04323853195654bed4fe2" hidden="1">#REF!</definedName>
    <definedName name="MLNK59dc78129dad41daadddb4e2d3443158" hidden="1">#REF!</definedName>
    <definedName name="MLNK5a060de93e884fb58dc5011c81171135" hidden="1">#REF!</definedName>
    <definedName name="MLNK5a27ffafa3fc41a181eeabd5f4112c04" hidden="1">#REF!</definedName>
    <definedName name="MLNK5a72b3eded524719b5746b0b14f3b6c4" hidden="1">#REF!</definedName>
    <definedName name="MLNK5b2e60d5d7b64311989b93eb34d45176" hidden="1">#REF!</definedName>
    <definedName name="MLNK5b2f68d714724a7b9b02126821c61413" hidden="1">#REF!</definedName>
    <definedName name="MLNK5b30e6ec30184528a991264334b66e38" hidden="1">#REF!</definedName>
    <definedName name="MLNK5b5905e52d9e40b284e9ac9ffbaf90a0" hidden="1">#REF!</definedName>
    <definedName name="MLNK5c433bc2bff143cf971a50e9def7025b" hidden="1">#REF!</definedName>
    <definedName name="MLNK5c6351df31384542b195835faacc31c1" hidden="1">#REF!</definedName>
    <definedName name="MLNK5c9e514150424ee69d66bae762cf6c4f" hidden="1">#REF!</definedName>
    <definedName name="MLNK5cabb8dcbb15437f8e0eb9dd5f1b985a" hidden="1">#REF!</definedName>
    <definedName name="MLNK5cfa7a3874094ffb8ed420dda53d0579" hidden="1">#REF!</definedName>
    <definedName name="MLNK5d64853982e94e3db2cf55ba57c8ee21" hidden="1">#REF!</definedName>
    <definedName name="MLNK5db0a98a21f14cce8a60ab462240779c" hidden="1">#REF!</definedName>
    <definedName name="MLNK5e0db2adcb794df5ac016bb1c795f8b4" hidden="1">#REF!</definedName>
    <definedName name="MLNK5e3d26b9b9a84ddca7455fd7f7145399" hidden="1">#REF!</definedName>
    <definedName name="MLNK5e5fc4f1516345b6af18940a03d9cafe" hidden="1">#REF!</definedName>
    <definedName name="MLNK5e857408172044d287c568a5075ee9a5" hidden="1">#REF!</definedName>
    <definedName name="MLNK5e92a53576ba4ef48f6748ca5ef64411" hidden="1">#REF!</definedName>
    <definedName name="MLNK5ea02ac23f6d4fd383f5d5a7eecdd744" hidden="1">#REF!</definedName>
    <definedName name="MLNK5ea734fd650e44128a317394f222e324" hidden="1">#REF!</definedName>
    <definedName name="MLNK5eb0c621b872471da685bdf9ef40aa0a" hidden="1">#REF!</definedName>
    <definedName name="MLNK5eeb63978e314c049583c327ee5279a3" hidden="1">#REF!</definedName>
    <definedName name="MLNK5f48a83efdae4ed8826196cf51d5bc9a" hidden="1">#REF!</definedName>
    <definedName name="MLNK5f7445f0198c4c72b45ca3c4d7b5d246" hidden="1">#REF!</definedName>
    <definedName name="MLNK5fa30aa39eec423ca217bcb8c12226cb" hidden="1">#REF!</definedName>
    <definedName name="MLNK5fb96af2b2cb4108b4f56b56c5bb0cee" hidden="1">#REF!</definedName>
    <definedName name="MLNK5fcc7913344e4b7690421cfaaee9a4f8" hidden="1">#REF!</definedName>
    <definedName name="MLNK5fd76e0369fb431e94268b472ef5af82" hidden="1">#REF!</definedName>
    <definedName name="MLNK6066c234cd3544f3847f8be4eacea21a" hidden="1">#REF!</definedName>
    <definedName name="MLNK6095d4a5f30c4b068b2524487523e5b5" hidden="1">#REF!</definedName>
    <definedName name="MLNK60b591b4001a4f6d909345acd30e33cf" hidden="1">#REF!</definedName>
    <definedName name="MLNK60d197bccf8e4c4394da0da49d1def7d" hidden="1">#REF!</definedName>
    <definedName name="MLNK610741c6918041808e7d7c93aaa96979" hidden="1">#REF!</definedName>
    <definedName name="MLNK61201e0fd4504f1a8c85e6233279a4e9" hidden="1">#REF!</definedName>
    <definedName name="MLNK61cd9d4c901e4e82b2bb513f9cde7813" hidden="1">#REF!</definedName>
    <definedName name="MLNK62177c39b8d841b898da9e68f79f1349" hidden="1">#REF!</definedName>
    <definedName name="MLNK6297992188924e10b7332c1b99221e4a" hidden="1">#REF!</definedName>
    <definedName name="MLNK62c6c770778040fe91d4ce1cc1aa3bad" hidden="1">#REF!</definedName>
    <definedName name="MLNK62e9b43c74254741a96c7c08aeff91d8" hidden="1">#REF!</definedName>
    <definedName name="MLNK62f309b00600435db44a8ef653b2da04" hidden="1">#REF!</definedName>
    <definedName name="MLNK6355ef8a976b43bfb1ad2d07e78d3330" hidden="1">#REF!</definedName>
    <definedName name="MLNK635bee11a1824ba4bd2db7c63bf33d14" hidden="1">#REF!</definedName>
    <definedName name="MLNK63bc82a0f53a46b8b6437a9dc65ccb4f" hidden="1">#REF!</definedName>
    <definedName name="MLNK63d456bc947840bfb7e7373cd8ab9994" hidden="1">#REF!</definedName>
    <definedName name="MLNK63ee547546d144b199e15dbb06675846" hidden="1">#REF!</definedName>
    <definedName name="MLNK6429455a706741b99dcc3ad1ccb404c8" hidden="1">#REF!</definedName>
    <definedName name="MLNK644b676c85b449c6826a8dc93f8070df" hidden="1">#REF!</definedName>
    <definedName name="MLNK644dcf1bf52f417aa716184cf0fd8bd8" hidden="1">#REF!</definedName>
    <definedName name="MLNK64a4bf567a764032aa1007aadbd09ff2" hidden="1">#REF!</definedName>
    <definedName name="MLNK64ce728235bf4533ae2a6733f203c368" hidden="1">#REF!</definedName>
    <definedName name="MLNK65141bc1223e4d279add91fcec469831" hidden="1">#REF!</definedName>
    <definedName name="MLNK6579549cbefc4d6b9e1572480592f7e7" hidden="1">#REF!</definedName>
    <definedName name="MLNK6585e33c2370413bbf68a4712e26c9fd" hidden="1">#REF!</definedName>
    <definedName name="MLNK65c71766418d4694bd6032beb15991d8" hidden="1">#REF!</definedName>
    <definedName name="MLNK65d397fb486b4fa68788010856397ff3" hidden="1">#REF!</definedName>
    <definedName name="MLNK663d3150a282474aa25d50a01adef9a2" hidden="1">#REF!</definedName>
    <definedName name="MLNK66631ca042ff4695b6c4e1f43a29df7f" hidden="1">#REF!</definedName>
    <definedName name="MLNK6691aef3d4d84c1d858d75d773fa7a81" hidden="1">#REF!</definedName>
    <definedName name="MLNK66bae34447b844cc80aae78b3116bb67" hidden="1">#REF!</definedName>
    <definedName name="MLNK66d40a0f09914585ae88988f0cd8f2a8" hidden="1">#REF!</definedName>
    <definedName name="MLNK66f59d6951cd454aa338999d51cdb398" hidden="1">#REF!</definedName>
    <definedName name="MLNK678b903b7eb04cf38383dc3e26fe2330" hidden="1">#REF!</definedName>
    <definedName name="MLNK678ca70bb7df4803ab1d660f38b700ae" hidden="1">#REF!</definedName>
    <definedName name="MLNK679e22ef6b334a10b30277f3c3dfb283" hidden="1">#REF!</definedName>
    <definedName name="MLNK68773e46d1504654be5b3fee881ae950" hidden="1">#REF!</definedName>
    <definedName name="MLNK688d691807224a78a76de9b4b3d81713" hidden="1">#REF!</definedName>
    <definedName name="MLNK689454874f9344b3a3b97cfe127a3080" hidden="1">#REF!</definedName>
    <definedName name="MLNK6966108912cc465b865058aa1f369ef8" hidden="1">#REF!</definedName>
    <definedName name="MLNK69b5bac49e1b459a978447ebd6a321a7" hidden="1">#REF!</definedName>
    <definedName name="MLNK6a21a893bea24a21b0e12b45a89de6de" hidden="1">#REF!</definedName>
    <definedName name="MLNK6a4023ae88d0498ab1e29c6ab049f63f" hidden="1">#REF!</definedName>
    <definedName name="MLNK6a744b0890e9474b8c1528a0fda567a5" hidden="1">#REF!</definedName>
    <definedName name="MLNK6a7f67b85e5a47f292395eb7231ae747" hidden="1">#REF!</definedName>
    <definedName name="MLNK6ab919f6030148729f6de57da8de0c54" hidden="1">#REF!</definedName>
    <definedName name="MLNK6abd4d675d1b43c8ab68f02bc28e2301" hidden="1">#REF!</definedName>
    <definedName name="MLNK6ac08b583e5444f288e54a7b4b1768b8" hidden="1">#REF!</definedName>
    <definedName name="MLNK6b5b3f4ac7f64865930057f5cf2f919a" hidden="1">#REF!</definedName>
    <definedName name="MLNK6b76f5d033574b0fa92dc4f6e86de63d" hidden="1">#REF!</definedName>
    <definedName name="MLNK6becf9a830444e728a88cda3906352aa" hidden="1">#REF!</definedName>
    <definedName name="MLNK6ca3d19ca352426280ed226f5ee897cf" hidden="1">#REF!</definedName>
    <definedName name="MLNK6d1420e4403a4d4d98a43a30e0903c15" hidden="1">#REF!</definedName>
    <definedName name="MLNK6d4d614547a04ccc8d122cdf30f25a19" hidden="1">#REF!</definedName>
    <definedName name="MLNK6dafe59d938f4663a75ca0727877fad0" hidden="1">#REF!</definedName>
    <definedName name="MLNK6e154079eeb7451a8cbaccee27434421" hidden="1">#REF!</definedName>
    <definedName name="MLNK6e30d0a1f7d34e27991961eceec4a45a" hidden="1">#REF!</definedName>
    <definedName name="MLNK6ea964c653f74013a6e9ae07ca782606" hidden="1">#REF!</definedName>
    <definedName name="MLNK6ec3f29bc6e0474998ea25fecdc7e1f4" hidden="1">#REF!</definedName>
    <definedName name="MLNK6f11c95ca2234275a64be7e5a9893474" hidden="1">#REF!</definedName>
    <definedName name="MLNK6f3a752cf9a641dcabe08adefccd967f" hidden="1">#REF!</definedName>
    <definedName name="MLNK6fc2199e7160468ea6283f202e1b206e" hidden="1">#REF!</definedName>
    <definedName name="MLNK6ff6768252744844943fc133d0bc9a91" hidden="1">#REF!</definedName>
    <definedName name="MLNK701e16dea6c94f77ad7c4a227437ee98" hidden="1">#REF!</definedName>
    <definedName name="MLNK7034f501682043b29d7d55ed3acf1bbb" hidden="1">#REF!</definedName>
    <definedName name="MLNK70377839452e4f538165fc304845a919" hidden="1">#REF!</definedName>
    <definedName name="MLNK7074e1cbc1804f5494fac91ae11f42ef" hidden="1">#REF!</definedName>
    <definedName name="MLNK7103eb4f64694ac089092067afa57978" hidden="1">#REF!</definedName>
    <definedName name="MLNK71a688e094e34f13afd4367e56eb6955" hidden="1">#REF!</definedName>
    <definedName name="MLNK722d4f7697df412aa9c10dbc8b7b2f98" hidden="1">#REF!</definedName>
    <definedName name="MLNK723b396db9da4b4d947b2e397736fbb5" hidden="1">#REF!</definedName>
    <definedName name="MLNK725819b8362d45c2838b428ce4903aeb" hidden="1">#REF!</definedName>
    <definedName name="MLNK7267aa86c9e34fd091582ed993b31216" hidden="1">#REF!</definedName>
    <definedName name="MLNK729654a20192478ca86ec0178295d08c" hidden="1">#REF!</definedName>
    <definedName name="MLNK7355383a90b8412092281bae261d6baf" hidden="1">#REF!</definedName>
    <definedName name="MLNK736b06d8710a4fbf961591216781fd31" hidden="1">#REF!</definedName>
    <definedName name="MLNK739e808611f34b2ebb58dc112373a0fd" hidden="1">#REF!</definedName>
    <definedName name="MLNK73a064e6339047e39c8ae940385a7b93" hidden="1">#REF!</definedName>
    <definedName name="MLNK73b5c7b3edcb4c10ab994a0d2374e79d" hidden="1">#REF!</definedName>
    <definedName name="MLNK73beeb3b6c6c43f7891cf388cc654185" hidden="1">#REF!</definedName>
    <definedName name="MLNK73d0371ef4e44defbd56d6e2512e7fe3" hidden="1">#REF!</definedName>
    <definedName name="MLNK73d422329a194ad687ace8afe5e22dd1" hidden="1">#REF!</definedName>
    <definedName name="MLNK744582e7439149c6a153946907e12d91" hidden="1">#REF!</definedName>
    <definedName name="MLNK748b4f26e4cb4e0094d84509f9e6d3a7" hidden="1">#REF!</definedName>
    <definedName name="MLNK74f043bcdb354d52aca2760af957511e" hidden="1">#REF!</definedName>
    <definedName name="MLNK74fddfbd8d0e4b55a99f04176335431e" hidden="1">#REF!</definedName>
    <definedName name="MLNK755938f2d24046a6964c1d8e53acbba4" hidden="1">#REF!</definedName>
    <definedName name="MLNK75a73f5b7a3c4473931bed31acedb3d4" hidden="1">#REF!</definedName>
    <definedName name="MLNK76088c05984c4b239bbbe80286091d0c" hidden="1">#REF!</definedName>
    <definedName name="MLNK76096c60638340928ee538819b82a413" hidden="1">#REF!</definedName>
    <definedName name="MLNK761d41ea16a74a9fa51c356b3dc6a0c4" hidden="1">#REF!</definedName>
    <definedName name="MLNK76600395d5834fa6ae752ceb5c579a30" hidden="1">#REF!</definedName>
    <definedName name="MLNK7683a447903e48c8b7776e039822822b" hidden="1">#REF!</definedName>
    <definedName name="MLNK7685aac246764ccba64f60cf6cd988f4" hidden="1">#REF!</definedName>
    <definedName name="MLNK76bd1ee4a2d045ea9b58c42c3510f247" hidden="1">#REF!</definedName>
    <definedName name="MLNK76fab2f7fe074a458c3c06934b932af0" hidden="1">#REF!</definedName>
    <definedName name="MLNK77977489cb484d0e98863867c0afc425" hidden="1">#REF!</definedName>
    <definedName name="MLNK77a600fc870d470a989be9f60f66954c" hidden="1">#REF!</definedName>
    <definedName name="MLNK780193d077bb4cf98ddb4f838e099db7" hidden="1">#REF!</definedName>
    <definedName name="MLNK7812aa6760374fdd9eca2e6083ce8682" hidden="1">#REF!</definedName>
    <definedName name="MLNK78710c19737146a7a0299aa1c9cad920" hidden="1">#REF!</definedName>
    <definedName name="MLNK78b7417ba5e947f4a376cd01f287eb09" hidden="1">#REF!</definedName>
    <definedName name="MLNK78beda1a73364725a75937e8205480c1" hidden="1">#REF!</definedName>
    <definedName name="MLNK78c3fb4d160e4976806c74888f980ad6" hidden="1">#REF!</definedName>
    <definedName name="MLNK78f589d55a974aefb6e38189837131c9" hidden="1">#REF!</definedName>
    <definedName name="MLNK7903d1a1649447498828e91df505d781" hidden="1">#REF!</definedName>
    <definedName name="MLNK794a7ff7f0d34a458ca2ba95fe41531a" hidden="1">#REF!</definedName>
    <definedName name="MLNK797abaf7d30047c28f549b9f33bd5558" hidden="1">#REF!</definedName>
    <definedName name="MLNK797fcebf443a497889da61883b87681b" hidden="1">#REF!</definedName>
    <definedName name="MLNK798998fffd5f4699a82fc44f5da3b4e8" hidden="1">#REF!</definedName>
    <definedName name="MLNK79afc8ac32d24cef9bf9d7f7a7cf7fe5" hidden="1">#REF!</definedName>
    <definedName name="MLNK7a31c64da9e44d8184a1da2065032f93" hidden="1">#REF!</definedName>
    <definedName name="MLNK7ad5fbcb80c44abebe235626b5658e5e" hidden="1">#REF!</definedName>
    <definedName name="MLNK7aed5c42c16d41dfa0d09b7613da3420" hidden="1">#REF!</definedName>
    <definedName name="MLNK7af578b3bcde4e6cad9b137d80e5e5cc" hidden="1">#REF!</definedName>
    <definedName name="MLNK7af73d6e1a0944daa47edc5ee7861b7f" hidden="1">#REF!</definedName>
    <definedName name="MLNK7b09b753e4fd4bdbb89cdd643d89c349" hidden="1">#REF!</definedName>
    <definedName name="MLNK7c086b84c29547ba8ffe5fd5bc67bf30" hidden="1">#REF!</definedName>
    <definedName name="MLNK7c593407091b4ae4a4d00396ac5449c8" hidden="1">#REF!</definedName>
    <definedName name="MLNK7c59d6f17a3a44c281ec6c2c2c38459c" hidden="1">#REF!</definedName>
    <definedName name="MLNK7c76ca01b5b94316bc191c59b9ba9fe0" hidden="1">#REF!</definedName>
    <definedName name="MLNK7cd84b90a4174316931f08c4d566debf" hidden="1">#REF!</definedName>
    <definedName name="MLNK7d16f0490ad54246a24bab3d22418148" hidden="1">#REF!</definedName>
    <definedName name="MLNK7d4272a3e78147e9804cc4f836b7eb3b" hidden="1">#REF!</definedName>
    <definedName name="MLNK7d4dd1e8ccf54b6ca12ef8f489d6166c" hidden="1">#REF!</definedName>
    <definedName name="MLNK7e390d4b85a14cc383c6a6818c4e1526" hidden="1">#REF!</definedName>
    <definedName name="MLNK7ed54f3f454e43c8aff3dbf8371e092f" hidden="1">#REF!</definedName>
    <definedName name="MLNK7ef4f8bc40684da284b3181a4c100c03" hidden="1">#REF!</definedName>
    <definedName name="MLNK7f0816930f3d40f485854cf4541a242e" hidden="1">#REF!</definedName>
    <definedName name="MLNK7f29de6aa6e84d22b44afad186bbb127" hidden="1">#REF!</definedName>
    <definedName name="MLNK7f43f19c6444489abac1a9e6948a8266" hidden="1">#REF!</definedName>
    <definedName name="MLNK7f6914a2a6874c84bca30dab787faeac" hidden="1">#REF!</definedName>
    <definedName name="MLNK7fa0d27a4d484fc39ad7615f7c6762bb" hidden="1">#REF!</definedName>
    <definedName name="MLNK7fa2602c78e74b62933d3e1484a131f5" hidden="1">#REF!</definedName>
    <definedName name="MLNK7faab2ed727b4d7e942bedb991e140ac" hidden="1">#REF!</definedName>
    <definedName name="MLNK7fbc4b86db8d45508dd004debf176246" hidden="1">#REF!</definedName>
    <definedName name="MLNK7fcc231562964cfc8564ee5cbd3f7fc3" hidden="1">#REF!</definedName>
    <definedName name="MLNK8010c5847acf4ce9ad5fad559f148d16" hidden="1">#REF!</definedName>
    <definedName name="MLNK801a49b5d8834d348b02a14ac895bb9a" hidden="1">#REF!</definedName>
    <definedName name="MLNK8025388fd6fe4042a47cb9ccfc762d06" hidden="1">#REF!</definedName>
    <definedName name="MLNK80346130425744f5b9b8bd3262a7df23" hidden="1">#REF!</definedName>
    <definedName name="MLNK80c4da403d774884b696f664c835d87e" hidden="1">#REF!</definedName>
    <definedName name="MLNK80e5e1e5121f4ca2b562c2dcf201c946" hidden="1">#REF!</definedName>
    <definedName name="MLNK8119969ea85a4738913c6b5ffc4e5b47" hidden="1">#REF!</definedName>
    <definedName name="MLNK814951f827a94659a1868f1895d060d6" hidden="1">#REF!</definedName>
    <definedName name="MLNK817083a263fd4c02b817bba9652a03fc" hidden="1">#REF!</definedName>
    <definedName name="MLNK81d27ade9c634a79af8325dec46cf738" hidden="1">#REF!</definedName>
    <definedName name="MLNK826eb06d352a4deda7432af510c3e441" hidden="1">#REF!</definedName>
    <definedName name="MLNK8289027e0e4f4fe695695ef2427015bd" hidden="1">#REF!</definedName>
    <definedName name="MLNK82c334d919464d6eafb88dae27a79d94" hidden="1">#REF!</definedName>
    <definedName name="MLNK82d2d6f8a3f8445c80dac5071bca15b0" hidden="1">#REF!</definedName>
    <definedName name="MLNK83003bfadf6c4e4589cc49fbfd231eff" hidden="1">#REF!</definedName>
    <definedName name="MLNK8311637bfa9f4ab2b66a6ccb69ec80b6" hidden="1">#REF!</definedName>
    <definedName name="MLNK83997c3e11034e0497f855cee8017166" hidden="1">#REF!</definedName>
    <definedName name="MLNK83a10c488e524411a5d7255cf51329ff" hidden="1">#REF!</definedName>
    <definedName name="MLNK84490d06fc514eb4a2ba84d5143b01f2" hidden="1">#REF!</definedName>
    <definedName name="MLNK844d0fd74a3545d8b794d7b13e95188c" hidden="1">#REF!</definedName>
    <definedName name="MLNK84aa17c5906c42dc82cfd45947152553" hidden="1">#REF!</definedName>
    <definedName name="MLNK84ceb3c0cad04fff8302b3f5397f62b1" hidden="1">#REF!</definedName>
    <definedName name="MLNK84d0e9a9764043b8bec3b91018778fa3" hidden="1">#REF!</definedName>
    <definedName name="MLNK84f79b8c28c74229a67b3e38d724aaac" hidden="1">#REF!</definedName>
    <definedName name="MLNK853395956600451da1509d5a7cb51fb0" hidden="1">#REF!</definedName>
    <definedName name="MLNK8536918aa64a455cab0d39838cab5aa1" hidden="1">#REF!</definedName>
    <definedName name="MLNK856cf20f4ba04b0f8e48240f5c8283e2" hidden="1">#REF!</definedName>
    <definedName name="MLNK85860e6be238427781715dd6b3f99ceb" hidden="1">#REF!</definedName>
    <definedName name="MLNK8587a6eaa0d1488d89b044501865c807" hidden="1">#REF!</definedName>
    <definedName name="MLNK863fed94d13e4e1384efe352bd5de863" hidden="1">#REF!</definedName>
    <definedName name="MLNK8670041e3f504b298273c7fb441cf04b" hidden="1">#REF!</definedName>
    <definedName name="MLNK86c8fa4eadc8448fbebef0fba5bbfaa2" hidden="1">#REF!</definedName>
    <definedName name="MLNK86f990d6213f450dbea862be0f4e6d9e" hidden="1">#REF!</definedName>
    <definedName name="MLNK8700d714003f43548424a4d114621b00" hidden="1">#REF!</definedName>
    <definedName name="MLNK87290d65b5f84004b8e88b3e71ea5697" hidden="1">#REF!</definedName>
    <definedName name="MLNK87b530628ac94dc4b9c16d8eee24dd2f" hidden="1">#REF!</definedName>
    <definedName name="MLNK87c3859ed7c64f7a9cd37c1e51009512" hidden="1">#REF!</definedName>
    <definedName name="MLNK8806fb1e0c2e4490839dc05073a79030" hidden="1">#REF!</definedName>
    <definedName name="MLNK8888dbbf11db4aa4ac4f46ee6b3f6905" hidden="1">#REF!</definedName>
    <definedName name="MLNK8986065a15e545d1bc88647428ddd5c8" hidden="1">#REF!</definedName>
    <definedName name="MLNK89ad4112f55a43eab4125a53ea36c02e" hidden="1">#REF!</definedName>
    <definedName name="MLNK89d0fbd7f443481381cc96f3a3660cc0" hidden="1">#REF!</definedName>
    <definedName name="MLNK8a3c33f15cb0460899936a7cfeb71942" hidden="1">#REF!</definedName>
    <definedName name="MLNK8a4ab0f0f05a40fbb79dcf34bb844588" hidden="1">#REF!</definedName>
    <definedName name="MLNK8a601ff2ce8643beaff6301a8b4a981e" hidden="1">#REF!</definedName>
    <definedName name="MLNK8abfe31ecd0845c9af13a804e92169be" hidden="1">#REF!</definedName>
    <definedName name="MLNK8b1a85b14dad4186b7d4a9edb29e734e" hidden="1">#REF!</definedName>
    <definedName name="MLNK8bcb2c10f3ab48c5b9c8c0d7c6d76f5f" hidden="1">#REF!</definedName>
    <definedName name="MLNK8c8a1ee2b4484c4c83d8ee01c14391aa" hidden="1">#REF!</definedName>
    <definedName name="MLNK8c9f9c7f15104d15a653bbf75e1423b7" hidden="1">#REF!</definedName>
    <definedName name="MLNK8cba7c8797be41e7840abb228064ab37" hidden="1">#REF!</definedName>
    <definedName name="MLNK8e1d08524e9645799eca34b2c1a3676d" hidden="1">#REF!</definedName>
    <definedName name="MLNK8e57c7acf28f4f3ca8f47f259595b98e" hidden="1">#REF!</definedName>
    <definedName name="MLNK8e8ab10e1be6412caa8a4911dd79dcb4" hidden="1">#REF!</definedName>
    <definedName name="MLNK8e9dceb1ceb34731812151874955f248" hidden="1">#REF!</definedName>
    <definedName name="MLNK8ebe2f2fa5844f40862558eb44269a1b" hidden="1">#REF!</definedName>
    <definedName name="MLNK8ecf5e75c90043ada2baa2bcada89f98" hidden="1">#REF!</definedName>
    <definedName name="MLNK8f2833a18d1442d79d9cad7416936b64" hidden="1">#REF!</definedName>
    <definedName name="MLNK8f6b7a3388644ac4a680a6ed038c530c" hidden="1">#REF!</definedName>
    <definedName name="MLNK8f73a75d4faa446b86380a42a21c256c" hidden="1">#REF!</definedName>
    <definedName name="MLNK8fa2458f8fc1409c9fc14049453e719f" hidden="1">#REF!</definedName>
    <definedName name="MLNK8fa33ef36e3e4324b1065069ca9dbff1" hidden="1">#REF!</definedName>
    <definedName name="MLNK8fcfc75b3bba496d89bbd6a090c38468" hidden="1">#REF!</definedName>
    <definedName name="MLNK90374bffb3fd438294fd897b702e4ac2" hidden="1">#REF!</definedName>
    <definedName name="MLNK905d361164f64aa49bae69da49e71a02" hidden="1">#REF!</definedName>
    <definedName name="MLNK9078066db655445f96354cc0ad9a580b" hidden="1">#REF!</definedName>
    <definedName name="MLNK90a1892e6e314bc790fdce17fff28cd6" hidden="1">#REF!</definedName>
    <definedName name="MLNK90cbbe9c32ed4eb98ef24d06d0f4fe5b" hidden="1">#REF!</definedName>
    <definedName name="MLNK91d6707331574eb9a27337eecfd6a166" hidden="1">#REF!</definedName>
    <definedName name="MLNK91ff59e1cb504e9cb9603c5801641617" hidden="1">#REF!</definedName>
    <definedName name="MLNK92954905ddcf4619b2ebe4c8b6eb431d" hidden="1">#REF!</definedName>
    <definedName name="MLNK92e07c729cc04f34ae3aaef5b0096021" hidden="1">#REF!</definedName>
    <definedName name="MLNK930992c9ff72469a886a317c78db1148" hidden="1">#REF!</definedName>
    <definedName name="MLNK93b5535d23c4422cacb95dcb127feb53" hidden="1">#REF!</definedName>
    <definedName name="MLNK93cfe685682b45438472bfa5cf7d50f4" hidden="1">#REF!</definedName>
    <definedName name="MLNK93fd38c08e794e07a52d21ec3aebed6b" hidden="1">#REF!</definedName>
    <definedName name="MLNK941d7b51de6540e3bda2b0deab6122a2" hidden="1">#REF!</definedName>
    <definedName name="MLNK94a8df2101e944ceb050b69f133f6d09" hidden="1">#REF!</definedName>
    <definedName name="MLNK95a6f5add1e24f5cb517d84454a4638f" hidden="1">#REF!</definedName>
    <definedName name="MLNK95cd2064f98b4ee7b41e34374ff98e01" hidden="1">#REF!</definedName>
    <definedName name="MLNK96b5485e17eb44309f051dcf6df80421" hidden="1">#REF!</definedName>
    <definedName name="MLNK972bd9df753e44fba7b35793eff51049" hidden="1">#REF!</definedName>
    <definedName name="MLNK9749de17ce8c4412adb130099e3bd378" hidden="1">#REF!</definedName>
    <definedName name="MLNK98115a3f25a94b8089b62605e1a5b9ae" hidden="1">#REF!</definedName>
    <definedName name="MLNK98b7c86d5f244f72833d95cd83a81686" hidden="1">#REF!</definedName>
    <definedName name="MLNK98f98db2133b4a40a1ad135fe286d3e6" hidden="1">#REF!</definedName>
    <definedName name="MLNK997d31598d1647c3820a3135f82fe9db" hidden="1">#REF!</definedName>
    <definedName name="MLNK998aa4e2cad641329c50826f69f20af3" hidden="1">#REF!</definedName>
    <definedName name="MLNK99d8485050b744b68dca90391c5b0b8c" hidden="1">#REF!</definedName>
    <definedName name="MLNK9a578e302a5c42c5a22e0d00ed127c25" hidden="1">#REF!</definedName>
    <definedName name="MLNK9a5dca0e000c4db184ef6f3e0137ed50" hidden="1">#REF!</definedName>
    <definedName name="MLNK9aa7373ec04f4f7a94f8d4b241ecdbfc" hidden="1">#REF!</definedName>
    <definedName name="MLNK9ab74f0d02184ea59f68acd9f4c080bd" hidden="1">#REF!</definedName>
    <definedName name="MLNK9ac8c0852c29405ea552ad53346ea653" hidden="1">#REF!</definedName>
    <definedName name="MLNK9ad02a72d59c4112895f6687f61f8132" hidden="1">#REF!</definedName>
    <definedName name="MLNK9ad224e573dd48aa935b633fa057ef11" hidden="1">#REF!</definedName>
    <definedName name="MLNK9b44664f1d884348af2081f2da1c7a6a" hidden="1">#REF!</definedName>
    <definedName name="MLNK9b529a1c3f9f43139d9b45f3c273dfd1" hidden="1">#REF!</definedName>
    <definedName name="MLNK9b55c3a706e94b5d99947fdf52aee774" hidden="1">#REF!</definedName>
    <definedName name="MLNK9b5b712288424a1d8f44ccd3a10b952b" hidden="1">#REF!</definedName>
    <definedName name="MLNK9b6842c5461844be83497944c132feb7" hidden="1">#REF!</definedName>
    <definedName name="MLNK9b991932d17647aaa26719ff85bc3665" hidden="1">#REF!</definedName>
    <definedName name="MLNK9ba31318bf3f48989ddce8679e709ecc" hidden="1">#REF!</definedName>
    <definedName name="MLNK9be32af046af457f91703a549215aa89" hidden="1">#REF!</definedName>
    <definedName name="MLNK9c498f5466e2480cbd3780054bfd87be" hidden="1">#REF!</definedName>
    <definedName name="MLNK9c55a2c6363945df8e25b28c18b8873e" hidden="1">#REF!</definedName>
    <definedName name="MLNK9c61417cee5b45f7aad70310875036d9" hidden="1">#REF!</definedName>
    <definedName name="MLNK9cafee5b8e7040ccab2417b1bb86c6e0" hidden="1">#REF!</definedName>
    <definedName name="MLNK9ceff0982f05451dadf9dbdfced4b4c9" hidden="1">#REF!</definedName>
    <definedName name="MLNK9d1f30688f524925bfdd5f32037e7170" hidden="1">#REF!</definedName>
    <definedName name="MLNK9d74b975bc964684b8624a9d7bf3727e" hidden="1">#REF!</definedName>
    <definedName name="MLNK9dfd39fc179c428cbcac856bc6d93c7e" hidden="1">#REF!</definedName>
    <definedName name="MLNK9e734748348f48f4aa03d1c99863e722" hidden="1">#REF!</definedName>
    <definedName name="MLNK9e75f37ef0b44ca08b8b220f8cb2eb07" hidden="1">#REF!</definedName>
    <definedName name="MLNK9e77f2d6228c438ab4139ad8773328ef" hidden="1">#REF!</definedName>
    <definedName name="MLNK9e7cafc891434a518e9616b843367fdc" hidden="1">#REF!</definedName>
    <definedName name="MLNK9f1f0951ba784de9bc77a01b46bb665f" hidden="1">#REF!</definedName>
    <definedName name="MLNK9f29236c5f324f1799d3c222f2dd3c48" hidden="1">#REF!</definedName>
    <definedName name="MLNK9f4da977ab634901ba81f448cf632369" hidden="1">#REF!</definedName>
    <definedName name="MLNK9f54b16c446e44bdb062b4be59afa5b6" hidden="1">#REF!</definedName>
    <definedName name="MLNK9f819a633c0a4a6295518656daf92199" hidden="1">#REF!</definedName>
    <definedName name="MLNK9fb7882b1eed4c46b3fdc59db91f812d" hidden="1">#REF!</definedName>
    <definedName name="MLNK9fd21a906c1d432da8effe2e4610807f" hidden="1">#REF!</definedName>
    <definedName name="MLNKa057d2fa7c8247698e5686a633fa2a05" hidden="1">#REF!</definedName>
    <definedName name="MLNKa08bd6a42f9d418b928153f025ec4f16" hidden="1">#REF!</definedName>
    <definedName name="MLNKa1a5b1fe5d86414c8c2df0ec4d63a55f" hidden="1">#REF!</definedName>
    <definedName name="MLNKa1a8b227b96b4c6da931af67117d277a" hidden="1">#REF!</definedName>
    <definedName name="MLNKa1b7e1973bc24e2b8d70c6657c135132" hidden="1">#REF!</definedName>
    <definedName name="MLNKa1cc78c5e87b41d0b7ed67b55a8ea9ad" hidden="1">#REF!</definedName>
    <definedName name="MLNKa25e2ce0fd2b4e56ab61b390016a97a5" hidden="1">#REF!</definedName>
    <definedName name="MLNKa26a80e5c6c349829c07393a44364084" hidden="1">#REF!</definedName>
    <definedName name="MLNKa2883d99854c4305802463d2970cd9fa" hidden="1">#REF!</definedName>
    <definedName name="MLNKa28b9dd67d9f41efab39da9ce80fc8ff" hidden="1">#REF!</definedName>
    <definedName name="MLNKa2b861b51e754da29341f93e6af9b476" hidden="1">#REF!</definedName>
    <definedName name="MLNKa2f0952c355a47d9aa385c2cecfa99fa" hidden="1">#REF!</definedName>
    <definedName name="MLNKa3001ff056594509bf37d301ef1ca394" hidden="1">#REF!</definedName>
    <definedName name="MLNKa3625ec4ed664b549a1425ca20fe28ea" hidden="1">#REF!</definedName>
    <definedName name="MLNKa38903262a144cc2b26d4c6063db01f0" hidden="1">#REF!</definedName>
    <definedName name="MLNKa38dc43829b644ffa87d6abf5776dc51" hidden="1">#REF!</definedName>
    <definedName name="MLNKa39c681d8eaa433685816cbdea0b937c" hidden="1">#REF!</definedName>
    <definedName name="MLNKa3ac18caa1f84c5f811f1b67ecce1118" hidden="1">#REF!</definedName>
    <definedName name="MLNKa3f64da458be4bb2bae54f6be6f5aef4" hidden="1">#REF!</definedName>
    <definedName name="MLNKa5cb4ec959b6484a87a6b85bfb8283bd" hidden="1">#REF!</definedName>
    <definedName name="MLNKa605c84c90fd476493e6286698e27c7a" hidden="1">#REF!</definedName>
    <definedName name="MLNKa643c1bd0fcc4ef092fa863e42a6de0d" hidden="1">#REF!</definedName>
    <definedName name="MLNKa65075abca5d4b1ea72e2aee46cc11e2" hidden="1">#REF!</definedName>
    <definedName name="MLNKa67ccdddcd5d471c89db2f76b8616475" hidden="1">#REF!</definedName>
    <definedName name="MLNKa69615b15b434ca3af6afb9d04c16b5b" hidden="1">#REF!</definedName>
    <definedName name="MLNKa698b40a68bb400ead3314f6c5c1e48d" hidden="1">#REF!</definedName>
    <definedName name="MLNKa6a384ea77b44ca78c68befd575e7f3d" hidden="1">#REF!</definedName>
    <definedName name="MLNKa6f163ef708f452e8df6fe2e0172aace" hidden="1">#REF!</definedName>
    <definedName name="MLNKa6f2d602baaa4c5ebab2c159d77016c4" hidden="1">#REF!</definedName>
    <definedName name="MLNKa6fa0245180044bb966947cc5f493c41" hidden="1">#REF!</definedName>
    <definedName name="MLNKa790ca6556c24470bdf06b75cd9c5b7f" hidden="1">#REF!</definedName>
    <definedName name="MLNKa8091b24404a47868a501b7f30924d0e" hidden="1">#REF!</definedName>
    <definedName name="MLNKa82e69ad7f994a6299e4e208b01e7d41" hidden="1">#REF!</definedName>
    <definedName name="MLNKa82fa8e0e27d478197c74d7870b7a30d" hidden="1">#REF!</definedName>
    <definedName name="MLNKa89aba8198604a8282aee6fb6bac6629" hidden="1">#REF!</definedName>
    <definedName name="MLNKa8f536aa9cf748c8825215a7f2d4ca90" hidden="1">#REF!</definedName>
    <definedName name="MLNKa95f9f1cd2374a96a05084aca287fc03" hidden="1">#REF!</definedName>
    <definedName name="MLNKa9d12f14bc064a12beda5eb29307e262" hidden="1">#REF!</definedName>
    <definedName name="MLNKaa126e3653fa4e4eab53a6f66c9651dc" hidden="1">#REF!</definedName>
    <definedName name="MLNKaa29980c452e4d358677bb1e580c1193" hidden="1">#REF!</definedName>
    <definedName name="MLNKaa2a9d82e9204f31aa0ff89459e2d16a" hidden="1">#REF!</definedName>
    <definedName name="MLNKaa2e35f3c36349fc8c49466eacc04a97" hidden="1">#REF!</definedName>
    <definedName name="MLNKaa609f22de954b3eae594eaff55c9f2e" hidden="1">#REF!</definedName>
    <definedName name="MLNKaa9da3765dfa4ca494fed58092e2bb04" hidden="1">#REF!</definedName>
    <definedName name="MLNKab14c3a944764057b07e82a98d0e8e2f" hidden="1">#REF!</definedName>
    <definedName name="MLNKab68aa0b6e58498e979cff890169bf1a" hidden="1">#REF!</definedName>
    <definedName name="MLNKab7636916cab4015a2544697742b41fa" hidden="1">#REF!</definedName>
    <definedName name="MLNKaba0ed0d715243f7841c57bcca6a2ad6" hidden="1">#REF!</definedName>
    <definedName name="MLNKac0fc9fd80ee45c7aac85b14e41a13cc" hidden="1">#REF!</definedName>
    <definedName name="MLNKac6b6dcf12554cada2ec2cebbdf9ef2f" hidden="1">#REF!</definedName>
    <definedName name="MLNKac8c5251c40b4bedb6c2ddf7fc221e03" hidden="1">#REF!</definedName>
    <definedName name="MLNKae188ed18ed041d48ad41bc4ca492a86" hidden="1">#REF!</definedName>
    <definedName name="MLNKae2627f2f4fc48ccab41e7c8b27010c8" hidden="1">#REF!</definedName>
    <definedName name="MLNKae328a7c3ca3480ebe3e5e5748b0e33a" hidden="1">#REF!</definedName>
    <definedName name="MLNKae491f95828d4cdf8a41545d5829b3d4" hidden="1">#REF!</definedName>
    <definedName name="MLNKae5999c51bbb4a64b9344d35de61ee41" hidden="1">#REF!</definedName>
    <definedName name="MLNKae74a2606e5b4399b650dc6a8ca0db68" hidden="1">#REF!</definedName>
    <definedName name="MLNKae9f9c79896741c2b5ddf083355d719a" hidden="1">#REF!</definedName>
    <definedName name="MLNKaffb5a6cee3049509166552c7f91a4f0" hidden="1">#REF!</definedName>
    <definedName name="MLNKb08ea355ec404c03ac5309aaeb29ec9a" hidden="1">#REF!</definedName>
    <definedName name="MLNKb0b23872d2a9499f8bdca9212eb951d1" hidden="1">#REF!</definedName>
    <definedName name="MLNKb0dac471e373470a8123352482295ff0" hidden="1">#REF!</definedName>
    <definedName name="MLNKb0e8d5d8663c44e587b945dc40c5d7d1" hidden="1">#REF!</definedName>
    <definedName name="MLNKb0fa7a8b8fd74a069ebf0f8b1343f270" hidden="1">#REF!</definedName>
    <definedName name="MLNKb1114f8864fe44209b5066a94268f241" hidden="1">#REF!</definedName>
    <definedName name="MLNKb111dce0959e4595b70f0f0caf418af9" hidden="1">#REF!</definedName>
    <definedName name="MLNKb171938ba3764ef19c9e284907627f00" hidden="1">#REF!</definedName>
    <definedName name="MLNKb17369c5ccfc40cca3be6bba00d691ca" hidden="1">#REF!</definedName>
    <definedName name="MLNKb1bfca65fb714015960662b73d95941b" hidden="1">#REF!</definedName>
    <definedName name="MLNKb1c02709ccc54bfea49ea758aa8de773" hidden="1">#REF!</definedName>
    <definedName name="MLNKb1c7ddff5c4a4510a47e62c7d89fde0d" hidden="1">#REF!</definedName>
    <definedName name="MLNKb295d139e45442b885c0b2b32e8eb129" hidden="1">#REF!</definedName>
    <definedName name="MLNKb311cae9209542108710885411eddc83" hidden="1">#REF!</definedName>
    <definedName name="MLNKb345ff110a1641d683d1c3089278d440" hidden="1">#REF!</definedName>
    <definedName name="MLNKb346db5dc1134deb8f6d4da3fabf0cf2" hidden="1">#REF!</definedName>
    <definedName name="MLNKb3597ef4679540b581278364c2c352d6" hidden="1">#REF!</definedName>
    <definedName name="MLNKb3f96461e6df4e2a940715241c18d069" hidden="1">#REF!</definedName>
    <definedName name="MLNKb434e258586142c4915e8489b226efb9" hidden="1">#REF!</definedName>
    <definedName name="MLNKb46f9cb2e28c4f49abaf45a18e5b218d" hidden="1">#REF!</definedName>
    <definedName name="MLNKb4a264961fd24bccbcdc50499ff26aad" hidden="1">#REF!</definedName>
    <definedName name="MLNKb4a7b1c4cd6947ecbde6f7391b4d1a5e" hidden="1">#REF!</definedName>
    <definedName name="MLNKb4b688869ad94fb78841bbda92129f71" hidden="1">#REF!</definedName>
    <definedName name="MLNKb5354062bafe475dbd6e15e3cb6e4519" hidden="1">#REF!</definedName>
    <definedName name="MLNKb5bba9e2157e4cab95fe027f047ebfae" hidden="1">#REF!</definedName>
    <definedName name="MLNKb5d2e59093564cd9973a87854802482d" hidden="1">#REF!</definedName>
    <definedName name="MLNKb5ead6cab0fb4af88b0e526537cb227e" hidden="1">#REF!</definedName>
    <definedName name="MLNKb618291062244ca489acaa5522374488" hidden="1">#REF!</definedName>
    <definedName name="MLNKb68919a3ce4949068498a7722d65b952" hidden="1">#REF!</definedName>
    <definedName name="MLNKb6921e1754e24306be720b032cde325a" hidden="1">#REF!</definedName>
    <definedName name="MLNKb6afa85d3d2648e194d1dcb2fa73349e" hidden="1">#REF!</definedName>
    <definedName name="MLNKb6d6dd8844574d539b0bf3b983492e85" hidden="1">#REF!</definedName>
    <definedName name="MLNKb739083731f54ceb8990267e21bc1a73" hidden="1">#REF!</definedName>
    <definedName name="MLNKb744cc396a014832980362b81de0ff1c" hidden="1">#REF!</definedName>
    <definedName name="MLNKb7483d7746a44a6da537db21419a003a" hidden="1">#REF!</definedName>
    <definedName name="MLNKb75d9366f3bd42278af280517ed8e049" hidden="1">#REF!</definedName>
    <definedName name="MLNKb78dbc9bf227445d985232b7c9ea462f" hidden="1">#REF!</definedName>
    <definedName name="MLNKb7a22df2b3c346498fb328d8575544b3" hidden="1">#REF!</definedName>
    <definedName name="MLNKb8013ff0d04047f3a57905a90d2a3cec" hidden="1">#REF!</definedName>
    <definedName name="MLNKb80f3c1cd47e4278b359089087f2654b" hidden="1">#REF!</definedName>
    <definedName name="MLNKb81c88c55ca74dda9fbb12243eed3e20" hidden="1">#REF!</definedName>
    <definedName name="MLNKb84cf785ba454ce0bf291530d5446681" hidden="1">#REF!</definedName>
    <definedName name="MLNKb9311350985548a2909fc4831af3ff7b" hidden="1">#REF!</definedName>
    <definedName name="MLNKb94a51c76e254601a2f178d46ed37eca" hidden="1">#REF!</definedName>
    <definedName name="MLNKb95856c2b0d1487e8c04fdb824b858be" hidden="1">#REF!</definedName>
    <definedName name="MLNKb96f609ad23f47cf9276a5d4a95cc310" hidden="1">#REF!</definedName>
    <definedName name="MLNKb973363cda6548a88ea4c57b486727e7" hidden="1">#REF!</definedName>
    <definedName name="MLNKb9ac0af683a8462a83605bc40d754208" hidden="1">#REF!</definedName>
    <definedName name="MLNKb9ca99d7c9864621892fef5f033f278b" hidden="1">#REF!</definedName>
    <definedName name="MLNKb9f754aa51234997a4880324f84745bb" hidden="1">#REF!</definedName>
    <definedName name="MLNKba5c2ed28f04499399a58ed398216f17" hidden="1">#REF!</definedName>
    <definedName name="MLNKba850863200443588ed7bcd2060c3c51" hidden="1">#REF!</definedName>
    <definedName name="MLNKbab8316fe2594d65a55caed63c1cdd4d" hidden="1">#REF!</definedName>
    <definedName name="MLNKbb536c668b454b59bc3a6acbd512a5fe" hidden="1">#REF!</definedName>
    <definedName name="MLNKbc324ba0c90f47889ccb51b2023c756b" hidden="1">#REF!</definedName>
    <definedName name="MLNKbc3cd351e5a74673bccc3544a764f90f" hidden="1">#REF!</definedName>
    <definedName name="MLNKbce03136b96740df9bb244b30ea1f567" hidden="1">#REF!</definedName>
    <definedName name="MLNKbd3e8feecc1e43889a74c3f788cbf946" hidden="1">#REF!</definedName>
    <definedName name="MLNKbd4d390737ce41c99305f319418b81f7" hidden="1">#REF!</definedName>
    <definedName name="MLNKbd8400f0c4694ad681aed9ba9cbc37b8" hidden="1">#REF!</definedName>
    <definedName name="MLNKbdb9fb7b1d42448bbf01e8474377d8d5" hidden="1">#REF!</definedName>
    <definedName name="MLNKbdd3cd11df9c436f96fd476e16ef670c" hidden="1">#REF!</definedName>
    <definedName name="MLNKbe16c9bfb4cd440cadfeef4ad678a711" hidden="1">#REF!</definedName>
    <definedName name="MLNKbe60ddd937d7467d9f56d38bbd669c29" hidden="1">#REF!</definedName>
    <definedName name="MLNKbe9323d0118d408faa3c44cbc5895095" hidden="1">#REF!</definedName>
    <definedName name="MLNKbf3b9070d57e4e0dbd7296810367df6e" hidden="1">#REF!</definedName>
    <definedName name="MLNKbf64512b0eb84f8c8001c7ddbcb880e9" hidden="1">#REF!</definedName>
    <definedName name="MLNKbfc1818f65854692a07791d5581b7400" hidden="1">#REF!</definedName>
    <definedName name="MLNKbfc73df2dcb2476ea989a7eccf8c9b4d" hidden="1">#REF!</definedName>
    <definedName name="MLNKbfcbb1f49cdf48099d5cd00142a00af1" hidden="1">#REF!</definedName>
    <definedName name="MLNKc06f97e863fc42d78e2aac50d13932c5" hidden="1">#REF!</definedName>
    <definedName name="MLNKc13a145f26b3418bb5eb6ff94f01321a" hidden="1">#REF!</definedName>
    <definedName name="MLNKc18842ed974f4b87b63faad91952683d" hidden="1">#REF!</definedName>
    <definedName name="MLNKc1ddbee6a47d464aaed56c643d05a658" hidden="1">#REF!</definedName>
    <definedName name="MLNKc20401f235e04b6a82fdbe148afb2c4b" hidden="1">#REF!</definedName>
    <definedName name="MLNKc221f1b23df9489b98152813d9f84eb6" hidden="1">#REF!</definedName>
    <definedName name="MLNKc26f311b688846c7b41a345f1b70aeb5" hidden="1">#REF!</definedName>
    <definedName name="MLNKc2e0434b8f2642e7a9f2b9bd5f8a29a8" hidden="1">#REF!</definedName>
    <definedName name="MLNKc2e69aa195d940cd87ce3c0f36ed3f66" hidden="1">#REF!</definedName>
    <definedName name="MLNKc389cd266fbc4da082ba4bcc82020bb9" hidden="1">#REF!</definedName>
    <definedName name="MLNKc411904d087148498a2acd166f415f8b" hidden="1">#REF!</definedName>
    <definedName name="MLNKc4ee032cc5e54bf4bc875e689a03776f" hidden="1">#REF!</definedName>
    <definedName name="MLNKc50df130be36444d81773965425ecb8a" hidden="1">#REF!</definedName>
    <definedName name="MLNKc51629cbed0648bfa17b3b188601aafe" hidden="1">#REF!</definedName>
    <definedName name="MLNKc52f12777b74490384881256335a7bb6" hidden="1">#REF!</definedName>
    <definedName name="MLNKc5c12ba866bb4570bcc8ab1cef7683fa" hidden="1">#REF!</definedName>
    <definedName name="MLNKc5f31f4d332541259549f5d3ff78b87b" hidden="1">#REF!</definedName>
    <definedName name="MLNKc608cd7854494a1187c638b9f36d341f" hidden="1">#REF!</definedName>
    <definedName name="MLNKc61e5f49ad3f4c49820c151c3bf5de5d" hidden="1">#REF!</definedName>
    <definedName name="MLNKc66dc45da06f4cb9a15f65c21c827c03" hidden="1">#REF!</definedName>
    <definedName name="MLNKc6ac033e82464932b889cfcce3608557" hidden="1">#REF!</definedName>
    <definedName name="MLNKc71a4975c7ab434d83b3383ee61e9225" hidden="1">#REF!</definedName>
    <definedName name="MLNKc727a8e1c6714eda85dcb34599742b8b" hidden="1">#REF!</definedName>
    <definedName name="MLNKc79cd6e34a834d1e92ca67ebde7883f1" hidden="1">#REF!</definedName>
    <definedName name="MLNKc7f40f6dc52d458fa44a028fadd57c05" hidden="1">#REF!</definedName>
    <definedName name="MLNKc82caa7e415c441593891b7b26cb36da" hidden="1">#REF!</definedName>
    <definedName name="MLNKc85d54ef3fd0450e8dbcf48d431e9ef0" hidden="1">#REF!</definedName>
    <definedName name="MLNKc89e3d7970d44be3bab848fb7dd975ec" hidden="1">#REF!</definedName>
    <definedName name="MLNKc8eb2cb6fb07412dab6ad327dfdd3608" hidden="1">#REF!</definedName>
    <definedName name="MLNKc95b3b5205ce45169d5153aca84eb019" hidden="1">#REF!</definedName>
    <definedName name="MLNKca24d2e234bd4d3fad92ca212f315409" hidden="1">#REF!</definedName>
    <definedName name="MLNKca6aff0aa4834f8ca4333e78a366f81e" hidden="1">#REF!</definedName>
    <definedName name="MLNKca8bbc8ae13140d8a808409687a22189" hidden="1">#REF!</definedName>
    <definedName name="MLNKcaa28074049a44f99724a077b44f9973" hidden="1">#REF!</definedName>
    <definedName name="MLNKcb296ba0e175461dac928bca96a12b74" hidden="1">#REF!</definedName>
    <definedName name="MLNKcb4df54f8e2d43cbbb2045da6570441e" hidden="1">#REF!</definedName>
    <definedName name="MLNKcb8642bd6c494c35a0d39e4d7d7bb37e" hidden="1">#REF!</definedName>
    <definedName name="MLNKcc07b2b915b747a9af20a9c640c67b6a" hidden="1">#REF!</definedName>
    <definedName name="MLNKcc3e98d3e74649ea82be6e5f57299744" hidden="1">#REF!</definedName>
    <definedName name="MLNKcc4ace54fe3645dfb7903fc8fdede1c8" hidden="1">#REF!</definedName>
    <definedName name="MLNKccabfb102b6843d78f3133de484db577" hidden="1">#REF!</definedName>
    <definedName name="MLNKcd8abe1fc2d9483aba67425211b5526d" hidden="1">#REF!</definedName>
    <definedName name="MLNKcd9829540eec475e8599257d7af9f92c" hidden="1">#REF!</definedName>
    <definedName name="MLNKcdc923b50deb44a982c8d315e0c4120b" hidden="1">#REF!</definedName>
    <definedName name="MLNKcdce22ae087540b7a0d2d107b753fe3e" hidden="1">#REF!</definedName>
    <definedName name="MLNKcdd7963aeadc413babe72caaf824bb45" hidden="1">#REF!</definedName>
    <definedName name="MLNKcdf61c8f2f4949e48408c6eb4d8a5d8b" hidden="1">#REF!</definedName>
    <definedName name="MLNKce0b4954e1aa4cefbda1a5543868b6b9" hidden="1">#REF!</definedName>
    <definedName name="MLNKce1bbc7cba204aefba697d9c8bdbe168" hidden="1">#REF!</definedName>
    <definedName name="MLNKce1f135f63dd41ccb784a9672b4637d9" hidden="1">#REF!</definedName>
    <definedName name="MLNKcf0a377a468048658d11166831ab2043" hidden="1">#REF!</definedName>
    <definedName name="MLNKcf234a3e951a4cad89ae731db46ea1b7" hidden="1">#REF!</definedName>
    <definedName name="MLNKcf6c5bf4fd6c446d931f164d44dbf544" hidden="1">#REF!</definedName>
    <definedName name="MLNKcf879a21ce7346cd8ec61d80d13225ac" hidden="1">#REF!</definedName>
    <definedName name="MLNKd05900f203364beda70dd2b009796af6" hidden="1">#REF!</definedName>
    <definedName name="MLNKd05bdb32adca4a4ca6a9874bac0994a7" hidden="1">#REF!</definedName>
    <definedName name="MLNKd062518aa57b4010958adf1416b981cf" hidden="1">#REF!</definedName>
    <definedName name="MLNKd06db301ff464eb9bff9e7729f12121e" hidden="1">#REF!</definedName>
    <definedName name="MLNKd096fe8321c2427492cc5d82c80fe775" hidden="1">#REF!</definedName>
    <definedName name="MLNKd0e54ebed224454fa0ae1151245a40a5" hidden="1">#REF!</definedName>
    <definedName name="MLNKd11e298b0db44f23b2c2f03458c736b0" hidden="1">#REF!</definedName>
    <definedName name="MLNKd18969b3d4684a2b90767e0affb09bbd" hidden="1">#REF!</definedName>
    <definedName name="MLNKd19114a1ce7c4b5ca5918b7b346f8858" hidden="1">#REF!</definedName>
    <definedName name="MLNKd1c128d529f7478ca3b1ac967d5a1f5e" hidden="1">#REF!</definedName>
    <definedName name="MLNKd1f8353484084f478cade8155bcc2a5b" hidden="1">#REF!</definedName>
    <definedName name="MLNKd214b0d5a54d48cd8c8d2b376c88a319" hidden="1">#REF!</definedName>
    <definedName name="MLNKd236c435973e4436a94a1e558f577cbd" hidden="1">#REF!</definedName>
    <definedName name="MLNKd24002c985c44827853dff8561718e5c" hidden="1">#REF!</definedName>
    <definedName name="MLNKd25772fbb3b040068d33248a0a72b9a1" hidden="1">#REF!</definedName>
    <definedName name="MLNKd2a04e4eeedc4bc0be8a9e1af70523bf" hidden="1">#REF!</definedName>
    <definedName name="MLNKd2ab1bd1d0e14510976ede4cc0e30646" hidden="1">#REF!</definedName>
    <definedName name="MLNKd2d7c772ab204b719dbd1b0e5df5790b" hidden="1">#REF!</definedName>
    <definedName name="MLNKd3070b4168bb4b33836b5e85cf8673a2" hidden="1">#REF!</definedName>
    <definedName name="MLNKd30f54fb61254cc4a643559986a71a22" hidden="1">#REF!</definedName>
    <definedName name="MLNKd3996deb64cc4b1aacbaf16886c67c74" hidden="1">#REF!</definedName>
    <definedName name="MLNKd3b14b65d24341bf8221657efbc2064f" hidden="1">#REF!</definedName>
    <definedName name="MLNKd4fddaf4390e48d5905bd6b43e9c175b" hidden="1">#REF!</definedName>
    <definedName name="MLNKd54ee578130e4ce593a1989537e0fab3" hidden="1">#REF!</definedName>
    <definedName name="MLNKd597a985709f42d3b0db03d3d979b7fc" hidden="1">#REF!</definedName>
    <definedName name="MLNKd638296677d74d0999fcdbadd1908be7" hidden="1">#REF!</definedName>
    <definedName name="MLNKd6459917d49a49769073cae59c25ac63" hidden="1">#REF!</definedName>
    <definedName name="MLNKd6fd700b29004816a4492ff9816ae565" hidden="1">#REF!</definedName>
    <definedName name="MLNKd7074bb4e18f47119910c7f75707b587" hidden="1">#REF!</definedName>
    <definedName name="MLNKd75a97d5eb9b493c95b15d73182dff50" hidden="1">#REF!</definedName>
    <definedName name="MLNKd78a90ab66cc4d4ca2f11b04fd01a2f4" hidden="1">#REF!</definedName>
    <definedName name="MLNKd80ec573312f48f3b04af354c7f22023" hidden="1">#REF!</definedName>
    <definedName name="MLNKd867885185884c6aab99c6246a8dfded" hidden="1">#REF!</definedName>
    <definedName name="MLNKd884042ad0894330992e5da81ec2cffd" hidden="1">#REF!</definedName>
    <definedName name="MLNKd8964e5756c544d99affb392b887eb92" hidden="1">#REF!</definedName>
    <definedName name="MLNKd8b34f5835f54d318fc16c49d927151c" hidden="1">#REF!</definedName>
    <definedName name="MLNKd8d20ccaaea048c39fcd48cfe74c0b4f" hidden="1">#REF!</definedName>
    <definedName name="MLNKd8ff4072773c4622b0c83769a2438ec5" hidden="1">#REF!</definedName>
    <definedName name="MLNKd95847544a7e4ccca32fd475760fc475" hidden="1">#REF!</definedName>
    <definedName name="MLNKd95a1bb8208e438aa3c3bfa2d7ae7e99" hidden="1">#REF!</definedName>
    <definedName name="MLNKd97cfa3b278e47e8b7d42b88fd00dd50" hidden="1">#REF!</definedName>
    <definedName name="MLNKd9a15ea142a14b0fa26661a307eb7c47" hidden="1">#REF!</definedName>
    <definedName name="MLNKd9dc13f2d3a340aa9c43dd0d78a04a4d" hidden="1">#REF!</definedName>
    <definedName name="MLNKd9e52f045da34df1a002e6da57db1b88" hidden="1">#REF!</definedName>
    <definedName name="MLNKda21786c186e4d87a69d38c92791c49d" hidden="1">#REF!</definedName>
    <definedName name="MLNKda6dd7c406e74816a17346c764c4bba2" hidden="1">#REF!</definedName>
    <definedName name="MLNKdaf4fd3f8c604159bbb081e2606ecff2" hidden="1">#REF!</definedName>
    <definedName name="MLNKdb1aff38dceb40b192ed86094953e697" hidden="1">#REF!</definedName>
    <definedName name="MLNKdb3f8278ffb247fd94e1a79aac9a635d" hidden="1">#REF!</definedName>
    <definedName name="MLNKdb753172b8684092b4f09c5c5ba443a6" hidden="1">#REF!</definedName>
    <definedName name="MLNKdbd552346d15447c87897a7ebaad316e" hidden="1">#REF!</definedName>
    <definedName name="MLNKdc10fce39593429c96bf71524a93b3ce" hidden="1">#REF!</definedName>
    <definedName name="MLNKdc85d8c0e3fd4b2b9d1ced6e92c8967e" hidden="1">#REF!</definedName>
    <definedName name="MLNKdc92d28815854a8ab2c5e6111e89fe11" hidden="1">#REF!</definedName>
    <definedName name="MLNKdcc7f8e16db447c0bb1eb9bf5adc9a4e" hidden="1">#REF!</definedName>
    <definedName name="MLNKdcdd9af4a86d41a5a3cf7c7fa583b5a3" hidden="1">#REF!</definedName>
    <definedName name="MLNKdcf49e99b17c4ca0a6b35a87994110a4" hidden="1">#REF!</definedName>
    <definedName name="MLNKdcfffc9c419e46f1a1b8807ef3b0ea7d" hidden="1">#REF!</definedName>
    <definedName name="MLNKddc3c71dd2264e8b8550fb12b1749129" hidden="1">#REF!</definedName>
    <definedName name="MLNKddc6f7bc0d6d4c5aa45cb1538cf05fdc" hidden="1">#REF!</definedName>
    <definedName name="MLNKde2590066e634cf6940e4229ebae8204" hidden="1">#REF!</definedName>
    <definedName name="MLNKde4ae43ab83d48d5b8eb7fb3b911ab6f" hidden="1">#REF!</definedName>
    <definedName name="MLNKde8b00841d2c4fd6905392590ae0496c" hidden="1">#REF!</definedName>
    <definedName name="MLNKde901705e1b04a6a8d9cee99d363a2a5" hidden="1">#REF!</definedName>
    <definedName name="MLNKded583b8e09a49c28c94267cccb3ce19" hidden="1">#REF!</definedName>
    <definedName name="MLNKdf9204fe0128479babdba49c2a0717c4" hidden="1">#REF!</definedName>
    <definedName name="MLNKdfceed80343d426aaa55fedc3524b425" hidden="1">#REF!</definedName>
    <definedName name="MLNKe06a282436a94d5f85a3b90b613a43e3" hidden="1">#REF!</definedName>
    <definedName name="MLNKe070bdf47cf34301aa4d900c726affdb" hidden="1">#REF!</definedName>
    <definedName name="MLNKe097aca64c5d468890b2a9b538c5eae1" hidden="1">#REF!</definedName>
    <definedName name="MLNKe11bb4b8ea0f46dfac7db8a609fd82f2" hidden="1">#REF!</definedName>
    <definedName name="MLNKe16fb8cdd67d4f9c8f53e890f1e4086d" hidden="1">#REF!</definedName>
    <definedName name="MLNKe18ba5d4c0214fb68e1fed427c2b8389" hidden="1">#REF!</definedName>
    <definedName name="MLNKe1967ec322e447cd80b22a2287d12e72" hidden="1">#REF!</definedName>
    <definedName name="MLNKe1b0f51d07c7441498e246c4b07a075a" hidden="1">#REF!</definedName>
    <definedName name="MLNKe268d983b74d4a328512940b826532c5" hidden="1">#REF!</definedName>
    <definedName name="MLNKe2be126c2e2241bfb997650885761773" hidden="1">#REF!</definedName>
    <definedName name="MLNKe2ed17321bf14ac39821675da96cbb64" hidden="1">#REF!</definedName>
    <definedName name="MLNKe2f88702d2744f2ea2de19a56ecc20d4" hidden="1">#REF!</definedName>
    <definedName name="MLNKe38adeebdb2048aaae93e7540d12c6d7" hidden="1">#REF!</definedName>
    <definedName name="MLNKe3caa6ed665e49268fb745265c0ed9ac" hidden="1">#REF!</definedName>
    <definedName name="MLNKe413ae76ac2842fd8c9f5692bba30418" hidden="1">#REF!</definedName>
    <definedName name="MLNKe4dbd13a8f664e26a623e7f24fd3b4b7" hidden="1">#REF!</definedName>
    <definedName name="MLNKe5041710e87d450fa5d5819430fa1887" hidden="1">#REF!</definedName>
    <definedName name="MLNKe5d97c7e7c244300a57e853161f25dff" hidden="1">#REF!</definedName>
    <definedName name="MLNKe5db7518d1f94fc1b831b0a57c6be714" hidden="1">#REF!</definedName>
    <definedName name="MLNKe5e3b1913fce444b83cb1f567fa0f6ab" hidden="1">#REF!</definedName>
    <definedName name="MLNKe5ed8b85980d46fc844564088c5c9078" hidden="1">#REF!</definedName>
    <definedName name="MLNKe6068e0369c7470786d84aa6cc04702a" hidden="1">#REF!</definedName>
    <definedName name="MLNKe62ab8d3517645faa5eff09b16643830" hidden="1">#REF!</definedName>
    <definedName name="MLNKe62ae034dbe74a5bb769e9fd0c1dd5b4" hidden="1">#REF!</definedName>
    <definedName name="MLNKe6577c5446e64e13926c4fed4340c717" hidden="1">#REF!</definedName>
    <definedName name="MLNKe6947a8b56b0403a86ccb3bbc9417946" hidden="1">#REF!</definedName>
    <definedName name="MLNKe6b667ae9bc9451c956b49e1d77a3909" hidden="1">#REF!</definedName>
    <definedName name="MLNKe6c5034f70bd4298aadfad62e7492f5a" hidden="1">#REF!</definedName>
    <definedName name="MLNKe6ddeadc88a04fa9878daee818c897e9" hidden="1">#REF!</definedName>
    <definedName name="MLNKe703440f92aa4a15a387c8008e61314f" hidden="1">#REF!</definedName>
    <definedName name="MLNKe755b5e3525f434ebb4fd93d7dc13e69" hidden="1">#REF!</definedName>
    <definedName name="MLNKe762a070e43148d5b0cbdfc7e2f7643c" hidden="1">#REF!</definedName>
    <definedName name="MLNKe76d1c30b4eb4a0da8027774517610e8" hidden="1">#REF!</definedName>
    <definedName name="MLNKe79b3d09bf3c4683af4faf301a21f8af" hidden="1">#REF!</definedName>
    <definedName name="MLNKe7c3ffc4ff4c42459699ffb4822e0663" hidden="1">#REF!</definedName>
    <definedName name="MLNKe7dfaa028a7e4e5a9331949607cab2cb" hidden="1">#REF!</definedName>
    <definedName name="MLNKe7fdb00ed8cb44f0a27564e5eba8a592" hidden="1">#REF!</definedName>
    <definedName name="MLNKe83b3c61549d4f47b59e11acd5f83c34" hidden="1">#REF!</definedName>
    <definedName name="MLNKe84f8f460d3c49b2bbf4dd4421cbb32e" hidden="1">#REF!</definedName>
    <definedName name="MLNKe85c15e0c5ba4bd2ba4b7ea03be29b0e" hidden="1">#REF!</definedName>
    <definedName name="MLNKe8f5753ec7c94717b91d289a1f8a864d" hidden="1">#REF!</definedName>
    <definedName name="MLNKe9029c4816b74aa9a7ed77bfc215f8a6" hidden="1">#REF!</definedName>
    <definedName name="MLNKe932919ee6864ed697057fe983ea2156" hidden="1">#REF!</definedName>
    <definedName name="MLNKe9995d9c321243318f925ccbc206d07b" hidden="1">#REF!</definedName>
    <definedName name="MLNKea2c55a764514f12a9ebde99b5170901" hidden="1">#REF!</definedName>
    <definedName name="MLNKeab50b6d91f94a4abdf1574d52642ae1" hidden="1">#REF!</definedName>
    <definedName name="MLNKeb2fcdfb3ab040758a3a7734893ca885" hidden="1">#REF!</definedName>
    <definedName name="MLNKec10569efce84a13bda8f67f6d3ee18b" hidden="1">#REF!</definedName>
    <definedName name="MLNKec2e35445e9f495280baf4f26a20e12b" hidden="1">#REF!</definedName>
    <definedName name="MLNKec332e7fd23d499b8e4655d8952db79c" hidden="1">#REF!</definedName>
    <definedName name="MLNKec4b54afabfc4a8eb1883b3b2bf12276" hidden="1">#REF!</definedName>
    <definedName name="MLNKec8292a983194e47b997b350f994955b" hidden="1">#REF!</definedName>
    <definedName name="MLNKec9fd3bd86b9472a834e8b390d0266d9" hidden="1">#REF!</definedName>
    <definedName name="MLNKecc09cb0f0864dc7b79c87bb5d6e5009" hidden="1">#REF!</definedName>
    <definedName name="MLNKeccd459f2e484acca574097f67043bff" hidden="1">#REF!</definedName>
    <definedName name="MLNKed2517cdc41444469905593e9834ea52" hidden="1">#REF!</definedName>
    <definedName name="MLNKed572b6599e3465cb118258854e40531" hidden="1">#REF!</definedName>
    <definedName name="MLNKed5f0db2dd4744288cb8f9def3b86b32" hidden="1">#REF!</definedName>
    <definedName name="MLNKed9079135c8f4c638b8d1b01ede3425b" hidden="1">#REF!</definedName>
    <definedName name="MLNKedb5ce10b058453faa4fc97c53267f47" hidden="1">#REF!</definedName>
    <definedName name="MLNKedea584549c747889e18394ee2ee7bd7" hidden="1">#REF!</definedName>
    <definedName name="MLNKee18a590882e4dcea5469708b54410ce" hidden="1">#REF!</definedName>
    <definedName name="MLNKee3f92f405114693806989f4e1157675" hidden="1">#REF!</definedName>
    <definedName name="MLNKee6009809ac8423dbe78d75c47656b17" hidden="1">#REF!</definedName>
    <definedName name="MLNKeef75b8390164aabaa2282bee54dcf42" hidden="1">#REF!</definedName>
    <definedName name="MLNKef030e42b2494b37ae8602dc38fe1625" hidden="1">#REF!</definedName>
    <definedName name="MLNKef712a82e4e24dd58e1726ab22b17c27" hidden="1">#REF!</definedName>
    <definedName name="MLNKefb24792760f4103a52f98ff4de7561c" hidden="1">#REF!</definedName>
    <definedName name="MLNKf00f9967138b487c87729c51464a6c74" hidden="1">#REF!</definedName>
    <definedName name="MLNKf01187a2bc5b42efa47ebf16d55d0485" hidden="1">#REF!</definedName>
    <definedName name="MLNKf048c6e0057a4d3d92b1ce3e0ad776bc" hidden="1">#REF!</definedName>
    <definedName name="MLNKf0710e7eec8c4f30815059d62d7e1a53" hidden="1">#REF!</definedName>
    <definedName name="MLNKf087359c90a24419b50c2cb8c6bf0beb" hidden="1">#REF!</definedName>
    <definedName name="MLNKf09238bdc5394acab42c7479b694e9cd" hidden="1">#REF!</definedName>
    <definedName name="MLNKf0bc3e3241c640a8811271723bf7a7df" hidden="1">#REF!</definedName>
    <definedName name="MLNKf0e4655034a2433ab35213b4ea397271" hidden="1">#REF!</definedName>
    <definedName name="MLNKf0eaf42dcca84d0d8051f321bb4d411f" hidden="1">#REF!</definedName>
    <definedName name="MLNKf228051e3b254850b0e48e72a4047515" hidden="1">#REF!</definedName>
    <definedName name="MLNKf39e3ff66a374738b374999b837c8202" hidden="1">#REF!</definedName>
    <definedName name="MLNKf3aa2f8ecefb4ab6bcaa788a8ff993ed" hidden="1">#REF!</definedName>
    <definedName name="MLNKf3c04c79290142e8a9fec2d0a9a538ef" hidden="1">#REF!</definedName>
    <definedName name="MLNKf41f77e430bd4074b8eeaaf55b72fa84" hidden="1">#REF!</definedName>
    <definedName name="MLNKf4743a4ee4cd411f91d538d32364806c" hidden="1">#REF!</definedName>
    <definedName name="MLNKf48fb274dee04d22a187af3c2c7801f5" hidden="1">#REF!</definedName>
    <definedName name="MLNKf4924655eff44353ba75d6fd36db3921" hidden="1">#REF!</definedName>
    <definedName name="MLNKf4bf3663699446d2a3d18e50aafb6fdd" hidden="1">#REF!</definedName>
    <definedName name="MLNKf4e7a9db08894582b383dc2c7a37dc81" hidden="1">#REF!</definedName>
    <definedName name="MLNKf4f49617a600426197a792e140cba238" hidden="1">#REF!</definedName>
    <definedName name="MLNKf5175e2bcf794df8ba3ae441f6a3db2a" hidden="1">#REF!</definedName>
    <definedName name="MLNKf5ab857f9fd6455dab9427251dcd2ed0" hidden="1">#REF!</definedName>
    <definedName name="MLNKf5b0ca48849c4406ae54c772bdaaaed1" hidden="1">#REF!</definedName>
    <definedName name="MLNKf6304eac40544184aaf5e1f94e8d10fe" hidden="1">#REF!</definedName>
    <definedName name="MLNKf633c73184ff4664a3a11555edbf5d0c" hidden="1">#REF!</definedName>
    <definedName name="MLNKf64264e50e8a491ab112625a031c54d9" hidden="1">#REF!</definedName>
    <definedName name="MLNKf6ac64467e9e484a8df8d1f2e261ab52" hidden="1">#REF!</definedName>
    <definedName name="MLNKf6ccc57de6e340aaa0594ee9597ee343" hidden="1">#REF!</definedName>
    <definedName name="MLNKf75669d420d941b3b72c01b9742b0a34" hidden="1">#REF!</definedName>
    <definedName name="MLNKf77df9d6d88c48518ad3db3cda454da3" hidden="1">#REF!</definedName>
    <definedName name="MLNKf7a0738d07e2440e8203e1b2db3804be" hidden="1">#REF!</definedName>
    <definedName name="MLNKf7ff639c55f44a93a7b52b4923b84015" hidden="1">#REF!</definedName>
    <definedName name="MLNKf870711ba38a48b68d4aa4027c071d56" hidden="1">#REF!</definedName>
    <definedName name="MLNKf898965410904702a60eb89ffb56e0ff" hidden="1">#REF!</definedName>
    <definedName name="MLNKf8a979ee68634d5f89a7d4f033ff7165" hidden="1">#REF!</definedName>
    <definedName name="MLNKf8c92c2e7e1e4736ab002eb619e9649c" hidden="1">#REF!</definedName>
    <definedName name="MLNKf938643c914748649b4d18908fafbd4a" hidden="1">#REF!</definedName>
    <definedName name="MLNKf968d5ac853345f086ff748bf0919d80" hidden="1">#REF!</definedName>
    <definedName name="MLNKf98010dc089e42a7b9d710b609357fe1" hidden="1">#REF!</definedName>
    <definedName name="MLNKf994fa8cd4004e9694ad6fb2cfc6c3e0" hidden="1">#REF!</definedName>
    <definedName name="MLNKf9ac0706f003479b89ea50800809b339" hidden="1">#REF!</definedName>
    <definedName name="MLNKf9d01827df0b4ba5934b8db022b64536" hidden="1">#REF!</definedName>
    <definedName name="MLNKf9d1c48e0c15458ca46bc1eac6ef5411" hidden="1">#REF!</definedName>
    <definedName name="MLNKfa23492246604f43989463863396459c" hidden="1">#REF!</definedName>
    <definedName name="MLNKfa37da4145274d3391873cfef1849048" hidden="1">#REF!</definedName>
    <definedName name="MLNKfaefaca850a74c2586d7d88f2f62d721" hidden="1">#REF!</definedName>
    <definedName name="MLNKfaf34e5ebce0419d85a66aa1a0e7687d" hidden="1">#REF!</definedName>
    <definedName name="MLNKfb4d13d310374fddba71ca2aec4db1d1" hidden="1">#REF!</definedName>
    <definedName name="MLNKfb87b0c7d3de40e390d5dc590c5ed629" hidden="1">#REF!</definedName>
    <definedName name="MLNKfbaf3bf9d6cc44fc8658f6aa65c601e1" hidden="1">#REF!</definedName>
    <definedName name="MLNKfc647d780bb94a398ef7a2dd7d439e7d" hidden="1">#REF!</definedName>
    <definedName name="MLNKfc894c9cba7446a9900995bf89e41c8f" hidden="1">#REF!</definedName>
    <definedName name="MLNKfca08f0deeba4686bd2849213dd31eb7" hidden="1">#REF!</definedName>
    <definedName name="MLNKfcb7271d57fa446d908df30266c393ff" hidden="1">#REF!</definedName>
    <definedName name="MLNKfcf4caed770e41859a552e7e8052c219" hidden="1">#REF!</definedName>
    <definedName name="MLNKfd0c738365244d4e9fd33906adb251a3" hidden="1">#REF!</definedName>
    <definedName name="MLNKfdca48fae27c4135a9165b612c333034" hidden="1">#REF!</definedName>
    <definedName name="MLNKfdf93ff39b61443ea482587f381e18e5" hidden="1">#REF!</definedName>
    <definedName name="MLNKfe91eb181d674acfb866254c1024b9f1" hidden="1">#REF!</definedName>
    <definedName name="MLNKfeb959b148ba4a24ab26db6ddb6d30b6" hidden="1">#REF!</definedName>
    <definedName name="MLNKfeceea57d9c041e8a1805740c1118e25" hidden="1">#REF!</definedName>
    <definedName name="MLNKff5c39ef64a7480086bd2d2cc0a5eced" hidden="1">#REF!</definedName>
    <definedName name="MLNKff638a25daa8411a8a1b9f2c9bbb212f" hidden="1">#REF!</definedName>
    <definedName name="MLNKff7382205d8949adacd29b4c2c18b5db" hidden="1">#REF!</definedName>
    <definedName name="MLNKffa223e8d8bd4b259a3d4ed4762d4f85" hidden="1">#REF!</definedName>
    <definedName name="MLNKffffb5c1252a46bc959eaa2903477927" hidden="1">#REF!</definedName>
    <definedName name="mm" localSheetId="6">{"ReportTop",#N/A,FALSE,"report top"}</definedName>
    <definedName name="mm" localSheetId="13" hidden="1">{"ReportTop",#N/A,FALSE,"report top"}</definedName>
    <definedName name="mm" hidden="1">{"ReportTop",#N/A,FALSE,"report top"}</definedName>
    <definedName name="mmjj" localSheetId="6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localSheetId="1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m" localSheetId="6">{"documentation1",#N/A,FALSE,"Documentation";"documentation2",#N/A,FALSE,"Documentation"}</definedName>
    <definedName name="mmm" localSheetId="13" hidden="1">{"documentation1",#N/A,FALSE,"Documentation";"documentation2",#N/A,FALSE,"Documentation"}</definedName>
    <definedName name="mmm" hidden="1">{"documentation1",#N/A,FALSE,"Documentation";"documentation2",#N/A,FALSE,"Documentation"}</definedName>
    <definedName name="mmmm" localSheetId="6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 localSheetId="1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m" localSheetId="6">{#N/A,#N/A,TRUE,"Fiber_Optic_Cable_Input ";#N/A,#N/A,TRUE,"Specialty_Fiber_Devices_Input";#N/A,#N/A,TRUE,"Optical_Fiber_Apparatus_Input"}</definedName>
    <definedName name="mmmmm" localSheetId="13" hidden="1">{#N/A,#N/A,TRUE,"Fiber_Optic_Cable_Input ";#N/A,#N/A,TRUE,"Specialty_Fiber_Devices_Input";#N/A,#N/A,TRUE,"Optical_Fiber_Apparatus_Input"}</definedName>
    <definedName name="mmmmm" hidden="1">{#N/A,#N/A,TRUE,"Fiber_Optic_Cable_Input ";#N/A,#N/A,TRUE,"Specialty_Fiber_Devices_Input";#N/A,#N/A,TRUE,"Optical_Fiber_Apparatus_Input"}</definedName>
    <definedName name="mmmmmm" localSheetId="6">{#N/A,#N/A,TRUE,"Falcons_Standalone";#N/A,#N/A,TRUE,"Target_Input";#N/A,#N/A,TRUE,"Target_Calendarized"}</definedName>
    <definedName name="mmmmmm" localSheetId="13" hidden="1">{#N/A,#N/A,TRUE,"Falcons_Standalone";#N/A,#N/A,TRUE,"Target_Input";#N/A,#N/A,TRUE,"Target_Calendarized"}</definedName>
    <definedName name="mmmmmm" hidden="1">{#N/A,#N/A,TRUE,"Falcons_Standalone";#N/A,#N/A,TRUE,"Target_Input";#N/A,#N/A,TRUE,"Target_Calendarized"}</definedName>
    <definedName name="mmmmmmm" localSheetId="6">{#N/A,#N/A,TRUE,"FOC_Product_Assumptions"}</definedName>
    <definedName name="mmmmmmm" localSheetId="13" hidden="1">{#N/A,#N/A,TRUE,"FOC_Product_Assumptions"}</definedName>
    <definedName name="mmmmmmm" hidden="1">{#N/A,#N/A,TRUE,"FOC_Product_Assumptions"}</definedName>
    <definedName name="mmmmmmmm" localSheetId="6">{#N/A,#N/A,FALSE,"Consolidated Shipley";#N/A,#N/A,FALSE,"Consolidated PWB";#N/A,#N/A,FALSE,"Consolidated Micro"}</definedName>
    <definedName name="mmmmmmmm" localSheetId="13" hidden="1">{#N/A,#N/A,FALSE,"Consolidated Shipley";#N/A,#N/A,FALSE,"Consolidated PWB";#N/A,#N/A,FALSE,"Consolidated Micro"}</definedName>
    <definedName name="mmmmmmmm" hidden="1">{#N/A,#N/A,FALSE,"Consolidated Shipley";#N/A,#N/A,FALSE,"Consolidated PWB";#N/A,#N/A,FALSE,"Consolidated Micro"}</definedName>
    <definedName name="mn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o" localSheetId="6">{#N/A,#N/A,TRUE,"KEY DATA";#N/A,#N/A,TRUE,"KEY DATA Base Case";#N/A,#N/A,TRUE,"JULY";#N/A,#N/A,TRUE,"AUG";#N/A,#N/A,TRUE,"SEPT";#N/A,#N/A,TRUE,"3Q"}</definedName>
    <definedName name="mo" localSheetId="13" hidden="1">{#N/A,#N/A,TRUE,"KEY DATA";#N/A,#N/A,TRUE,"KEY DATA Base Case";#N/A,#N/A,TRUE,"JULY";#N/A,#N/A,TRUE,"AUG";#N/A,#N/A,TRUE,"SEPT";#N/A,#N/A,TRUE,"3Q"}</definedName>
    <definedName name="mo" hidden="1">{#N/A,#N/A,TRUE,"KEY DATA";#N/A,#N/A,TRUE,"KEY DATA Base Case";#N/A,#N/A,TRUE,"JULY";#N/A,#N/A,TRUE,"AUG";#N/A,#N/A,TRUE,"SEPT";#N/A,#N/A,TRUE,"3Q"}</definedName>
    <definedName name="Monkey" localSheetId="6">{#N/A,#N/A,FALSE,"IPO";#N/A,#N/A,FALSE,"DCF";#N/A,#N/A,FALSE,"LBO";#N/A,#N/A,FALSE,"MULT_VAL";#N/A,#N/A,FALSE,"Status Quo";#N/A,#N/A,FALSE,"Recap"}</definedName>
    <definedName name="Monkey" localSheetId="13" hidden="1">{#N/A,#N/A,FALSE,"IPO";#N/A,#N/A,FALSE,"DCF";#N/A,#N/A,FALSE,"LBO";#N/A,#N/A,FALSE,"MULT_VAL";#N/A,#N/A,FALSE,"Status Quo";#N/A,#N/A,FALSE,"Recap"}</definedName>
    <definedName name="Monkey" hidden="1">{#N/A,#N/A,FALSE,"IPO";#N/A,#N/A,FALSE,"DCF";#N/A,#N/A,FALSE,"LBO";#N/A,#N/A,FALSE,"MULT_VAL";#N/A,#N/A,FALSE,"Status Quo";#N/A,#N/A,FALSE,"Recap"}</definedName>
    <definedName name="Moses" localSheetId="6">{"FCB_ALL",#N/A,FALSE,"FCB"}</definedName>
    <definedName name="Moses" localSheetId="13" hidden="1">{"FCB_ALL",#N/A,FALSE,"FCB"}</definedName>
    <definedName name="Moses" hidden="1">{"FCB_ALL",#N/A,FALSE,"FCB"}</definedName>
    <definedName name="Mults02" localSheetId="6">{#N/A,#N/A,FALSE,"Projections";#N/A,#N/A,FALSE,"Multiples Valuation";#N/A,#N/A,FALSE,"LBO";#N/A,#N/A,FALSE,"Multiples_Sensitivity";#N/A,#N/A,FALSE,"Summary"}</definedName>
    <definedName name="Mults02" localSheetId="13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W" localSheetId="6">{#N/A,#N/A,FALSE,"Job Sched"}</definedName>
    <definedName name="MW" localSheetId="13" hidden="1">{#N/A,#N/A,FALSE,"Job Sched"}</definedName>
    <definedName name="MW" hidden="1">{#N/A,#N/A,FALSE,"Job Sched"}</definedName>
    <definedName name="n" localSheetId="6">{#N/A,#N/A,FALSE,"Consolidated Shipley";#N/A,#N/A,FALSE,"Consolidated PWB";#N/A,#N/A,FALSE,"Consolidated Micro"}</definedName>
    <definedName name="n" localSheetId="13" hidden="1">{#N/A,#N/A,FALSE,"Consolidated Shipley";#N/A,#N/A,FALSE,"Consolidated PWB";#N/A,#N/A,FALSE,"Consolidated Micro"}</definedName>
    <definedName name="n" hidden="1">{#N/A,#N/A,FALSE,"Consolidated Shipley";#N/A,#N/A,FALSE,"Consolidated PWB";#N/A,#N/A,FALSE,"Consolidated Micro"}</definedName>
    <definedName name="n\" localSheetId="13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A" localSheetId="6">{#N/A,#N/A,FALSE,"Consol P&amp;L ";#N/A,#N/A,FALSE,"CP P&amp;L";#N/A,#N/A,FALSE,"ADS P&amp;L";#N/A,#N/A,FALSE,"Corp P&amp;L"}</definedName>
    <definedName name="NA" localSheetId="13" hidden="1">{#N/A,#N/A,FALSE,"Consol P&amp;L ";#N/A,#N/A,FALSE,"CP P&amp;L";#N/A,#N/A,FALSE,"ADS P&amp;L";#N/A,#N/A,FALSE,"Corp P&amp;L"}</definedName>
    <definedName name="NA" hidden="1">{#N/A,#N/A,FALSE,"Consol P&amp;L ";#N/A,#N/A,FALSE,"CP P&amp;L";#N/A,#N/A,FALSE,"ADS P&amp;L";#N/A,#N/A,FALSE,"Corp P&amp;L"}</definedName>
    <definedName name="NAIRB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tEssS" localSheetId="6">{"'WST RETAIL PRICE LIST Apr 9 (2)'!$B$1:$C$177"}</definedName>
    <definedName name="NatEssS" localSheetId="13" hidden="1">{"'WST RETAIL PRICE LIST Apr 9 (2)'!$B$1:$C$177"}</definedName>
    <definedName name="NatEssS" hidden="1">{"'WST RETAIL PRICE LIST Apr 9 (2)'!$B$1:$C$177"}</definedName>
    <definedName name="NatEssS2" localSheetId="6">{"'WST RETAIL PRICE LIST Apr 9 (2)'!$B$1:$C$177"}</definedName>
    <definedName name="NatEssS2" localSheetId="13" hidden="1">{"'WST RETAIL PRICE LIST Apr 9 (2)'!$B$1:$C$177"}</definedName>
    <definedName name="NatEssS2" hidden="1">{"'WST RETAIL PRICE LIST Apr 9 (2)'!$B$1:$C$177"}</definedName>
    <definedName name="new" localSheetId="6">{"bs",#N/A,FALSE,"SCF"}</definedName>
    <definedName name="new" localSheetId="13" hidden="1">{"bs",#N/A,FALSE,"SCF"}</definedName>
    <definedName name="new" hidden="1">{"bs",#N/A,FALSE,"SCF"}</definedName>
    <definedName name="new.summary" localSheetId="6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 localSheetId="1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name" localSheetId="6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1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6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1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localSheetId="6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localSheetId="1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localSheetId="6">{"'Directory'!$A$72:$E$91"}</definedName>
    <definedName name="newbel" localSheetId="13" hidden="1">{"'Directory'!$A$72:$E$91"}</definedName>
    <definedName name="newbel" hidden="1">{"'Directory'!$A$72:$E$91"}</definedName>
    <definedName name="newbls" localSheetId="6">{"'Directory'!$A$72:$E$91"}</definedName>
    <definedName name="newbls" localSheetId="13" hidden="1">{"'Directory'!$A$72:$E$91"}</definedName>
    <definedName name="newbls" hidden="1">{"'Directory'!$A$72:$E$91"}</definedName>
    <definedName name="Newcapexp" hidden="1">#REF!</definedName>
    <definedName name="newdata" localSheetId="6">{"PAGE 1",#N/A,FALSE,"WEST_OT"}</definedName>
    <definedName name="newdata" localSheetId="13" hidden="1">{"PAGE 1",#N/A,FALSE,"WEST_OT"}</definedName>
    <definedName name="newdata" hidden="1">{"PAGE 1",#N/A,FALSE,"WEST_OT"}</definedName>
    <definedName name="newdata2" localSheetId="6">{"PAGE 1",#N/A,FALSE,"WEST_OT"}</definedName>
    <definedName name="newdata2" localSheetId="13" hidden="1">{"PAGE 1",#N/A,FALSE,"WEST_OT"}</definedName>
    <definedName name="newdata2" hidden="1">{"PAGE 1",#N/A,FALSE,"WEST_OT"}</definedName>
    <definedName name="newname" localSheetId="6">{#N/A,#N/A,FALSE,"Consol P&amp;L ";#N/A,#N/A,FALSE,"CP P&amp;L";#N/A,#N/A,FALSE,"ADS P&amp;L";#N/A,#N/A,FALSE,"Corp P&amp;L"}</definedName>
    <definedName name="newname" localSheetId="13" hidden="1">{#N/A,#N/A,FALSE,"Consol P&amp;L ";#N/A,#N/A,FALSE,"CP P&amp;L";#N/A,#N/A,FALSE,"ADS P&amp;L";#N/A,#N/A,FALSE,"Corp P&amp;L"}</definedName>
    <definedName name="newname" hidden="1">{#N/A,#N/A,FALSE,"Consol P&amp;L ";#N/A,#N/A,FALSE,"CP P&amp;L";#N/A,#N/A,FALSE,"ADS P&amp;L";#N/A,#N/A,FALSE,"Corp P&amp;L"}</definedName>
    <definedName name="NewRange" hidden="1">#REF!</definedName>
    <definedName name="newt" localSheetId="6">{"'Directory'!$A$72:$E$91"}</definedName>
    <definedName name="newt" localSheetId="13" hidden="1">{"'Directory'!$A$72:$E$91"}</definedName>
    <definedName name="newt" hidden="1">{"'Directory'!$A$72:$E$91"}</definedName>
    <definedName name="newview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6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localSheetId="1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6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1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localSheetId="6">{"'Directory'!$A$72:$E$91"}</definedName>
    <definedName name="newwcom" localSheetId="13" hidden="1">{"'Directory'!$A$72:$E$91"}</definedName>
    <definedName name="newwcom" hidden="1">{"'Directory'!$A$72:$E$91"}</definedName>
    <definedName name="nico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N" localSheetId="6">{"revenue detail 1",#N/A,FALSE,"Revenue Detail";"revenue detail 2",#N/A,FALSE,"Revenue Detail";"revenue detail 3",#N/A,FALSE,"Revenue Detail";"revenue detail 4",#N/A,FALSE,"Revenue Detail"}</definedName>
    <definedName name="NN" localSheetId="13" hidden="1">{"revenue detail 1",#N/A,FALSE,"Revenue Detail";"revenue detail 2",#N/A,FALSE,"Revenue Detail";"revenue detail 3",#N/A,FALSE,"Revenue Detail";"revenue detail 4",#N/A,FALSE,"Revenue Detail"}</definedName>
    <definedName name="NN" hidden="1">{"revenue detail 1",#N/A,FALSE,"Revenue Detail";"revenue detail 2",#N/A,FALSE,"Revenue Detail";"revenue detail 3",#N/A,FALSE,"Revenue Detail";"revenue detail 4",#N/A,FALSE,"Revenue Detail"}</definedName>
    <definedName name="nnn" localSheetId="6">{#N/A,#N/A,FALSE,"Consolidated Shipley";#N/A,#N/A,FALSE,"Consolidated PWB";#N/A,#N/A,FALSE,"Consolidated Micro"}</definedName>
    <definedName name="nnn" localSheetId="13" hidden="1">{#N/A,#N/A,FALSE,"Consolidated Shipley";#N/A,#N/A,FALSE,"Consolidated PWB";#N/A,#N/A,FALSE,"Consolidated Micro"}</definedName>
    <definedName name="nnn" hidden="1">{#N/A,#N/A,FALSE,"Consolidated Shipley";#N/A,#N/A,FALSE,"Consolidated PWB";#N/A,#N/A,FALSE,"Consolidated Micro"}</definedName>
    <definedName name="nnnn" localSheetId="6">{#N/A,#N/A,FALSE,"Consolidated Shipley";#N/A,#N/A,FALSE,"Consolidated PWB";#N/A,#N/A,FALSE,"Consolidated Micro"}</definedName>
    <definedName name="nnnn" localSheetId="13" hidden="1">{#N/A,#N/A,FALSE,"Consolidated Shipley";#N/A,#N/A,FALSE,"Consolidated PWB";#N/A,#N/A,FALSE,"Consolidated Micro"}</definedName>
    <definedName name="nnnn" hidden="1">{#N/A,#N/A,FALSE,"Consolidated Shipley";#N/A,#N/A,FALSE,"Consolidated PWB";#N/A,#N/A,FALSE,"Consolidated Micro"}</definedName>
    <definedName name="nnnnn" localSheetId="6">{"gross_margin1",#N/A,FALSE,"Gross Margin Detail";"gross_margin2",#N/A,FALSE,"Gross Margin Detail"}</definedName>
    <definedName name="nnnnn" localSheetId="13" hidden="1">{"gross_margin1",#N/A,FALSE,"Gross Margin Detail";"gross_margin2",#N/A,FALSE,"Gross Margin Detail"}</definedName>
    <definedName name="nnnnn" hidden="1">{"gross_margin1",#N/A,FALSE,"Gross Margin Detail";"gross_margin2",#N/A,FALSE,"Gross Margin Detail"}</definedName>
    <definedName name="nnnnnn" localSheetId="6">{"historical acquirer",#N/A,FALSE,"Historical Performance";"historical target",#N/A,FALSE,"Historical Performance"}</definedName>
    <definedName name="nnnnnn" localSheetId="13" hidden="1">{"historical acquirer",#N/A,FALSE,"Historical Performance";"historical target",#N/A,FALSE,"Historical Performance"}</definedName>
    <definedName name="nnnnnn" hidden="1">{"historical acquirer",#N/A,FALSE,"Historical Performance";"historical target",#N/A,FALSE,"Historical Performance"}</definedName>
    <definedName name="nnnnnnn" localSheetId="6">{#N/A,#N/A,TRUE,"TS";#N/A,#N/A,TRUE,"Combo";#N/A,#N/A,TRUE,"FAIR";#N/A,#N/A,TRUE,"RBC";#N/A,#N/A,TRUE,"xxxx"}</definedName>
    <definedName name="nnnnnnn" localSheetId="13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O" localSheetId="6">{"'Sheet1'!$A$1:$J$121"}</definedName>
    <definedName name="NO" localSheetId="13" hidden="1">{"'Sheet1'!$A$1:$J$121"}</definedName>
    <definedName name="NO" hidden="1">{"'Sheet1'!$A$1:$J$121"}</definedName>
    <definedName name="noidea" localSheetId="6">{#N/A,#N/A,FALSE,"Calc";#N/A,#N/A,FALSE,"Sensitivity";#N/A,#N/A,FALSE,"LT Earn.Dil.";#N/A,#N/A,FALSE,"Dil. AVP"}</definedName>
    <definedName name="noidea" localSheetId="13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1" localSheetId="6">{#N/A,#N/A,FALSE,"Calc";#N/A,#N/A,FALSE,"Sensitivity";#N/A,#N/A,FALSE,"LT Earn.Dil.";#N/A,#N/A,FALSE,"Dil. AVP"}</definedName>
    <definedName name="noidea1" localSheetId="13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2" localSheetId="6">{#N/A,#N/A,FALSE,"Calc";#N/A,#N/A,FALSE,"Sensitivity";#N/A,#N/A,FALSE,"LT Earn.Dil.";#N/A,#N/A,FALSE,"Dil. AVP"}</definedName>
    <definedName name="NOIDEA2" localSheetId="13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3" localSheetId="6">{#N/A,#N/A,FALSE,"Calc";#N/A,#N/A,FALSE,"Sensitivity";#N/A,#N/A,FALSE,"LT Earn.Dil.";#N/A,#N/A,FALSE,"Dil. AVP"}</definedName>
    <definedName name="noidea3" localSheetId="13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localSheetId="6">{#N/A,#N/A,FALSE,"Calc";#N/A,#N/A,FALSE,"Sensitivity";#N/A,#N/A,FALSE,"LT Earn.Dil.";#N/A,#N/A,FALSE,"Dil. AVP"}</definedName>
    <definedName name="noidea4" localSheetId="1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localSheetId="6">{#N/A,#N/A,FALSE,"Calc";#N/A,#N/A,FALSE,"Sensitivity";#N/A,#N/A,FALSE,"LT Earn.Dil.";#N/A,#N/A,FALSE,"Dil. AVP"}</definedName>
    <definedName name="noidea5" localSheetId="13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localSheetId="6">{#N/A,#N/A,FALSE,"Calc";#N/A,#N/A,FALSE,"Sensitivity";#N/A,#N/A,FALSE,"LT Earn.Dil.";#N/A,#N/A,FALSE,"Dil. AVP"}</definedName>
    <definedName name="noidea6" localSheetId="13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localSheetId="6">{#N/A,#N/A,FALSE,"Calc";#N/A,#N/A,FALSE,"Sensitivity";#N/A,#N/A,FALSE,"LT Earn.Dil.";#N/A,#N/A,FALSE,"Dil. AVP"}</definedName>
    <definedName name="noidea7" localSheetId="13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pe" localSheetId="6">{"'Bellville Acetylene'!$A$1:$L$99"}</definedName>
    <definedName name="Nope" localSheetId="13" hidden="1">{"'Bellville Acetylene'!$A$1:$L$99"}</definedName>
    <definedName name="Nope" hidden="1">{"'Bellville Acetylene'!$A$1:$L$99"}</definedName>
    <definedName name="NoteTextNames" localSheetId="6">{"Text 9";"Text 10";"Text 11";"Text 12"}</definedName>
    <definedName name="NoteTextNames" localSheetId="13" hidden="1">{"Text 9";"Text 10";"Text 11";"Text 12"}</definedName>
    <definedName name="NoteTextNames" hidden="1">{"Text 9";"Text 10";"Text 11";"Text 12"}</definedName>
    <definedName name="ns" localSheetId="6">{"bs",#N/A,FALSE,"SCF"}</definedName>
    <definedName name="ns" localSheetId="13" hidden="1">{"bs",#N/A,FALSE,"SCF"}</definedName>
    <definedName name="ns" hidden="1">{"bs",#N/A,FALSE,"SCF"}</definedName>
    <definedName name="nwnwn" localSheetId="6">{"GTI monthly IS",#N/A,FALSE,"gti";#N/A,#N/A,FALSE,"gti"}</definedName>
    <definedName name="nwnwn" localSheetId="13" hidden="1">{"GTI monthly IS",#N/A,FALSE,"gti";#N/A,#N/A,FALSE,"gti"}</definedName>
    <definedName name="nwnwn" hidden="1">{"GTI monthly IS",#N/A,FALSE,"gti";#N/A,#N/A,FALSE,"gti"}</definedName>
    <definedName name="ok" localSheetId="6">{#N/A,#N/A,FALSE,"AD_Purch";#N/A,#N/A,FALSE,"Projections";#N/A,#N/A,FALSE,"DCF";#N/A,#N/A,FALSE,"Mkt Val"}</definedName>
    <definedName name="ok" localSheetId="13" hidden="1">{#N/A,#N/A,FALSE,"AD_Purch";#N/A,#N/A,FALSE,"Projections";#N/A,#N/A,FALSE,"DCF";#N/A,#N/A,FALSE,"Mkt Val"}</definedName>
    <definedName name="ok" hidden="1">{#N/A,#N/A,FALSE,"AD_Purch";#N/A,#N/A,FALSE,"Projections";#N/A,#N/A,FALSE,"DCF";#N/A,#N/A,FALSE,"Mkt Val"}</definedName>
    <definedName name="oku" localSheetId="6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1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6">{"Period 5 Income Statements",#N/A,FALSE,"Income Statement";"Period 5 Balance Sheets",#N/A,FALSE,"Balance Sheet";"Period 5 Cashflow Statements",#N/A,FALSE,"Cashflow Statement";"Period 5 Financial Ratios",#N/A,FALSE,"Financial Ratios"}</definedName>
    <definedName name="old" localSheetId="13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old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 localSheetId="6">{"PAGE 1",#N/A,FALSE,"WEST_OT"}</definedName>
    <definedName name="olddata" localSheetId="13" hidden="1">{"PAGE 1",#N/A,FALSE,"WEST_OT"}</definedName>
    <definedName name="olddata" hidden="1">{"PAGE 1",#N/A,FALSE,"WEST_OT"}</definedName>
    <definedName name="olddata1" localSheetId="6">{"PAGE 1",#N/A,FALSE,"WEST_OT"}</definedName>
    <definedName name="olddata1" localSheetId="13" hidden="1">{"PAGE 1",#N/A,FALSE,"WEST_OT"}</definedName>
    <definedName name="olddata1" hidden="1">{"PAGE 1",#N/A,FALSE,"WEST_OT"}</definedName>
    <definedName name="olddata2" localSheetId="6">{"PAGE 1",#N/A,FALSE,"WEST_OT"}</definedName>
    <definedName name="olddata2" localSheetId="13" hidden="1">{"PAGE 1",#N/A,FALSE,"WEST_OT"}</definedName>
    <definedName name="olddata2" hidden="1">{"PAGE 1",#N/A,FALSE,"WEST_OT"}</definedName>
    <definedName name="olddata3" localSheetId="6">{"PAGE 1",#N/A,FALSE,"WEST_OT"}</definedName>
    <definedName name="olddata3" localSheetId="13" hidden="1">{"PAGE 1",#N/A,FALSE,"WEST_OT"}</definedName>
    <definedName name="olddata3" hidden="1">{"PAGE 1",#N/A,FALSE,"WEST_OT"}</definedName>
    <definedName name="ONYX19970501222055" hidden="1">#REF!</definedName>
    <definedName name="ONYX19970501222155" hidden="1">#REF!</definedName>
    <definedName name="OOO" localSheetId="6">{"Total Credit",#N/A,FALSE,"Credit";"Appraisal",#N/A,FALSE,"Credit";"Customer Service",#N/A,FALSE,"Credit";"Home Office",#N/A,FALSE,"Credit";"Quality Control",#N/A,FALSE,"Credit";"Risk Mgmt",#N/A,FALSE,"Credit"}</definedName>
    <definedName name="OOO" localSheetId="13" hidden="1">{"Total Credit",#N/A,FALSE,"Credit";"Appraisal",#N/A,FALSE,"Credit";"Customer Service",#N/A,FALSE,"Credit";"Home Office",#N/A,FALSE,"Credit";"Quality Control",#N/A,FALSE,"Credit";"Risk Mgmt",#N/A,FALSE,"Credit"}</definedName>
    <definedName name="OOO" hidden="1">{"Total Credit",#N/A,FALSE,"Credit";"Appraisal",#N/A,FALSE,"Credit";"Customer Service",#N/A,FALSE,"Credit";"Home Office",#N/A,FALSE,"Credit";"Quality Control",#N/A,FALSE,"Credit";"Risk Mgmt",#N/A,FALSE,"Credit"}</definedName>
    <definedName name="Order__1" hidden="1">0</definedName>
    <definedName name="Order2" hidden="1">0</definedName>
    <definedName name="OrderTable" hidden="1">#REF!</definedName>
    <definedName name="p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kh" localSheetId="6">{#N/A,#N/A,FALSE,"Heat";#N/A,#N/A,FALSE,"DCF";#N/A,#N/A,FALSE,"LBO";#N/A,#N/A,FALSE,"A";#N/A,#N/A,FALSE,"C";#N/A,#N/A,FALSE,"impd";#N/A,#N/A,FALSE,"Accr-Dilu"}</definedName>
    <definedName name="p.kh" localSheetId="13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ablo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C" hidden="1">0</definedName>
    <definedName name="Paste">#REF!</definedName>
    <definedName name="patty" localSheetId="6">{"PAGE 1",#N/A,FALSE,"WEST_OT"}</definedName>
    <definedName name="patty" localSheetId="13" hidden="1">{"PAGE 1",#N/A,FALSE,"WEST_OT"}</definedName>
    <definedName name="patty" hidden="1">{"PAGE 1",#N/A,FALSE,"WEST_OT"}</definedName>
    <definedName name="peace" hidden="1">0</definedName>
    <definedName name="Perf" localSheetId="6">{"GTI monthly IS",#N/A,FALSE,"gti";#N/A,#N/A,FALSE,"gti"}</definedName>
    <definedName name="Perf" localSheetId="13" hidden="1">{"GTI monthly IS",#N/A,FALSE,"gti";#N/A,#N/A,FALSE,"gti"}</definedName>
    <definedName name="Perf" hidden="1">{"GTI monthly IS",#N/A,FALSE,"gti";#N/A,#N/A,FALSE,"gti"}</definedName>
    <definedName name="perm" localSheetId="6">{"PAGE 1",#N/A,FALSE,"WEST_OT"}</definedName>
    <definedName name="perm" localSheetId="13" hidden="1">{"PAGE 1",#N/A,FALSE,"WEST_OT"}</definedName>
    <definedName name="perm" hidden="1">{"PAGE 1",#N/A,FALSE,"WEST_OT"}</definedName>
    <definedName name="perm1" localSheetId="6">{"PAGE 1",#N/A,FALSE,"WEST_OT"}</definedName>
    <definedName name="perm1" localSheetId="13" hidden="1">{"PAGE 1",#N/A,FALSE,"WEST_OT"}</definedName>
    <definedName name="perm1" hidden="1">{"PAGE 1",#N/A,FALSE,"WEST_OT"}</definedName>
    <definedName name="perm3" localSheetId="6">{"PAGE 1",#N/A,FALSE,"WEST_OT"}</definedName>
    <definedName name="perm3" localSheetId="13" hidden="1">{"PAGE 1",#N/A,FALSE,"WEST_OT"}</definedName>
    <definedName name="perm3" hidden="1">{"PAGE 1",#N/A,FALSE,"WEST_OT"}</definedName>
    <definedName name="perm4" localSheetId="6">{"PAGE 1",#N/A,FALSE,"WEST_OT"}</definedName>
    <definedName name="perm4" localSheetId="13" hidden="1">{"PAGE 1",#N/A,FALSE,"WEST_OT"}</definedName>
    <definedName name="perm4" hidden="1">{"PAGE 1",#N/A,FALSE,"WEST_OT"}</definedName>
    <definedName name="perm5" localSheetId="6">{"PAGE 2",#N/A,FALSE,"WEST_OT"}</definedName>
    <definedName name="perm5" localSheetId="13" hidden="1">{"PAGE 2",#N/A,FALSE,"WEST_OT"}</definedName>
    <definedName name="perm5" hidden="1">{"PAGE 2",#N/A,FALSE,"WEST_OT"}</definedName>
    <definedName name="perm6" localSheetId="6">{"PAGE 2",#N/A,FALSE,"WEST_OT"}</definedName>
    <definedName name="perm6" localSheetId="13" hidden="1">{"PAGE 2",#N/A,FALSE,"WEST_OT"}</definedName>
    <definedName name="perm6" hidden="1">{"PAGE 2",#N/A,FALSE,"WEST_OT"}</definedName>
    <definedName name="perm7" localSheetId="6">{"PAGE 1",#N/A,FALSE,"WEST_OT"}</definedName>
    <definedName name="perm7" localSheetId="13" hidden="1">{"PAGE 1",#N/A,FALSE,"WEST_OT"}</definedName>
    <definedName name="perm7" hidden="1">{"PAGE 1",#N/A,FALSE,"WEST_OT"}</definedName>
    <definedName name="perra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L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5YRP" localSheetId="6">{"ebitda",#N/A,FALSE,"EBITDA";"consolidated",#N/A,FALSE,"CCC PL";"divisions",#N/A,FALSE,"Divisions"}</definedName>
    <definedName name="PL5YRP" localSheetId="13" hidden="1">{"ebitda",#N/A,FALSE,"EBITDA";"consolidated",#N/A,FALSE,"CCC PL";"divisions",#N/A,FALSE,"Divisions"}</definedName>
    <definedName name="PL5YRP" hidden="1">{"ebitda",#N/A,FALSE,"EBITDA";"consolidated",#N/A,FALSE,"CCC PL";"divisions",#N/A,FALSE,"Divisions"}</definedName>
    <definedName name="planning" localSheetId="6">{#N/A,#N/A,FALSE,"BalSheet 0899";#N/A,#N/A,FALSE,"ytdpl899";#N/A,#N/A,FALSE,"Aug PL";#N/A,#N/A,FALSE,"Minority Int";#N/A,#N/A,FALSE,"Equity Roll Forward";#N/A,#N/A,FALSE,"Book Equity Test"}</definedName>
    <definedName name="planning" localSheetId="13" hidden="1">{#N/A,#N/A,FALSE,"BalSheet 0899";#N/A,#N/A,FALSE,"ytdpl899";#N/A,#N/A,FALSE,"Aug PL";#N/A,#N/A,FALSE,"Minority Int";#N/A,#N/A,FALSE,"Equity Roll Forward";#N/A,#N/A,FALSE,"Book Equity Test"}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oi" localSheetId="6">{#N/A,#N/A,FALSE,"Assump2";#N/A,#N/A,FALSE,"Income2";#N/A,#N/A,FALSE,"Balance2";#N/A,#N/A,FALSE,"DCF Filter";#N/A,#N/A,FALSE,"Trans Assump2";#N/A,#N/A,FALSE,"Combined Income2";#N/A,#N/A,FALSE,"Combined Balance2"}</definedName>
    <definedName name="ploi" localSheetId="13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o" localSheetId="6">{#N/A,#N/A,FALSE,"Calc";#N/A,#N/A,FALSE,"Sensitivity";#N/A,#N/A,FALSE,"LT Earn.Dil.";#N/A,#N/A,FALSE,"Dil. AVP"}</definedName>
    <definedName name="po" localSheetId="13" hidden="1">{#N/A,#N/A,FALSE,"Calc";#N/A,#N/A,FALSE,"Sensitivity";#N/A,#N/A,FALSE,"LT Earn.Dil.";#N/A,#N/A,FALSE,"Dil. AVP"}</definedName>
    <definedName name="po" hidden="1">{#N/A,#N/A,FALSE,"Calc";#N/A,#N/A,FALSE,"Sensitivity";#N/A,#N/A,FALSE,"LT Earn.Dil.";#N/A,#N/A,FALSE,"Dil. AVP"}</definedName>
    <definedName name="poi" localSheetId="6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13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p" hidden="1">#REF!</definedName>
    <definedName name="PPP" localSheetId="6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PP" localSheetId="13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PP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re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miumPaidSUmmary" localSheetId="6">{#N/A,#N/A,FALSE,"Projections";#N/A,#N/A,FALSE,"Multiples Valuation";#N/A,#N/A,FALSE,"LBO";#N/A,#N/A,FALSE,"Multiples_Sensitivity";#N/A,#N/A,FALSE,"Summary"}</definedName>
    <definedName name="PremiumPaidSUmmary" localSheetId="13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sentación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odForm" hidden="1">#REF!</definedName>
    <definedName name="profimp2" localSheetId="6">{"PAGE 1",#N/A,FALSE,"WEST_OT"}</definedName>
    <definedName name="profimp2" localSheetId="13" hidden="1">{"PAGE 1",#N/A,FALSE,"WEST_OT"}</definedName>
    <definedName name="profimp2" hidden="1">{"PAGE 1",#N/A,FALSE,"WEST_OT"}</definedName>
    <definedName name="profimp3" localSheetId="6">{"PAGE 2",#N/A,FALSE,"WEST_OT"}</definedName>
    <definedName name="profimp3" localSheetId="13" hidden="1">{"PAGE 2",#N/A,FALSE,"WEST_OT"}</definedName>
    <definedName name="profimp3" hidden="1">{"PAGE 2",#N/A,FALSE,"WEST_OT"}</definedName>
    <definedName name="profimp5" localSheetId="6">{"PAGE 1",#N/A,FALSE,"WEST_OT"}</definedName>
    <definedName name="profimp5" localSheetId="13" hidden="1">{"PAGE 1",#N/A,FALSE,"WEST_OT"}</definedName>
    <definedName name="profimp5" hidden="1">{"PAGE 1",#N/A,FALSE,"WEST_OT"}</definedName>
    <definedName name="profimptest" localSheetId="6">{"PAGE 2",#N/A,FALSE,"WEST_OT"}</definedName>
    <definedName name="profimptest" localSheetId="13" hidden="1">{"PAGE 2",#N/A,FALSE,"WEST_OT"}</definedName>
    <definedName name="profimptest" hidden="1">{"PAGE 2",#N/A,FALSE,"WEST_OT"}</definedName>
    <definedName name="Profit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fit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fi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perty" hidden="1">40406.4520138889</definedName>
    <definedName name="prout" localSheetId="6">{"comp1",#N/A,FALSE,"COMPS";"footnotes",#N/A,FALSE,"COMPS"}</definedName>
    <definedName name="prout" localSheetId="13" hidden="1">{"comp1",#N/A,FALSE,"COMPS";"footnotes",#N/A,FALSE,"COMPS"}</definedName>
    <definedName name="prout" hidden="1">{"comp1",#N/A,FALSE,"COMPS";"footnotes",#N/A,FALSE,"COMPS"}</definedName>
    <definedName name="PUB_FileID" hidden="1">"L10003787.xls"</definedName>
    <definedName name="PUB_UserID" hidden="1">"MAYERX"</definedName>
    <definedName name="pvdsk" localSheetId="6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" localSheetId="1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 localSheetId="6">{"CSheet",#N/A,FALSE,"C";"SmCap",#N/A,FALSE,"VAL1";"GulfCoast",#N/A,FALSE,"VAL1";"nav",#N/A,FALSE,"NAV";"Summary",#N/A,FALSE,"NAV"}</definedName>
    <definedName name="q" localSheetId="13" hidden="1">{"CSheet",#N/A,FALSE,"C";"SmCap",#N/A,FALSE,"VAL1";"GulfCoast",#N/A,FALSE,"VAL1";"nav",#N/A,FALSE,"NAV";"Summary",#N/A,FALSE,"NAV"}</definedName>
    <definedName name="q" hidden="1">{"CSheet",#N/A,FALSE,"C";"SmCap",#N/A,FALSE,"VAL1";"GulfCoast",#N/A,FALSE,"VAL1";"nav",#N/A,FALSE,"NAV";"Summary",#N/A,FALSE,"NAV"}</definedName>
    <definedName name="q4NIvsplan" localSheetId="6">{#N/A,#N/A,FALSE,"BalSheet 0899";#N/A,#N/A,FALSE,"ytdpl899";#N/A,#N/A,FALSE,"Aug PL";#N/A,#N/A,FALSE,"Minority Int";#N/A,#N/A,FALSE,"Equity Roll Forward";#N/A,#N/A,FALSE,"Book Equity Test"}</definedName>
    <definedName name="q4NIvsplan" localSheetId="13" hidden="1">{#N/A,#N/A,FALSE,"BalSheet 0899";#N/A,#N/A,FALSE,"ytdpl899";#N/A,#N/A,FALSE,"Aug PL";#N/A,#N/A,FALSE,"Minority Int";#N/A,#N/A,FALSE,"Equity Roll Forward";#N/A,#N/A,FALSE,"Book Equity Test"}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e5yh" localSheetId="6">{#N/A,#N/A,FALSE,"Summary";#N/A,#N/A,FALSE,"Projections";#N/A,#N/A,FALSE,"Mkt Mults";#N/A,#N/A,FALSE,"DCF";#N/A,#N/A,FALSE,"Accr Dil";#N/A,#N/A,FALSE,"PIC LBO";#N/A,#N/A,FALSE,"MULT10_4";#N/A,#N/A,FALSE,"CBI LBO"}</definedName>
    <definedName name="qe5yh" localSheetId="13" hidden="1">{#N/A,#N/A,FALSE,"Summary";#N/A,#N/A,FALSE,"Projections";#N/A,#N/A,FALSE,"Mkt Mults";#N/A,#N/A,FALSE,"DCF";#N/A,#N/A,FALSE,"Accr Dil";#N/A,#N/A,FALSE,"PIC LBO";#N/A,#N/A,FALSE,"MULT10_4";#N/A,#N/A,FALSE,"CBI LBO"}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ofE2" localSheetId="6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" localSheetId="1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localSheetId="6">{"incomemth",#N/A,TRUE,"forecast00";"incomepercentmth",#N/A,TRUE,"forecast00";"balancemth",#N/A,TRUE,"forecast00";"cashmth",#N/A,TRUE,"forecast00";"covenantmth",#N/A,TRUE,"forecast00"}</definedName>
    <definedName name="qp" localSheetId="13" hidden="1">{"incomemth",#N/A,TRUE,"forecast00";"incomepercentmth",#N/A,TRUE,"forecast00";"balancemth",#N/A,TRUE,"forecast00";"cashmth",#N/A,TRUE,"forecast00";"covenantmth",#N/A,TRUE,"forecast00"}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localSheetId="6">{"incomemth",#N/A,TRUE,"forecast00";"incomepercentmth",#N/A,TRUE,"forecast00";"balancemth",#N/A,TRUE,"forecast00";"cashmth",#N/A,TRUE,"forecast00";"covenantmth",#N/A,TRUE,"forecast00"}</definedName>
    <definedName name="qq" localSheetId="13" hidden="1">{"incomemth",#N/A,TRUE,"forecast00";"incomepercentmth",#N/A,TRUE,"forecast00";"balancemth",#N/A,TRUE,"forecast00";"cashmth",#N/A,TRUE,"forecast00";"covenantmth",#N/A,TRUE,"forecast00"}</definedName>
    <definedName name="qq" hidden="1">{"incomemth",#N/A,TRUE,"forecast00";"incomepercentmth",#N/A,TRUE,"forecast00";"balancemth",#N/A,TRUE,"forecast00";"cashmth",#N/A,TRUE,"forecast00";"covenantmth",#N/A,TRUE,"forecast00"}</definedName>
    <definedName name="QQQ" localSheetId="6">{"NHEC",#N/A,FALSE,"NHEC"}</definedName>
    <definedName name="QQQ" localSheetId="13" hidden="1">{"NHEC",#N/A,FALSE,"NHEC"}</definedName>
    <definedName name="QQQ" hidden="1">{"NHEC",#N/A,FALSE,"NHEC"}</definedName>
    <definedName name="qw" localSheetId="6">{"'下期集計（10.27迄・速報値）'!$Q$16"}</definedName>
    <definedName name="qw" localSheetId="13" hidden="1">{"'下期集計（10.27迄・速報値）'!$Q$16"}</definedName>
    <definedName name="qw" hidden="1">{"'下期集計（10.27迄・速報値）'!$Q$16"}</definedName>
    <definedName name="qwe" localSheetId="6">{"incomemth",#N/A,TRUE,"forecast00";"incomepercentmth",#N/A,TRUE,"forecast00";"balancemth",#N/A,TRUE,"forecast00";"cashmth",#N/A,TRUE,"forecast00";"covenantmth",#N/A,TRUE,"forecast00"}</definedName>
    <definedName name="qwe" localSheetId="13" hidden="1">{"incomemth",#N/A,TRUE,"forecast00";"incomepercentmth",#N/A,TRUE,"forecast00";"balancemth",#N/A,TRUE,"forecast00";"cashmth",#N/A,TRUE,"forecast00";"covenantmth",#N/A,TRUE,"forecast00"}</definedName>
    <definedName name="qwe" hidden="1">{"incomemth",#N/A,TRUE,"forecast00";"incomepercentmth",#N/A,TRUE,"forecast00";"balancemth",#N/A,TRUE,"forecast00";"cashmth",#N/A,TRUE,"forecast00";"covenantmth",#N/A,TRUE,"forecast00"}</definedName>
    <definedName name="qwerty" localSheetId="6">{#N/A,#N/A,TRUE,"FOC_Product_Assumptions"}</definedName>
    <definedName name="qwerty" localSheetId="13" hidden="1">{#N/A,#N/A,TRUE,"FOC_Product_Assumptions"}</definedName>
    <definedName name="qwerty" hidden="1">{#N/A,#N/A,TRUE,"FOC_Product_Assumptions"}</definedName>
    <definedName name="qwpp" localSheetId="6">{"incomemth",#N/A,TRUE,"forecast00";"incomepercentmth",#N/A,TRUE,"forecast00";"balancemth",#N/A,TRUE,"forecast00";"cashmth",#N/A,TRUE,"forecast00";"covenantmth",#N/A,TRUE,"forecast00"}</definedName>
    <definedName name="qwpp" localSheetId="13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"c4444"</definedName>
    <definedName name="ra" localSheetId="6">{"bs",#N/A,FALSE,"SCF"}</definedName>
    <definedName name="ra" localSheetId="13" hidden="1">{"bs",#N/A,FALSE,"SCF"}</definedName>
    <definedName name="ra" hidden="1">{"bs",#N/A,FALSE,"SCF"}</definedName>
    <definedName name="raag" localSheetId="6">{"reagan is",#N/A,FALSE,"CONS IS";"reagan na",#N/A,FALSE,"NOTE PAYMENTS";"reagan bs",#N/A,FALSE,"CONS BS";"reagan cf",#N/A,FALSE,"CONS BS";"reagan ds",#N/A,FALSE,"CONS BS"}</definedName>
    <definedName name="raag" localSheetId="13" hidden="1">{"reagan is",#N/A,FALSE,"CONS IS";"reagan na",#N/A,FALSE,"NOTE PAYMENTS";"reagan bs",#N/A,FALSE,"CONS BS";"reagan cf",#N/A,FALSE,"CONS BS";"reagan ds",#N/A,FALSE,"CONS BS"}</definedName>
    <definedName name="raag" hidden="1">{"reagan is",#N/A,FALSE,"CONS IS";"reagan na",#N/A,FALSE,"NOTE PAYMENTS";"reagan bs",#N/A,FALSE,"CONS BS";"reagan cf",#N/A,FALSE,"CONS BS";"reagan ds",#N/A,FALSE,"CONS BS"}</definedName>
    <definedName name="ramon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Change" localSheetId="6">#REF!</definedName>
    <definedName name="RangeChange" hidden="1">#N/A</definedName>
    <definedName name="ＲＡＲＯＡ" localSheetId="6">{"'下期集計（10.27迄・速報値）'!$Q$16"}</definedName>
    <definedName name="ＲＡＲＯＡ" localSheetId="13" hidden="1">{"'下期集計（10.27迄・速報値）'!$Q$16"}</definedName>
    <definedName name="ＲＡＲＯＡ" hidden="1">{"'下期集計（10.27迄・速報値）'!$Q$16"}</definedName>
    <definedName name="RawsFIT" localSheetId="6">{#N/A,#N/A,TRUE,"Summary";#N/A,#N/A,TRUE,"Assumptions";#N/A,#N/A,TRUE,"Comparison";#N/A,#N/A,TRUE,"Financials";#N/A,#N/A,TRUE,"Plan v. Act"}</definedName>
    <definedName name="RawsFIT" localSheetId="13" hidden="1">{#N/A,#N/A,TRUE,"Summary";#N/A,#N/A,TRUE,"Assumptions";#N/A,#N/A,TRUE,"Comparison";#N/A,#N/A,TRUE,"Financials";#N/A,#N/A,TRUE,"Plan v. Act"}</definedName>
    <definedName name="RawsFIT" hidden="1">{#N/A,#N/A,TRUE,"Summary";#N/A,#N/A,TRUE,"Assumptions";#N/A,#N/A,TRUE,"Comparison";#N/A,#N/A,TRUE,"Financials";#N/A,#N/A,TRUE,"Plan v. Act"}</definedName>
    <definedName name="ray" localSheetId="6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localSheetId="1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eag10" localSheetId="6">{"reagan is",#N/A,FALSE,"CONS IS";"reagan na",#N/A,FALSE,"NOTE PAYMENTS";"reagan bs",#N/A,FALSE,"CONS BS";"reagan cf",#N/A,FALSE,"CONS BS";"reagan ds",#N/A,FALSE,"CONS BS"}</definedName>
    <definedName name="reag10" localSheetId="13" hidden="1">{"reagan is",#N/A,FALSE,"CONS IS";"reagan na",#N/A,FALSE,"NOTE PAYMENTS";"reagan bs",#N/A,FALSE,"CONS BS";"reagan cf",#N/A,FALSE,"CONS BS";"reagan ds",#N/A,FALSE,"CONS BS"}</definedName>
    <definedName name="reag10" hidden="1">{"reagan is",#N/A,FALSE,"CONS IS";"reagan na",#N/A,FALSE,"NOTE PAYMENTS";"reagan bs",#N/A,FALSE,"CONS BS";"reagan cf",#N/A,FALSE,"CONS BS";"reagan ds",#N/A,FALSE,"CONS BS"}</definedName>
    <definedName name="reag5" localSheetId="6">{"reagan is",#N/A,FALSE,"CONS IS";"reagan na",#N/A,FALSE,"NOTE PAYMENTS";"reagan bs",#N/A,FALSE,"CONS BS";"reagan cf",#N/A,FALSE,"CONS BS";"reagan ds",#N/A,FALSE,"CONS BS"}</definedName>
    <definedName name="reag5" localSheetId="13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localSheetId="6">{"reagan is",#N/A,FALSE,"CONS IS";"reagan na",#N/A,FALSE,"NOTE PAYMENTS";"reagan bs",#N/A,FALSE,"CONS BS";"reagan cf",#N/A,FALSE,"CONS BS";"reagan ds",#N/A,FALSE,"CONS BS"}</definedName>
    <definedName name="reag55" localSheetId="13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localSheetId="6">{"reagan is",#N/A,FALSE,"CONS IS";"reagan na",#N/A,FALSE,"NOTE PAYMENTS";"reagan bs",#N/A,FALSE,"CONS BS";"reagan cf",#N/A,FALSE,"CONS BS";"reagan ds",#N/A,FALSE,"CONS BS"}</definedName>
    <definedName name="reaga" localSheetId="13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localSheetId="6">{"reagan is",#N/A,FALSE,"CONS IS";"reagan na",#N/A,FALSE,"NOTE PAYMENTS";"reagan bs",#N/A,FALSE,"CONS BS";"reagan cf",#N/A,FALSE,"CONS BS";"reagan ds",#N/A,FALSE,"CONS BS"}</definedName>
    <definedName name="reagan00" localSheetId="13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localSheetId="6">{"reagan is",#N/A,FALSE,"CONS IS";"reagan na",#N/A,FALSE,"NOTE PAYMENTS";"reagan bs",#N/A,FALSE,"CONS BS";"reagan cf",#N/A,FALSE,"CONS BS";"reagan ds",#N/A,FALSE,"CONS BS"}</definedName>
    <definedName name="reagan15" localSheetId="13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localSheetId="6">{"reagan is",#N/A,FALSE,"CONS IS";"reagan na",#N/A,FALSE,"NOTE PAYMENTS";"reagan bs",#N/A,FALSE,"CONS BS";"reagan cf",#N/A,FALSE,"CONS BS";"reagan ds",#N/A,FALSE,"CONS BS"}</definedName>
    <definedName name="reagan2" localSheetId="13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localSheetId="6">{"reagan is",#N/A,FALSE,"CONS IS";"reagan na",#N/A,FALSE,"NOTE PAYMENTS";"reagan bs",#N/A,FALSE,"CONS BS";"reagan cf",#N/A,FALSE,"CONS BS";"reagan ds",#N/A,FALSE,"CONS BS"}</definedName>
    <definedName name="reagan20" localSheetId="13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localSheetId="6">{"reagan is",#N/A,FALSE,"CONS IS";"reagan na",#N/A,FALSE,"NOTE PAYMENTS";"reagan bs",#N/A,FALSE,"CONS BS";"reagan cf",#N/A,FALSE,"CONS BS";"reagan ds",#N/A,FALSE,"CONS BS"}</definedName>
    <definedName name="reagan22" localSheetId="13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localSheetId="6">{"reagan is",#N/A,FALSE,"CONS IS";"reagan na",#N/A,FALSE,"NOTE PAYMENTS";"reagan bs",#N/A,FALSE,"CONS BS";"reagan cf",#N/A,FALSE,"CONS BS";"reagan ds",#N/A,FALSE,"CONS BS"}</definedName>
    <definedName name="reagan26" localSheetId="13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localSheetId="6">{"reagan is",#N/A,FALSE,"CONS IS";"reagan na",#N/A,FALSE,"NOTE PAYMENTS";"reagan bs",#N/A,FALSE,"CONS BS";"reagan cf",#N/A,FALSE,"CONS BS";"reagan ds",#N/A,FALSE,"CONS BS"}</definedName>
    <definedName name="reagan3" localSheetId="13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localSheetId="6">{"reagan is",#N/A,FALSE,"CONS IS";"reagan na",#N/A,FALSE,"NOTE PAYMENTS";"reagan bs",#N/A,FALSE,"CONS BS";"reagan cf",#N/A,FALSE,"CONS BS";"reagan ds",#N/A,FALSE,"CONS BS"}</definedName>
    <definedName name="reagan30" localSheetId="1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localSheetId="6">{"reagan is",#N/A,FALSE,"CONS IS";"reagan na",#N/A,FALSE,"NOTE PAYMENTS";"reagan bs",#N/A,FALSE,"CONS BS";"reagan cf",#N/A,FALSE,"CONS BS";"reagan ds",#N/A,FALSE,"CONS BS"}</definedName>
    <definedName name="reagan33" localSheetId="13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localSheetId="6">{"reagan is",#N/A,FALSE,"CONS IS";"reagan na",#N/A,FALSE,"NOTE PAYMENTS";"reagan bs",#N/A,FALSE,"CONS BS";"reagan cf",#N/A,FALSE,"CONS BS";"reagan ds",#N/A,FALSE,"CONS BS"}</definedName>
    <definedName name="reagan4" localSheetId="1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localSheetId="6">{"reagan is",#N/A,FALSE,"CONS IS";"reagan na",#N/A,FALSE,"NOTE PAYMENTS";"reagan bs",#N/A,FALSE,"CONS BS";"reagan cf",#N/A,FALSE,"CONS BS";"reagan ds",#N/A,FALSE,"CONS BS"}</definedName>
    <definedName name="reagan44" localSheetId="13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localSheetId="6">{"reagan is",#N/A,FALSE,"CONS IS";"reagan na",#N/A,FALSE,"NOTE PAYMENTS";"reagan bs",#N/A,FALSE,"CONS BS";"reagan cf",#N/A,FALSE,"CONS BS";"reagan ds",#N/A,FALSE,"CONS BS"}</definedName>
    <definedName name="reagan5" localSheetId="13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localSheetId="6">{"reagan is",#N/A,FALSE,"CONS IS";"reagan na",#N/A,FALSE,"NOTE PAYMENTS";"reagan bs",#N/A,FALSE,"CONS BS";"reagan cf",#N/A,FALSE,"CONS BS";"reagan ds",#N/A,FALSE,"CONS BS"}</definedName>
    <definedName name="reagan55" localSheetId="13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localSheetId="6">{"reagan is",#N/A,FALSE,"CONS IS";"reagan na",#N/A,FALSE,"NOTE PAYMENTS";"reagan bs",#N/A,FALSE,"CONS BS";"reagan cf",#N/A,FALSE,"CONS BS";"reagan ds",#N/A,FALSE,"CONS BS"}</definedName>
    <definedName name="reagan7" localSheetId="13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localSheetId="6">{"reagan is",#N/A,FALSE,"CONS IS";"reagan na",#N/A,FALSE,"NOTE PAYMENTS";"reagan bs",#N/A,FALSE,"CONS BS";"reagan cf",#N/A,FALSE,"CONS BS";"reagan ds",#N/A,FALSE,"CONS BS"}</definedName>
    <definedName name="reagan9" localSheetId="13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localSheetId="6">{"reagan is",#N/A,FALSE,"CONS IS";"reagan na",#N/A,FALSE,"NOTE PAYMENTS";"reagan bs",#N/A,FALSE,"CONS BS";"reagan cf",#N/A,FALSE,"CONS BS";"reagan ds",#N/A,FALSE,"CONS BS"}</definedName>
    <definedName name="reagan99" localSheetId="13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definePrintTableRange" hidden="1">#REF!</definedName>
    <definedName name="redo" localSheetId="6">{#N/A,#N/A,FALSE,"ACQ_GRAPHS";#N/A,#N/A,FALSE,"T_1 GRAPHS";#N/A,#N/A,FALSE,"T_2 GRAPHS";#N/A,#N/A,FALSE,"COMB_GRAPHS"}</definedName>
    <definedName name="redo" localSheetId="13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ag" localSheetId="6">{"reagan is",#N/A,FALSE,"CONS IS";"reagan na",#N/A,FALSE,"NOTE PAYMENTS";"reagan bs",#N/A,FALSE,"CONS BS";"reagan cf",#N/A,FALSE,"CONS BS";"reagan ds",#N/A,FALSE,"CONS BS"}</definedName>
    <definedName name="reeag" localSheetId="13" hidden="1">{"reagan is",#N/A,FALSE,"CONS IS";"reagan na",#N/A,FALSE,"NOTE PAYMENTS";"reagan bs",#N/A,FALSE,"CONS BS";"reagan cf",#N/A,FALSE,"CONS BS";"reagan ds",#N/A,FALSE,"CONS BS"}</definedName>
    <definedName name="reeag" hidden="1">{"reagan is",#N/A,FALSE,"CONS IS";"reagan na",#N/A,FALSE,"NOTE PAYMENTS";"reagan bs",#N/A,FALSE,"CONS BS";"reagan cf",#N/A,FALSE,"CONS BS";"reagan ds",#N/A,FALSE,"CONS BS"}</definedName>
    <definedName name="Related" localSheetId="6">{#N/A,#N/A,FALSE,"Job Sched"}</definedName>
    <definedName name="Related" localSheetId="13" hidden="1">{#N/A,#N/A,FALSE,"Job Sched"}</definedName>
    <definedName name="Related" hidden="1">{#N/A,#N/A,FALSE,"Job Sched"}</definedName>
    <definedName name="ReportGroup" hidden="1">0</definedName>
    <definedName name="Resource" localSheetId="6">{#N/A,#N/A,FALSE,"TESTING";#N/A,#N/A,FALSE,"TESTING"}</definedName>
    <definedName name="Resource" localSheetId="13" hidden="1">{#N/A,#N/A,FALSE,"TESTING";#N/A,#N/A,FALSE,"TESTING"}</definedName>
    <definedName name="Resource" hidden="1">{#N/A,#N/A,FALSE,"TESTING";#N/A,#N/A,FALSE,"TESTING"}</definedName>
    <definedName name="resources" localSheetId="6">{#N/A,#N/A,FALSE,"Assessment";#N/A,#N/A,FALSE,"Staffing";#N/A,#N/A,FALSE,"Hires";#N/A,#N/A,FALSE,"Assumptions"}</definedName>
    <definedName name="resources" localSheetId="13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tail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ega" hidden="1">#REF!</definedName>
    <definedName name="retyu" localSheetId="6">{#N/A,#N/A,FALSE,"AD_Purchase";#N/A,#N/A,FALSE,"Credit";#N/A,#N/A,FALSE,"PF Acquisition";#N/A,#N/A,FALSE,"PF Offering"}</definedName>
    <definedName name="retyu" localSheetId="13" hidden="1">{#N/A,#N/A,FALSE,"AD_Purchase";#N/A,#N/A,FALSE,"Credit";#N/A,#N/A,FALSE,"PF Acquisition";#N/A,#N/A,FALSE,"PF Offering"}</definedName>
    <definedName name="retyu" hidden="1">{#N/A,#N/A,FALSE,"AD_Purchase";#N/A,#N/A,FALSE,"Credit";#N/A,#N/A,FALSE,"PF Acquisition";#N/A,#N/A,FALSE,"PF Offering"}</definedName>
    <definedName name="rfgg" localSheetId="6">{#N/A,#N/A,FALSE,"sum-don";#N/A,#N/A,FALSE,"inc-don"}</definedName>
    <definedName name="rfgg" localSheetId="13" hidden="1">{#N/A,#N/A,FALSE,"sum-don";#N/A,#N/A,FALSE,"inc-don"}</definedName>
    <definedName name="rfgg" hidden="1">{#N/A,#N/A,FALSE,"sum-don";#N/A,#N/A,FALSE,"inc-don"}</definedName>
    <definedName name="rhs" localSheetId="6">{#N/A,#N/A,TRUE,"KEY DATA";#N/A,#N/A,TRUE,"KEY DATA Base Case";#N/A,#N/A,TRUE,"JULY";#N/A,#N/A,TRUE,"AUG";#N/A,#N/A,TRUE,"SEPT";#N/A,#N/A,TRUE,"3Q"}</definedName>
    <definedName name="rhs" localSheetId="13" hidden="1">{#N/A,#N/A,TRUE,"KEY DATA";#N/A,#N/A,TRUE,"KEY DATA Base Case";#N/A,#N/A,TRUE,"JULY";#N/A,#N/A,TRUE,"AUG";#N/A,#N/A,TRUE,"SEPT";#N/A,#N/A,TRUE,"3Q"}</definedName>
    <definedName name="rhs" hidden="1">{#N/A,#N/A,TRUE,"KEY DATA";#N/A,#N/A,TRUE,"KEY DATA Base Case";#N/A,#N/A,TRUE,"JULY";#N/A,#N/A,TRUE,"AUG";#N/A,#N/A,TRUE,"SEPT";#N/A,#N/A,TRUE,"3Q"}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mi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RR" localSheetId="6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RR" localSheetId="13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RR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scGrpLKP" hidden="1">#REF!</definedName>
    <definedName name="rt" localSheetId="6">{#N/A,#N/A,FALSE,"Second";#N/A,#N/A,FALSE,"ownership";#N/A,#N/A,FALSE,"Valuation";#N/A,#N/A,FALSE,"Eqiv";#N/A,#N/A,FALSE,"Mults";#N/A,#N/A,FALSE,"ISCG Graphics"}</definedName>
    <definedName name="rt" localSheetId="13" hidden="1">{#N/A,#N/A,FALSE,"Second";#N/A,#N/A,FALSE,"ownership";#N/A,#N/A,FALSE,"Valuation";#N/A,#N/A,FALSE,"Eqiv";#N/A,#N/A,FALSE,"Mults";#N/A,#N/A,FALSE,"ISCG Graphics"}</definedName>
    <definedName name="rt" hidden="1">{#N/A,#N/A,FALSE,"Second";#N/A,#N/A,FALSE,"ownership";#N/A,#N/A,FALSE,"Valuation";#N/A,#N/A,FALSE,"Eqiv";#N/A,#N/A,FALSE,"Mults";#N/A,#N/A,FALSE,"ISCG Graphics"}</definedName>
    <definedName name="rty" localSheetId="6">{#N/A,#N/A,TRUE,"Pro Forma";#N/A,#N/A,TRUE,"PF_Bal";#N/A,#N/A,TRUE,"PF_INC";#N/A,#N/A,TRUE,"CBE";#N/A,#N/A,TRUE,"SWK"}</definedName>
    <definedName name="rty" localSheetId="13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russ" localSheetId="6">{"'Inventory &amp; Anal-Cur Wkbk'!$A$7:$AP$71"}</definedName>
    <definedName name="russ" localSheetId="13" hidden="1">{"'Inventory &amp; Anal-Cur Wkbk'!$A$7:$AP$71"}</definedName>
    <definedName name="russ" hidden="1">{"'Inventory &amp; Anal-Cur Wkbk'!$A$7:$AP$71"}</definedName>
    <definedName name="rustey" localSheetId="6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" localSheetId="1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y" localSheetId="6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localSheetId="1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 localSheetId="6">{#N/A,#N/A,TRUE,"MAIN FT TERM";#N/A,#N/A,TRUE,"MCI  FT TERM ";#N/A,#N/A,TRUE,"OC12 EQV"}</definedName>
    <definedName name="s" localSheetId="13" hidden="1">{#N/A,#N/A,TRUE,"MAIN FT TERM";#N/A,#N/A,TRUE,"MCI  FT TERM ";#N/A,#N/A,TRUE,"OC12 EQV"}</definedName>
    <definedName name="s" hidden="1">{#N/A,#N/A,TRUE,"MAIN FT TERM";#N/A,#N/A,TRUE,"MCI  FT TERM ";#N/A,#N/A,TRUE,"OC12 EQV"}</definedName>
    <definedName name="sa" localSheetId="6">{"bs",#N/A,FALSE,"SCF"}</definedName>
    <definedName name="sa" localSheetId="13" hidden="1">{"bs",#N/A,FALSE,"SCF"}</definedName>
    <definedName name="sa" hidden="1">{"bs",#N/A,FALSE,"SCF"}</definedName>
    <definedName name="saa" localSheetId="6">{"rtn",#N/A,FALSE,"RTN";"tables",#N/A,FALSE,"RTN";"cf",#N/A,FALSE,"CF";"stats",#N/A,FALSE,"Stats";"prop",#N/A,FALSE,"Prop"}</definedName>
    <definedName name="saa" localSheetId="13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d" localSheetId="6">{"by_month",#N/A,TRUE,"template";"destec_month",#N/A,TRUE,"template";"by_quarter",#N/A,TRUE,"template";"destec_quarter",#N/A,TRUE,"template";"by_year",#N/A,TRUE,"template";"destec_annual",#N/A,TRUE,"template"}</definedName>
    <definedName name="sad" localSheetId="13" hidden="1">{"by_month",#N/A,TRUE,"template";"destec_month",#N/A,TRUE,"template";"by_quarter",#N/A,TRUE,"template";"destec_quarter",#N/A,TRUE,"template";"by_year",#N/A,TRUE,"template";"destec_annual",#N/A,TRUE,"template"}</definedName>
    <definedName name="sad" hidden="1">{"by_month",#N/A,TRUE,"template";"destec_month",#N/A,TRUE,"template";"by_quarter",#N/A,TRUE,"template";"destec_quarter",#N/A,TRUE,"template";"by_year",#N/A,TRUE,"template";"destec_annual",#N/A,TRUE,"template"}</definedName>
    <definedName name="sadf" localSheetId="6">{"incomemth",#N/A,TRUE,"forecast00";"incomepercentmth",#N/A,TRUE,"forecast00";"balancemth",#N/A,TRUE,"forecast00";"cashmth",#N/A,TRUE,"forecast00";"covenantmth",#N/A,TRUE,"forecast00"}</definedName>
    <definedName name="sadf" localSheetId="13" hidden="1">{"incomemth",#N/A,TRUE,"forecast00";"incomepercentmth",#N/A,TRUE,"forecast00";"balancemth",#N/A,TRUE,"forecast00";"cashmth",#N/A,TRUE,"forecast00";"covenantmth",#N/A,TRUE,"forecast00"}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f" localSheetId="6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13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PBEXdnldView" hidden="1">"DB11NIDFBNCC1K4T7XXO9RQ18"</definedName>
    <definedName name="SAPBEXhrIndnt" hidden="1">1</definedName>
    <definedName name="SAPBEXrevision" hidden="1">1</definedName>
    <definedName name="SAPBEXsysID" hidden="1">"PW2"</definedName>
    <definedName name="SAPBEXwbID" hidden="1">"3HJAM0C8PHGQV7UK9SXG1J1DV"</definedName>
    <definedName name="SAPsysID" hidden="1">"708C5W7SBKP804JT78WJ0JNKI"</definedName>
    <definedName name="SAPwbID" hidden="1">"ARS"</definedName>
    <definedName name="sas" localSheetId="6">{"Outflow 1",#N/A,FALSE,"Outflows-Inflows";"Outflow 2",#N/A,FALSE,"Outflows-Inflows";"Inflow 1",#N/A,FALSE,"Outflows-Inflows";"Inflow 2",#N/A,FALSE,"Outflows-Inflows"}</definedName>
    <definedName name="sas" localSheetId="13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b" localSheetId="6">{"bs",#N/A,FALSE,"SCF"}</definedName>
    <definedName name="sb" localSheetId="13" hidden="1">{"bs",#N/A,FALSE,"SCF"}</definedName>
    <definedName name="sb" hidden="1">{"bs",#N/A,FALSE,"SCF"}</definedName>
    <definedName name="scott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d" localSheetId="6">{"bs",#N/A,FALSE,"SCF"}</definedName>
    <definedName name="sd" localSheetId="13" hidden="1">{"bs",#N/A,FALSE,"SCF"}</definedName>
    <definedName name="sd" hidden="1">{"bs",#N/A,FALSE,"SCF"}</definedName>
    <definedName name="sda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sdsad" localSheetId="6">{#N/A,#N/A,TRUE,"Falcons_Standalone";#N/A,#N/A,TRUE,"Target_Input";#N/A,#N/A,TRUE,"Target_Calendarized"}</definedName>
    <definedName name="sdasdsad" localSheetId="13" hidden="1">{#N/A,#N/A,TRUE,"Falcons_Standalone";#N/A,#N/A,TRUE,"Target_Input";#N/A,#N/A,TRUE,"Target_Calendarized"}</definedName>
    <definedName name="sdasdsad" hidden="1">{#N/A,#N/A,TRUE,"Falcons_Standalone";#N/A,#N/A,TRUE,"Target_Input";#N/A,#N/A,TRUE,"Target_Calendarized"}</definedName>
    <definedName name="sddd" localSheetId="6">{"bs",#N/A,FALSE,"SCF"}</definedName>
    <definedName name="sddd" localSheetId="13" hidden="1">{"bs",#N/A,FALSE,"SCF"}</definedName>
    <definedName name="sddd" hidden="1">{"bs",#N/A,FALSE,"SCF"}</definedName>
    <definedName name="sdf" localSheetId="6">{#N/A,#N/A,FALSE,"Aging Summary";#N/A,#N/A,FALSE,"Ratio Analysis";#N/A,#N/A,FALSE,"Test 120 Day Accts";#N/A,#N/A,FALSE,"Tickmarks"}</definedName>
    <definedName name="sdf" localSheetId="13" hidden="1">{#N/A,#N/A,FALSE,"Aging Summary";#N/A,#N/A,FALSE,"Ratio Analysis";#N/A,#N/A,FALSE,"Test 120 Day Accts";#N/A,#N/A,FALSE,"Tickmarks"}</definedName>
    <definedName name="sdf" hidden="1">{#N/A,#N/A,FALSE,"Aging Summary";#N/A,#N/A,FALSE,"Ratio Analysis";#N/A,#N/A,FALSE,"Test 120 Day Accts";#N/A,#N/A,FALSE,"Tickmarks"}</definedName>
    <definedName name="sdfass" localSheetId="6">{"Outflow 1",#N/A,FALSE,"Outflows-Inflows";"Outflow 2",#N/A,FALSE,"Outflows-Inflows";"Inflow 1",#N/A,FALSE,"Outflows-Inflows";"Inflow 2",#N/A,FALSE,"Outflows-Inflows"}</definedName>
    <definedName name="sdfass" localSheetId="13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dsaf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rsta" localSheetId="6">{"var_page",#N/A,FALSE,"template"}</definedName>
    <definedName name="sdfgrsta" localSheetId="13" hidden="1">{"var_page",#N/A,FALSE,"template"}</definedName>
    <definedName name="sdfgrsta" hidden="1">{"var_page",#N/A,FALSE,"template"}</definedName>
    <definedName name="sdfj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localSheetId="6">{#N/A,#N/A,FALSE,"Projections";#N/A,#N/A,FALSE,"Multiples Valuation";#N/A,#N/A,FALSE,"LBO";#N/A,#N/A,FALSE,"Multiples_Sensitivity";#N/A,#N/A,FALSE,"Summary"}</definedName>
    <definedName name="sdfs" localSheetId="13" hidden="1">{#N/A,#N/A,FALSE,"Projections";#N/A,#N/A,FALSE,"Multiples Valuation";#N/A,#N/A,FALSE,"LBO";#N/A,#N/A,FALSE,"Multiples_Sensitivity";#N/A,#N/A,FALSE,"Summary"}</definedName>
    <definedName name="sdfs" hidden="1">{#N/A,#N/A,FALSE,"Projections";#N/A,#N/A,FALSE,"Multiples Valuation";#N/A,#N/A,FALSE,"LBO";#N/A,#N/A,FALSE,"Multiples_Sensitivity";#N/A,#N/A,FALSE,"Summary"}</definedName>
    <definedName name="sdfsdf" localSheetId="6">{#N/A,#N/A,TRUE,"Acquirer_Cases_Input";#N/A,#N/A,TRUE,"Acquirer_Input";#N/A,#N/A,TRUE,"Acquirer"}</definedName>
    <definedName name="sdfsdf" localSheetId="13" hidden="1">{#N/A,#N/A,TRUE,"Acquirer_Cases_Input";#N/A,#N/A,TRUE,"Acquirer_Input";#N/A,#N/A,TRUE,"Acquirer"}</definedName>
    <definedName name="sdfsdf" hidden="1">{#N/A,#N/A,TRUE,"Acquirer_Cases_Input";#N/A,#N/A,TRUE,"Acquirer_Input";#N/A,#N/A,TRUE,"Acquirer"}</definedName>
    <definedName name="sdgdfghfhgfjhgfjhjjjg" localSheetId="6">{"general",#N/A,FALSE,"Assumptions"}</definedName>
    <definedName name="sdgdfghfhgfjhgfjhjjjg" localSheetId="13" hidden="1">{"general",#N/A,FALSE,"Assumptions"}</definedName>
    <definedName name="sdgdfghfhgfjhgfjhjjjg" hidden="1">{"general",#N/A,FALSE,"Assumptions"}</definedName>
    <definedName name="sdhdhfdfhh" localSheetId="6">{#N/A,#N/A,FALSE,"Balance Sheet";#N/A,#N/A,FALSE,"Income Statement";#N/A,#N/A,FALSE,"Changes in Financial Position"}</definedName>
    <definedName name="sdhdhfdfhh" localSheetId="13" hidden="1">{#N/A,#N/A,FALSE,"Balance Sheet";#N/A,#N/A,FALSE,"Income Statement";#N/A,#N/A,FALSE,"Changes in Financial Position"}</definedName>
    <definedName name="sdhdhfdfhh" hidden="1">{#N/A,#N/A,FALSE,"Balance Sheet";#N/A,#N/A,FALSE,"Income Statement";#N/A,#N/A,FALSE,"Changes in Financial Position"}</definedName>
    <definedName name="se" localSheetId="6">{"consolidated",#N/A,FALSE,"Sheet1";"cms",#N/A,FALSE,"Sheet1";"fse",#N/A,FALSE,"Sheet1"}</definedName>
    <definedName name="se" localSheetId="13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ncount" hidden="1">1</definedName>
    <definedName name="sf" localSheetId="6">{"bs",#N/A,FALSE,"SCF"}</definedName>
    <definedName name="sf" localSheetId="13" hidden="1">{"bs",#N/A,FALSE,"SCF"}</definedName>
    <definedName name="sf" hidden="1">{"bs",#N/A,FALSE,"SCF"}</definedName>
    <definedName name="sfgasd" localSheetId="6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localSheetId="13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GR">#REF!</definedName>
    <definedName name="Sheet2" localSheetId="6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1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6">{#N/A,#N/A,FALSE,"Projections";#N/A,#N/A,FALSE,"Multiples Valuation";#N/A,#N/A,FALSE,"LBO";#N/A,#N/A,FALSE,"Multiples_Sensitivity";#N/A,#N/A,FALSE,"Summary"}</definedName>
    <definedName name="Sheet3" localSheetId="13" hidden="1">{#N/A,#N/A,FALSE,"Projections";#N/A,#N/A,FALSE,"Multiples Valuation";#N/A,#N/A,FALSE,"LBO";#N/A,#N/A,FALSE,"Multiples_Sensitivity";#N/A,#N/A,FALSE,"Summary"}</definedName>
    <definedName name="Sheet3" hidden="1">{#N/A,#N/A,FALSE,"Projections";#N/A,#N/A,FALSE,"Multiples Valuation";#N/A,#N/A,FALSE,"LBO";#N/A,#N/A,FALSE,"Multiples_Sensitivity";#N/A,#N/A,FALSE,"Summary"}</definedName>
    <definedName name="Sheet4" localSheetId="6">{#N/A,#N/A,FALSE,"Projections";#N/A,#N/A,FALSE,"Multiples Valuation";#N/A,#N/A,FALSE,"LBO";#N/A,#N/A,FALSE,"Multiples_Sensitivity";#N/A,#N/A,FALSE,"Summary"}</definedName>
    <definedName name="Sheet4" localSheetId="13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localSheetId="6">{#N/A,#N/A,FALSE,"Projections";#N/A,#N/A,FALSE,"Multiples Valuation";#N/A,#N/A,FALSE,"LBO";#N/A,#N/A,FALSE,"Multiples_Sensitivity";#N/A,#N/A,FALSE,"Summary"}</definedName>
    <definedName name="Sheet6" localSheetId="13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IT" hidden="1">#REF!</definedName>
    <definedName name="short" hidden="1">#REF!</definedName>
    <definedName name="SleepmasterIncome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localSheetId="6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Year" localSheetId="6">#REF!</definedName>
    <definedName name="Slicer_Year" hidden="1">#N/A</definedName>
    <definedName name="Slicer_Year1" localSheetId="6">#REF!</definedName>
    <definedName name="Slicer_Year1" hidden="1">#N/A</definedName>
    <definedName name="sll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PS" localSheetId="6">{#N/A,#N/A,FALSE,"AD_Purchase";#N/A,#N/A,FALSE,"Credit";#N/A,#N/A,FALSE,"PF Acquisition";#N/A,#N/A,FALSE,"PF Offering"}</definedName>
    <definedName name="SMPS" localSheetId="13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rtV2" hidden="1">#REF!</definedName>
    <definedName name="SpecialPrice" hidden="1">#REF!</definedName>
    <definedName name="sq" localSheetId="6">{"bs",#N/A,FALSE,"SCF"}</definedName>
    <definedName name="sq" localSheetId="13" hidden="1">{"bs",#N/A,FALSE,"SCF"}</definedName>
    <definedName name="sq" hidden="1">{"bs",#N/A,FALSE,"SCF"}</definedName>
    <definedName name="ss" localSheetId="6">{"bs",#N/A,FALSE,"SCF"}</definedName>
    <definedName name="ss" localSheetId="13" hidden="1">{"bs",#N/A,FALSE,"SCF"}</definedName>
    <definedName name="ss" hidden="1">{"bs",#N/A,FALSE,"SCF"}</definedName>
    <definedName name="ssr" localSheetId="6">{"bs",#N/A,FALSE,"SCF"}</definedName>
    <definedName name="ssr" localSheetId="13" hidden="1">{"bs",#N/A,FALSE,"SCF"}</definedName>
    <definedName name="ssr" hidden="1">{"bs",#N/A,FALSE,"SCF"}</definedName>
    <definedName name="SSS" localSheetId="6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" localSheetId="13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s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s" localSheetId="6">{"bs",#N/A,FALSE,"SCF"}</definedName>
    <definedName name="sssss" localSheetId="13" hidden="1">{"bs",#N/A,FALSE,"SCF"}</definedName>
    <definedName name="sssss" hidden="1">{"bs",#N/A,FALSE,"SCF"}</definedName>
    <definedName name="staffing2" localSheetId="6">{#N/A,#N/A,FALSE,"Assessment";#N/A,#N/A,FALSE,"Staffing";#N/A,#N/A,FALSE,"Hires";#N/A,#N/A,FALSE,"Assumptions"}</definedName>
    <definedName name="staffing2" localSheetId="13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6">{#N/A,#N/A,FALSE,"Assessment";#N/A,#N/A,FALSE,"Staffing";#N/A,#N/A,FALSE,"Hires";#N/A,#N/A,FALSE,"Assumptions"}</definedName>
    <definedName name="Staffing3" localSheetId="13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op" localSheetId="6">{"bs",#N/A,FALSE,"SCF"}</definedName>
    <definedName name="Stop" localSheetId="13" hidden="1">{"bs",#N/A,FALSE,"SCF"}</definedName>
    <definedName name="Stop" hidden="1">{"bs",#N/A,FALSE,"SCF"}</definedName>
    <definedName name="stud13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ummary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localSheetId="6">{"page1",#N/A,FALSE,"GIRLBO";"page2",#N/A,FALSE,"GIRLBO";"page3",#N/A,FALSE,"GIRLBO";"page4",#N/A,FALSE,"GIRLBO";"page5",#N/A,FALSE,"GIRLBO"}</definedName>
    <definedName name="SUMMARY_BOOK" localSheetId="13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2" localSheetId="6">{#N/A,#N/A,FALSE,"FACTSHEETS";#N/A,#N/A,FALSE,"pump";#N/A,#N/A,FALSE,"filter"}</definedName>
    <definedName name="summary2" localSheetId="13" hidden="1">{#N/A,#N/A,FALSE,"FACTSHEETS";#N/A,#N/A,FALSE,"pump";#N/A,#N/A,FALSE,"filter"}</definedName>
    <definedName name="summary2" hidden="1">{#N/A,#N/A,FALSE,"FACTSHEETS";#N/A,#N/A,FALSE,"pump";#N/A,#N/A,FALSE,"filter"}</definedName>
    <definedName name="summaryty" localSheetId="6">{#N/A,#N/A,TRUE,"KEY DATA";#N/A,#N/A,TRUE,"KEY DATA Base Case";#N/A,#N/A,TRUE,"JULY";#N/A,#N/A,TRUE,"AUG";#N/A,#N/A,TRUE,"SEPT";#N/A,#N/A,TRUE,"3Q"}</definedName>
    <definedName name="summaryty" localSheetId="13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ummaryty." localSheetId="6">{#N/A,#N/A,TRUE,"KEY DATA";#N/A,#N/A,TRUE,"KEY DATA Base Case";#N/A,#N/A,TRUE,"JULY";#N/A,#N/A,TRUE,"AUG";#N/A,#N/A,TRUE,"SEPT";#N/A,#N/A,TRUE,"3Q"}</definedName>
    <definedName name="summaryty." localSheetId="13" hidden="1">{#N/A,#N/A,TRUE,"KEY DATA";#N/A,#N/A,TRUE,"KEY DATA Base Case";#N/A,#N/A,TRUE,"JULY";#N/A,#N/A,TRUE,"AUG";#N/A,#N/A,TRUE,"SEPT";#N/A,#N/A,TRUE,"3Q"}</definedName>
    <definedName name="summaryty." hidden="1">{#N/A,#N/A,TRUE,"KEY DATA";#N/A,#N/A,TRUE,"KEY DATA Base Case";#N/A,#N/A,TRUE,"JULY";#N/A,#N/A,TRUE,"AUG";#N/A,#N/A,TRUE,"SEPT";#N/A,#N/A,TRUE,"3Q"}</definedName>
    <definedName name="sumval" localSheetId="6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1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per" localSheetId="6">{#N/A,#N/A,FALSE,"IPO";#N/A,#N/A,FALSE,"DCF";#N/A,#N/A,FALSE,"LBO";#N/A,#N/A,FALSE,"MULT_VAL";#N/A,#N/A,FALSE,"Status Quo";#N/A,#N/A,FALSE,"Recap"}</definedName>
    <definedName name="Super" localSheetId="13" hidden="1">{#N/A,#N/A,FALSE,"IPO";#N/A,#N/A,FALSE,"DCF";#N/A,#N/A,FALSE,"LBO";#N/A,#N/A,FALSE,"MULT_VAL";#N/A,#N/A,FALSE,"Status Quo";#N/A,#N/A,FALSE,"Recap"}</definedName>
    <definedName name="Super" hidden="1">{#N/A,#N/A,FALSE,"IPO";#N/A,#N/A,FALSE,"DCF";#N/A,#N/A,FALSE,"LBO";#N/A,#N/A,FALSE,"MULT_VAL";#N/A,#N/A,FALSE,"Status Quo";#N/A,#N/A,FALSE,"Recap"}</definedName>
    <definedName name="supp" localSheetId="6">{#N/A,#N/A,FALSE,"Comp Balance";#N/A,#N/A,FALSE,"Sum Balance ";#N/A,#N/A,FALSE,"Balance Trend";#N/A,#N/A,FALSE,"Comp PL";#N/A,#N/A,FALSE,"PL";#N/A,#N/A,FALSE,"Sum PL";#N/A,#N/A,FALSE,"PL Trend";#N/A,#N/A,FALSE,"Change"}</definedName>
    <definedName name="supp" localSheetId="13" hidden="1">{#N/A,#N/A,FALSE,"Comp Balance";#N/A,#N/A,FALSE,"Sum Balance ";#N/A,#N/A,FALSE,"Balance Trend";#N/A,#N/A,FALSE,"Comp PL";#N/A,#N/A,FALSE,"PL";#N/A,#N/A,FALSE,"Sum PL";#N/A,#N/A,FALSE,"PL Trend";#N/A,#N/A,FALSE,"Change"}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" localSheetId="6">{#N/A,#N/A,FALSE,"IS";#N/A,#N/A,FALSE,"BS";#N/A,#N/A,FALSE,"RMA";#N/A,#N/A,FALSE,"INCOME";#N/A,#N/A,FALSE,"DCF";#N/A,#N/A,FALSE,"MARKET"}</definedName>
    <definedName name="SUPPLIER" localSheetId="13" hidden="1">{#N/A,#N/A,FALSE,"IS";#N/A,#N/A,FALSE,"BS";#N/A,#N/A,FALSE,"RMA";#N/A,#N/A,FALSE,"INCOME";#N/A,#N/A,FALSE,"DCF";#N/A,#N/A,FALSE,"MARKET"}</definedName>
    <definedName name="SUPPLIER" hidden="1">{#N/A,#N/A,FALSE,"IS";#N/A,#N/A,FALSE,"BS";#N/A,#N/A,FALSE,"RMA";#N/A,#N/A,FALSE,"INCOME";#N/A,#N/A,FALSE,"DCF";#N/A,#N/A,FALSE,"MARKET"}</definedName>
    <definedName name="SV_AUTO_CONN_CATALOG" hidden="1">"x3v6"</definedName>
    <definedName name="SV_AUTO_CONN_SERVER" hidden="1">"BELMONTX3SRV\X3V6"</definedName>
    <definedName name="SV_ENCPT_AUTO_CONN_PASSWORD" hidden="1">"083096084083070083098111118114101052048058058082088"</definedName>
    <definedName name="SV_ENCPT_AUTO_CONN_USER" hidden="1">"095094088070084088102113113114120107110112092115104119"</definedName>
    <definedName name="SV_ENCPT_LOGON_PWD" hidden="1">"078104085088070"</definedName>
    <definedName name="SV_ENCPT_LOGON_USER" hidden="1">"095094088070084084080096087083073084"</definedName>
    <definedName name="sw" localSheetId="6">{"bs",#N/A,FALSE,"SCF"}</definedName>
    <definedName name="sw" localSheetId="13" hidden="1">{"bs",#N/A,FALSE,"SCF"}</definedName>
    <definedName name="sw" hidden="1">{"bs",#N/A,FALSE,"SCF"}</definedName>
    <definedName name="t" localSheetId="6">{"'下期集計（10.27迄・速報値）'!$Q$16"}</definedName>
    <definedName name="t" localSheetId="13" hidden="1">{"'下期集計（10.27迄・速報値）'!$Q$16"}</definedName>
    <definedName name="t" hidden="1">{"'下期集計（10.27迄・速報値）'!$Q$16"}</definedName>
    <definedName name="TargetDCF2" localSheetId="6">{#N/A,#N/A,FALSE,"Sheet1"}</definedName>
    <definedName name="TargetDCF2" localSheetId="13" hidden="1">{#N/A,#N/A,FALSE,"Sheet1"}</definedName>
    <definedName name="TargetDCF2" hidden="1">{#N/A,#N/A,FALSE,"Sheet1"}</definedName>
    <definedName name="targets3" localSheetId="6">{"'NWC03'!$C$81"}</definedName>
    <definedName name="targets3" localSheetId="13" hidden="1">{"'NWC03'!$C$81"}</definedName>
    <definedName name="targets3" hidden="1">{"'NWC03'!$C$81"}</definedName>
    <definedName name="targets4" localSheetId="6">{"'NWC03'!$C$81"}</definedName>
    <definedName name="targets4" localSheetId="13" hidden="1">{"'NWC03'!$C$81"}</definedName>
    <definedName name="targets4" hidden="1">{"'NWC03'!$C$81"}</definedName>
    <definedName name="tbl_ProdInfo" hidden="1">#REF!</definedName>
    <definedName name="temp" localSheetId="6">{#N/A,#N/A,FALSE,"PL MAR";#N/A,#N/A,FALSE,"Trend99";#N/A,#N/A,FALSE,"Bal Sheets ";#N/A,#N/A,FALSE,"YTD"}</definedName>
    <definedName name="temp" localSheetId="13" hidden="1">{#N/A,#N/A,FALSE,"PL MAR";#N/A,#N/A,FALSE,"Trend99";#N/A,#N/A,FALSE,"Bal Sheets ";#N/A,#N/A,FALSE,"YTD"}</definedName>
    <definedName name="temp" hidden="1">{#N/A,#N/A,FALSE,"PL MAR";#N/A,#N/A,FALSE,"Trend99";#N/A,#N/A,FALSE,"Bal Sheets ";#N/A,#N/A,FALSE,"YTD"}</definedName>
    <definedName name="temp." localSheetId="6">{#N/A,#N/A,TRUE,"KEY DATA";#N/A,#N/A,TRUE,"KEY DATA Base Case";#N/A,#N/A,TRUE,"JULY";#N/A,#N/A,TRUE,"AUG";#N/A,#N/A,TRUE,"SEPT";#N/A,#N/A,TRUE,"3Q"}</definedName>
    <definedName name="temp." localSheetId="13" hidden="1">{#N/A,#N/A,TRUE,"KEY DATA";#N/A,#N/A,TRUE,"KEY DATA Base Case";#N/A,#N/A,TRUE,"JULY";#N/A,#N/A,TRUE,"AUG";#N/A,#N/A,TRUE,"SEPT";#N/A,#N/A,TRUE,"3Q"}</definedName>
    <definedName name="temp." hidden="1">{#N/A,#N/A,TRUE,"KEY DATA";#N/A,#N/A,TRUE,"KEY DATA Base Case";#N/A,#N/A,TRUE,"JULY";#N/A,#N/A,TRUE,"AUG";#N/A,#N/A,TRUE,"SEPT";#N/A,#N/A,TRUE,"3Q"}</definedName>
    <definedName name="Temp_2" localSheetId="6">{#N/A,#N/A,FALSE,"Assessment";#N/A,#N/A,FALSE,"Staffing";#N/A,#N/A,FALSE,"Hires";#N/A,#N/A,FALSE,"Assumptions"}</definedName>
    <definedName name="Temp_2" localSheetId="13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6">{#N/A,#N/A,FALSE,"Assessment";#N/A,#N/A,FALSE,"Staffing";#N/A,#N/A,FALSE,"Hires";#N/A,#N/A,FALSE,"Assumptions"}</definedName>
    <definedName name="Temp_3" localSheetId="13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localSheetId="6">{"PAGE 1",#N/A,FALSE,"WEST_OT"}</definedName>
    <definedName name="temp1" localSheetId="13" hidden="1">{"PAGE 1",#N/A,FALSE,"WEST_OT"}</definedName>
    <definedName name="temp1" hidden="1">{"PAGE 1",#N/A,FALSE,"WEST_OT"}</definedName>
    <definedName name="temp12" localSheetId="6">{#N/A,#N/A,TRUE,"KEY DATA";#N/A,#N/A,TRUE,"KEY DATA Base Case";#N/A,#N/A,TRUE,"JULY";#N/A,#N/A,TRUE,"AUG";#N/A,#N/A,TRUE,"SEPT";#N/A,#N/A,TRUE,"3Q"}</definedName>
    <definedName name="temp12" localSheetId="13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12." localSheetId="6">{#N/A,#N/A,TRUE,"KEY DATA";#N/A,#N/A,TRUE,"KEY DATA Base Case";#N/A,#N/A,TRUE,"JULY";#N/A,#N/A,TRUE,"AUG";#N/A,#N/A,TRUE,"SEPT";#N/A,#N/A,TRUE,"3Q"}</definedName>
    <definedName name="temp12." localSheetId="13" hidden="1">{#N/A,#N/A,TRUE,"KEY DATA";#N/A,#N/A,TRUE,"KEY DATA Base Case";#N/A,#N/A,TRUE,"JULY";#N/A,#N/A,TRUE,"AUG";#N/A,#N/A,TRUE,"SEPT";#N/A,#N/A,TRUE,"3Q"}</definedName>
    <definedName name="temp12." hidden="1">{#N/A,#N/A,TRUE,"KEY DATA";#N/A,#N/A,TRUE,"KEY DATA Base Case";#N/A,#N/A,TRUE,"JULY";#N/A,#N/A,TRUE,"AUG";#N/A,#N/A,TRUE,"SEPT";#N/A,#N/A,TRUE,"3Q"}</definedName>
    <definedName name="temp2" localSheetId="6">{"PAGE 1",#N/A,FALSE,"WEST_OT"}</definedName>
    <definedName name="temp2" localSheetId="13" hidden="1">{"PAGE 1",#N/A,FALSE,"WEST_OT"}</definedName>
    <definedName name="temp2" hidden="1">{"PAGE 1",#N/A,FALSE,"WEST_OT"}</definedName>
    <definedName name="temp3" localSheetId="6">{"PAGE 1",#N/A,FALSE,"WEST_OT"}</definedName>
    <definedName name="temp3" localSheetId="13" hidden="1">{"PAGE 1",#N/A,FALSE,"WEST_OT"}</definedName>
    <definedName name="temp3" hidden="1">{"PAGE 1",#N/A,FALSE,"WEST_OT"}</definedName>
    <definedName name="tempq" localSheetId="6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localSheetId="1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6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localSheetId="1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6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localSheetId="1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6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localSheetId="1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6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localSheetId="1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6">{#N/A,#N/A,TRUE,"FD IV Portfolio Summary ";#N/A,#N/A,TRUE,"Western";#N/A,#N/A,TRUE,"Kranson";#N/A,#N/A,TRUE,"ARC";#N/A,#N/A,TRUE,"Precise";#N/A,#N/A,TRUE,"WNA"}</definedName>
    <definedName name="tempq6" localSheetId="13" hidden="1">{#N/A,#N/A,TRUE,"FD IV Portfolio Summary ";#N/A,#N/A,TRUE,"Western";#N/A,#N/A,TRUE,"Kranson";#N/A,#N/A,TRUE,"ARC";#N/A,#N/A,TRUE,"Precise";#N/A,#N/A,TRUE,"WNA"}</definedName>
    <definedName name="tempq6" hidden="1">{#N/A,#N/A,TRUE,"FD IV Portfolio Summary ";#N/A,#N/A,TRUE,"Western";#N/A,#N/A,TRUE,"Kranson";#N/A,#N/A,TRUE,"ARC";#N/A,#N/A,TRUE,"Precise";#N/A,#N/A,TRUE,"WNA"}</definedName>
    <definedName name="tempq7" localSheetId="6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localSheetId="1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6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localSheetId="1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radyne" localSheetId="6">{#N/A,#N/A,FALSE,"Consol P&amp;L ";#N/A,#N/A,FALSE,"CP P&amp;L";#N/A,#N/A,FALSE,"ADS P&amp;L";#N/A,#N/A,FALSE,"Corp P&amp;L"}</definedName>
    <definedName name="teradyne" localSheetId="13" hidden="1">{#N/A,#N/A,FALSE,"Consol P&amp;L ";#N/A,#N/A,FALSE,"CP P&amp;L";#N/A,#N/A,FALSE,"ADS P&amp;L";#N/A,#N/A,FALSE,"Corp P&amp;L"}</definedName>
    <definedName name="teradyne" hidden="1">{#N/A,#N/A,FALSE,"Consol P&amp;L ";#N/A,#N/A,FALSE,"CP P&amp;L";#N/A,#N/A,FALSE,"ADS P&amp;L";#N/A,#N/A,FALSE,"Corp P&amp;L"}</definedName>
    <definedName name="teradyne2" localSheetId="6">{#N/A,#N/A,FALSE,"Consol P&amp;L ";#N/A,#N/A,FALSE,"CP P&amp;L";#N/A,#N/A,FALSE,"ADS P&amp;L";#N/A,#N/A,FALSE,"Corp P&amp;L"}</definedName>
    <definedName name="teradyne2" localSheetId="13" hidden="1">{#N/A,#N/A,FALSE,"Consol P&amp;L ";#N/A,#N/A,FALSE,"CP P&amp;L";#N/A,#N/A,FALSE,"ADS P&amp;L";#N/A,#N/A,FALSE,"Corp P&amp;L"}</definedName>
    <definedName name="teradyne2" hidden="1">{#N/A,#N/A,FALSE,"Consol P&amp;L ";#N/A,#N/A,FALSE,"CP P&amp;L";#N/A,#N/A,FALSE,"ADS P&amp;L";#N/A,#N/A,FALSE,"Corp P&amp;L"}</definedName>
    <definedName name="teradyne7" localSheetId="6">{#N/A,#N/A,FALSE,"Consol P&amp;L ";#N/A,#N/A,FALSE,"CP P&amp;L";#N/A,#N/A,FALSE,"ADS P&amp;L";#N/A,#N/A,FALSE,"Corp P&amp;L"}</definedName>
    <definedName name="teradyne7" localSheetId="13" hidden="1">{#N/A,#N/A,FALSE,"Consol P&amp;L ";#N/A,#N/A,FALSE,"CP P&amp;L";#N/A,#N/A,FALSE,"ADS P&amp;L";#N/A,#N/A,FALSE,"Corp P&amp;L"}</definedName>
    <definedName name="teradyne7" hidden="1">{#N/A,#N/A,FALSE,"Consol P&amp;L ";#N/A,#N/A,FALSE,"CP P&amp;L";#N/A,#N/A,FALSE,"ADS P&amp;L";#N/A,#N/A,FALSE,"Corp P&amp;L"}</definedName>
    <definedName name="tesg4" localSheetId="6">{"PAGE 1",#N/A,FALSE,"WEST_OT"}</definedName>
    <definedName name="tesg4" localSheetId="13" hidden="1">{"PAGE 1",#N/A,FALSE,"WEST_OT"}</definedName>
    <definedName name="tesg4" hidden="1">{"PAGE 1",#N/A,FALSE,"WEST_OT"}</definedName>
    <definedName name="test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1" localSheetId="6">{#N/A,#N/A,TRUE,"MAIN FT TERM";#N/A,#N/A,TRUE,"MCI  FT TERM ";#N/A,#N/A,TRUE,"OC12 EQV"}</definedName>
    <definedName name="test1" localSheetId="13" hidden="1">{#N/A,#N/A,TRUE,"MAIN FT TERM";#N/A,#N/A,TRUE,"MCI  FT TERM ";#N/A,#N/A,TRUE,"OC12 EQV"}</definedName>
    <definedName name="test1" hidden="1">{#N/A,#N/A,TRUE,"MAIN FT TERM";#N/A,#N/A,TRUE,"MCI  FT TERM ";#N/A,#N/A,TRUE,"OC12 EQV"}</definedName>
    <definedName name="test10" localSheetId="6">{"PAGE 1",#N/A,FALSE,"WEST_OT"}</definedName>
    <definedName name="test10" localSheetId="13" hidden="1">{"PAGE 1",#N/A,FALSE,"WEST_OT"}</definedName>
    <definedName name="test10" hidden="1">{"PAGE 1",#N/A,FALSE,"WEST_OT"}</definedName>
    <definedName name="test11" localSheetId="6">{"PAGE 1",#N/A,FALSE,"WEST_OT"}</definedName>
    <definedName name="test11" localSheetId="13" hidden="1">{"PAGE 1",#N/A,FALSE,"WEST_OT"}</definedName>
    <definedName name="test11" hidden="1">{"PAGE 1",#N/A,FALSE,"WEST_OT"}</definedName>
    <definedName name="test12" localSheetId="6">{"PAGE 2",#N/A,FALSE,"WEST_OT"}</definedName>
    <definedName name="test12" localSheetId="13" hidden="1">{"PAGE 2",#N/A,FALSE,"WEST_OT"}</definedName>
    <definedName name="test12" hidden="1">{"PAGE 2",#N/A,FALSE,"WEST_OT"}</definedName>
    <definedName name="test13" localSheetId="6">{"PAGE 2",#N/A,FALSE,"WEST_OT"}</definedName>
    <definedName name="test13" localSheetId="13" hidden="1">{"PAGE 2",#N/A,FALSE,"WEST_OT"}</definedName>
    <definedName name="test13" hidden="1">{"PAGE 2",#N/A,FALSE,"WEST_OT"}</definedName>
    <definedName name="test14" localSheetId="6">{"PAGE 1",#N/A,FALSE,"WEST_OT"}</definedName>
    <definedName name="test14" localSheetId="13" hidden="1">{"PAGE 1",#N/A,FALSE,"WEST_OT"}</definedName>
    <definedName name="test14" hidden="1">{"PAGE 1",#N/A,FALSE,"WEST_OT"}</definedName>
    <definedName name="test15" localSheetId="6">{"PAGE 1",#N/A,FALSE,"WEST_OT"}</definedName>
    <definedName name="test15" localSheetId="13" hidden="1">{"PAGE 1",#N/A,FALSE,"WEST_OT"}</definedName>
    <definedName name="test15" hidden="1">{"PAGE 1",#N/A,FALSE,"WEST_OT"}</definedName>
    <definedName name="test2" localSheetId="6">{#N/A,#N/A,TRUE,"MAIN FT TERM";#N/A,#N/A,TRUE,"MCI  FT TERM ";#N/A,#N/A,TRUE,"OC12 EQV"}</definedName>
    <definedName name="test2" localSheetId="13" hidden="1">{#N/A,#N/A,TRUE,"MAIN FT TERM";#N/A,#N/A,TRUE,"MCI  FT TERM ";#N/A,#N/A,TRUE,"OC12 EQV"}</definedName>
    <definedName name="test2" hidden="1">{#N/A,#N/A,TRUE,"MAIN FT TERM";#N/A,#N/A,TRUE,"MCI  FT TERM ";#N/A,#N/A,TRUE,"OC12 EQV"}</definedName>
    <definedName name="test20" localSheetId="6">{"PAGE 1",#N/A,FALSE,"WEST_OT"}</definedName>
    <definedName name="test20" localSheetId="13" hidden="1">{"PAGE 1",#N/A,FALSE,"WEST_OT"}</definedName>
    <definedName name="test20" hidden="1">{"PAGE 1",#N/A,FALSE,"WEST_OT"}</definedName>
    <definedName name="test21" localSheetId="6">{"PAGE 1",#N/A,FALSE,"WEST_OT"}</definedName>
    <definedName name="test21" localSheetId="13" hidden="1">{"PAGE 1",#N/A,FALSE,"WEST_OT"}</definedName>
    <definedName name="test21" hidden="1">{"PAGE 1",#N/A,FALSE,"WEST_OT"}</definedName>
    <definedName name="test22" localSheetId="6">{"PAGE 1",#N/A,FALSE,"WEST_OT"}</definedName>
    <definedName name="test22" localSheetId="13" hidden="1">{"PAGE 1",#N/A,FALSE,"WEST_OT"}</definedName>
    <definedName name="test22" hidden="1">{"PAGE 1",#N/A,FALSE,"WEST_OT"}</definedName>
    <definedName name="test23" localSheetId="6">{"PAGE 1",#N/A,FALSE,"WEST_OT"}</definedName>
    <definedName name="test23" localSheetId="13" hidden="1">{"PAGE 1",#N/A,FALSE,"WEST_OT"}</definedName>
    <definedName name="test23" hidden="1">{"PAGE 1",#N/A,FALSE,"WEST_OT"}</definedName>
    <definedName name="test24" localSheetId="6">{"PAGE 1",#N/A,FALSE,"WEST_OT"}</definedName>
    <definedName name="test24" localSheetId="13" hidden="1">{"PAGE 1",#N/A,FALSE,"WEST_OT"}</definedName>
    <definedName name="test24" hidden="1">{"PAGE 1",#N/A,FALSE,"WEST_OT"}</definedName>
    <definedName name="test25" localSheetId="6">{"PAGE 1",#N/A,FALSE,"WEST_OT"}</definedName>
    <definedName name="test25" localSheetId="13" hidden="1">{"PAGE 1",#N/A,FALSE,"WEST_OT"}</definedName>
    <definedName name="test25" hidden="1">{"PAGE 1",#N/A,FALSE,"WEST_OT"}</definedName>
    <definedName name="test26" localSheetId="6">{"PAGE 1",#N/A,FALSE,"WEST_OT"}</definedName>
    <definedName name="test26" localSheetId="13" hidden="1">{"PAGE 1",#N/A,FALSE,"WEST_OT"}</definedName>
    <definedName name="test26" hidden="1">{"PAGE 1",#N/A,FALSE,"WEST_OT"}</definedName>
    <definedName name="test27" localSheetId="6">{"PAGE 1",#N/A,FALSE,"WEST_OT"}</definedName>
    <definedName name="test27" localSheetId="13" hidden="1">{"PAGE 1",#N/A,FALSE,"WEST_OT"}</definedName>
    <definedName name="test27" hidden="1">{"PAGE 1",#N/A,FALSE,"WEST_OT"}</definedName>
    <definedName name="test28" localSheetId="6">{"PAGE 1",#N/A,FALSE,"WEST_OT"}</definedName>
    <definedName name="test28" localSheetId="13" hidden="1">{"PAGE 1",#N/A,FALSE,"WEST_OT"}</definedName>
    <definedName name="test28" hidden="1">{"PAGE 1",#N/A,FALSE,"WEST_OT"}</definedName>
    <definedName name="test29" localSheetId="6">{"PAGE 1",#N/A,FALSE,"WEST_OT"}</definedName>
    <definedName name="test29" localSheetId="13" hidden="1">{"PAGE 1",#N/A,FALSE,"WEST_OT"}</definedName>
    <definedName name="test29" hidden="1">{"PAGE 1",#N/A,FALSE,"WEST_OT"}</definedName>
    <definedName name="test3" localSheetId="6">{"PAGE 1",#N/A,FALSE,"WEST_OT"}</definedName>
    <definedName name="test3" localSheetId="13" hidden="1">{"PAGE 1",#N/A,FALSE,"WEST_OT"}</definedName>
    <definedName name="test3" hidden="1">{"PAGE 1",#N/A,FALSE,"WEST_OT"}</definedName>
    <definedName name="test30" localSheetId="6">{"PAGE 2",#N/A,FALSE,"WEST_OT"}</definedName>
    <definedName name="test30" localSheetId="13" hidden="1">{"PAGE 2",#N/A,FALSE,"WEST_OT"}</definedName>
    <definedName name="test30" hidden="1">{"PAGE 2",#N/A,FALSE,"WEST_OT"}</definedName>
    <definedName name="test31" localSheetId="6">{"PAGE 1",#N/A,FALSE,"WEST_OT"}</definedName>
    <definedName name="test31" localSheetId="13" hidden="1">{"PAGE 1",#N/A,FALSE,"WEST_OT"}</definedName>
    <definedName name="test31" hidden="1">{"PAGE 1",#N/A,FALSE,"WEST_OT"}</definedName>
    <definedName name="test32" localSheetId="6">{"PAGE 1",#N/A,FALSE,"WEST_OT"}</definedName>
    <definedName name="test32" localSheetId="13" hidden="1">{"PAGE 1",#N/A,FALSE,"WEST_OT"}</definedName>
    <definedName name="test32" hidden="1">{"PAGE 1",#N/A,FALSE,"WEST_OT"}</definedName>
    <definedName name="test33" localSheetId="6">{"PAGE 1",#N/A,FALSE,"WEST_OT"}</definedName>
    <definedName name="test33" localSheetId="13" hidden="1">{"PAGE 1",#N/A,FALSE,"WEST_OT"}</definedName>
    <definedName name="test33" hidden="1">{"PAGE 1",#N/A,FALSE,"WEST_OT"}</definedName>
    <definedName name="test34" localSheetId="6">{"PAGE 1",#N/A,FALSE,"WEST_OT"}</definedName>
    <definedName name="test34" localSheetId="13" hidden="1">{"PAGE 1",#N/A,FALSE,"WEST_OT"}</definedName>
    <definedName name="test34" hidden="1">{"PAGE 1",#N/A,FALSE,"WEST_OT"}</definedName>
    <definedName name="test35" localSheetId="6">{"PAGE 1",#N/A,FALSE,"WEST_OT"}</definedName>
    <definedName name="test35" localSheetId="13" hidden="1">{"PAGE 1",#N/A,FALSE,"WEST_OT"}</definedName>
    <definedName name="test35" hidden="1">{"PAGE 1",#N/A,FALSE,"WEST_OT"}</definedName>
    <definedName name="test36" localSheetId="6">{"PAGE 1",#N/A,FALSE,"WEST_OT"}</definedName>
    <definedName name="test36" localSheetId="13" hidden="1">{"PAGE 1",#N/A,FALSE,"WEST_OT"}</definedName>
    <definedName name="test36" hidden="1">{"PAGE 1",#N/A,FALSE,"WEST_OT"}</definedName>
    <definedName name="test37" localSheetId="6">{"PAGE 2",#N/A,FALSE,"WEST_OT"}</definedName>
    <definedName name="test37" localSheetId="13" hidden="1">{"PAGE 2",#N/A,FALSE,"WEST_OT"}</definedName>
    <definedName name="test37" hidden="1">{"PAGE 2",#N/A,FALSE,"WEST_OT"}</definedName>
    <definedName name="test38" localSheetId="6">{"PAGE 1",#N/A,FALSE,"WEST_OT"}</definedName>
    <definedName name="test38" localSheetId="13" hidden="1">{"PAGE 1",#N/A,FALSE,"WEST_OT"}</definedName>
    <definedName name="test38" hidden="1">{"PAGE 1",#N/A,FALSE,"WEST_OT"}</definedName>
    <definedName name="test39" localSheetId="6">{"PAGE 1",#N/A,FALSE,"WEST_OT"}</definedName>
    <definedName name="test39" localSheetId="13" hidden="1">{"PAGE 1",#N/A,FALSE,"WEST_OT"}</definedName>
    <definedName name="test39" hidden="1">{"PAGE 1",#N/A,FALSE,"WEST_OT"}</definedName>
    <definedName name="test4" localSheetId="6">{"PAGE 1",#N/A,FALSE,"WEST_OT"}</definedName>
    <definedName name="test4" localSheetId="13" hidden="1">{"PAGE 1",#N/A,FALSE,"WEST_OT"}</definedName>
    <definedName name="test4" hidden="1">{"PAGE 1",#N/A,FALSE,"WEST_OT"}</definedName>
    <definedName name="test40" localSheetId="6">{"PAGE 2",#N/A,FALSE,"WEST_OT"}</definedName>
    <definedName name="test40" localSheetId="13" hidden="1">{"PAGE 2",#N/A,FALSE,"WEST_OT"}</definedName>
    <definedName name="test40" hidden="1">{"PAGE 2",#N/A,FALSE,"WEST_OT"}</definedName>
    <definedName name="test41" localSheetId="6">{"PAGE 1",#N/A,FALSE,"WEST_OT"}</definedName>
    <definedName name="test41" localSheetId="13" hidden="1">{"PAGE 1",#N/A,FALSE,"WEST_OT"}</definedName>
    <definedName name="test41" hidden="1">{"PAGE 1",#N/A,FALSE,"WEST_OT"}</definedName>
    <definedName name="test42" localSheetId="6">{"PAGE 1",#N/A,FALSE,"WEST_OT"}</definedName>
    <definedName name="test42" localSheetId="13" hidden="1">{"PAGE 1",#N/A,FALSE,"WEST_OT"}</definedName>
    <definedName name="test42" hidden="1">{"PAGE 1",#N/A,FALSE,"WEST_OT"}</definedName>
    <definedName name="test43" localSheetId="6">{"PAGE 2",#N/A,FALSE,"WEST_OT"}</definedName>
    <definedName name="test43" localSheetId="13" hidden="1">{"PAGE 2",#N/A,FALSE,"WEST_OT"}</definedName>
    <definedName name="test43" hidden="1">{"PAGE 2",#N/A,FALSE,"WEST_OT"}</definedName>
    <definedName name="test44" localSheetId="6">{"PAGE 2",#N/A,FALSE,"WEST_OT"}</definedName>
    <definedName name="test44" localSheetId="13" hidden="1">{"PAGE 2",#N/A,FALSE,"WEST_OT"}</definedName>
    <definedName name="test44" hidden="1">{"PAGE 2",#N/A,FALSE,"WEST_OT"}</definedName>
    <definedName name="test45" localSheetId="6">{"PAGE 1",#N/A,FALSE,"WEST_OT"}</definedName>
    <definedName name="test45" localSheetId="13" hidden="1">{"PAGE 1",#N/A,FALSE,"WEST_OT"}</definedName>
    <definedName name="test45" hidden="1">{"PAGE 1",#N/A,FALSE,"WEST_OT"}</definedName>
    <definedName name="test46" localSheetId="6">{"PAGE 1",#N/A,FALSE,"WEST_OT"}</definedName>
    <definedName name="test46" localSheetId="13" hidden="1">{"PAGE 1",#N/A,FALSE,"WEST_OT"}</definedName>
    <definedName name="test46" hidden="1">{"PAGE 1",#N/A,FALSE,"WEST_OT"}</definedName>
    <definedName name="test5" localSheetId="6">{"PAGE 1",#N/A,FALSE,"WEST_OT"}</definedName>
    <definedName name="test5" localSheetId="13" hidden="1">{"PAGE 1",#N/A,FALSE,"WEST_OT"}</definedName>
    <definedName name="test5" hidden="1">{"PAGE 1",#N/A,FALSE,"WEST_OT"}</definedName>
    <definedName name="test6" localSheetId="6">{"PAGE 2",#N/A,FALSE,"WEST_OT"}</definedName>
    <definedName name="test6" localSheetId="13" hidden="1">{"PAGE 2",#N/A,FALSE,"WEST_OT"}</definedName>
    <definedName name="test6" hidden="1">{"PAGE 2",#N/A,FALSE,"WEST_OT"}</definedName>
    <definedName name="test7" localSheetId="6">{"PAGE 2",#N/A,FALSE,"WEST_OT"}</definedName>
    <definedName name="test7" localSheetId="13" hidden="1">{"PAGE 2",#N/A,FALSE,"WEST_OT"}</definedName>
    <definedName name="test7" hidden="1">{"PAGE 2",#N/A,FALSE,"WEST_OT"}</definedName>
    <definedName name="test8" localSheetId="6">{"PAGE 1",#N/A,FALSE,"WEST_OT"}</definedName>
    <definedName name="test8" localSheetId="13" hidden="1">{"PAGE 1",#N/A,FALSE,"WEST_OT"}</definedName>
    <definedName name="test8" hidden="1">{"PAGE 1",#N/A,FALSE,"WEST_OT"}</definedName>
    <definedName name="test9" localSheetId="6">{"PAGE 1",#N/A,FALSE,"WEST_OT"}</definedName>
    <definedName name="test9" localSheetId="13" hidden="1">{"PAGE 1",#N/A,FALSE,"WEST_OT"}</definedName>
    <definedName name="test9" hidden="1">{"PAGE 1",#N/A,FALSE,"WEST_OT"}</definedName>
    <definedName name="testol" localSheetId="6">{#N/A,#N/A,TRUE,"MAIN FT TERM";#N/A,#N/A,TRUE,"MCI  FT TERM ";#N/A,#N/A,TRUE,"OC12 EQV"}</definedName>
    <definedName name="testol" localSheetId="13" hidden="1">{#N/A,#N/A,TRUE,"MAIN FT TERM";#N/A,#N/A,TRUE,"MCI  FT TERM ";#N/A,#N/A,TRUE,"OC12 EQV"}</definedName>
    <definedName name="testol" hidden="1">{#N/A,#N/A,TRUE,"MAIN FT TERM";#N/A,#N/A,TRUE,"MCI  FT TERM ";#N/A,#N/A,TRUE,"OC12 EQV"}</definedName>
    <definedName name="TextRefCopyRangeCount" hidden="1">10</definedName>
    <definedName name="tfill" hidden="1">#REF!</definedName>
    <definedName name="threeTomC." localSheetId="6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reeTomC." localSheetId="13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reeTomC.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i" localSheetId="6">{"bs",#N/A,FALSE,"SCF"}</definedName>
    <definedName name="ti" localSheetId="13" hidden="1">{"bs",#N/A,FALSE,"SCF"}</definedName>
    <definedName name="ti" hidden="1">{"bs",#N/A,FALSE,"SCF"}</definedName>
    <definedName name="tl" localSheetId="6">{"bs",#N/A,FALSE,"SCF"}</definedName>
    <definedName name="tl" localSheetId="13" hidden="1">{"bs",#N/A,FALSE,"SCF"}</definedName>
    <definedName name="tl" hidden="1">{"bs",#N/A,FALSE,"SCF"}</definedName>
    <definedName name="todo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s1and2" localSheetId="6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 localSheetId="13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u" localSheetId="6">{#N/A,#N/A,TRUE,"TransPrcd 1";#N/A,#N/A,TRUE,"TransPrcd 2";#N/A,#N/A,TRUE,"TransPrcd 3"}</definedName>
    <definedName name="tou" localSheetId="13" hidden="1">{#N/A,#N/A,TRUE,"TransPrcd 1";#N/A,#N/A,TRUE,"TransPrcd 2";#N/A,#N/A,TRUE,"TransPrcd 3"}</definedName>
    <definedName name="tou" hidden="1">{#N/A,#N/A,TRUE,"TransPrcd 1";#N/A,#N/A,TRUE,"TransPrcd 2";#N/A,#N/A,TRUE,"TransPrcd 3"}</definedName>
    <definedName name="tra" localSheetId="6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 localSheetId="13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dingcompar" localSheetId="6">{#N/A,#N/A,FALSE,"Trading-Mult ";#N/A,#N/A,FALSE,"Trading-Cap";#N/A,#N/A,FALSE,"Trading-Inc";#N/A,#N/A,FALSE,"Cash Flow";#N/A,#N/A,FALSE,"M&amp;A info"}</definedName>
    <definedName name="tradingcompar" localSheetId="13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ial" localSheetId="6">{"Outflow 1",#N/A,FALSE,"Outflows-Inflows";"Outflow 2",#N/A,FALSE,"Outflows-Inflows";"Inflow 1",#N/A,FALSE,"Outflows-Inflows";"Inflow 2",#N/A,FALSE,"Outflows-Inflows"}</definedName>
    <definedName name="trial" localSheetId="13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TRYAGAIN" hidden="1">#REF!</definedName>
    <definedName name="tt" localSheetId="6">{"bs",#N/A,FALSE,"SCF"}</definedName>
    <definedName name="tt" localSheetId="13" hidden="1">{"bs",#N/A,FALSE,"SCF"}</definedName>
    <definedName name="tt" hidden="1">{"bs",#N/A,FALSE,"SCF"}</definedName>
    <definedName name="ttazdad" hidden="1">#REF!</definedName>
    <definedName name="TTT" localSheetId="6">{"Total Wholesale",#N/A,FALSE,"Wholesale";"Whsle_Admin",#N/A,FALSE,"Wholesale";"Whsle_Lombard",#N/A,FALSE,"Wholesale";"Whsle_Marlton",#N/A,FALSE,"Wholesale";"Whsle_Pleasanton",#N/A,FALSE,"Wholesale"}</definedName>
    <definedName name="TTT" localSheetId="13" hidden="1">{"Total Wholesale",#N/A,FALSE,"Wholesale";"Whsle_Admin",#N/A,FALSE,"Wholesale";"Whsle_Lombard",#N/A,FALSE,"Wholesale";"Whsle_Marlton",#N/A,FALSE,"Wholesale";"Whsle_Pleasanton",#N/A,FALSE,"Wholesale"}</definedName>
    <definedName name="TTT" hidden="1">{"Total Wholesale",#N/A,FALSE,"Wholesale";"Whsle_Admin",#N/A,FALSE,"Wholesale";"Whsle_Lombard",#N/A,FALSE,"Wholesale";"Whsle_Marlton",#N/A,FALSE,"Wholesale";"Whsle_Pleasanton",#N/A,FALSE,"Wholesale"}</definedName>
    <definedName name="tttoot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6">{#N/A,#N/A,FALSE,"Report Data";#N/A,#N/A,FALSE,"COMP POOL";#N/A,#N/A,FALSE,"COMP POOL NB95";#N/A,#N/A,FALSE,"COMP POOL NB94"}</definedName>
    <definedName name="tttt" localSheetId="13" hidden="1">{#N/A,#N/A,FALSE,"Report Data";#N/A,#N/A,FALSE,"COMP POOL";#N/A,#N/A,FALSE,"COMP POOL NB95";#N/A,#N/A,FALSE,"COMP POOL NB94"}</definedName>
    <definedName name="tttt" hidden="1">{#N/A,#N/A,FALSE,"Report Data";#N/A,#N/A,FALSE,"COMP POOL";#N/A,#N/A,FALSE,"COMP POOL NB95";#N/A,#N/A,FALSE,"COMP POOL NB94"}</definedName>
    <definedName name="tu" localSheetId="6">{"bs",#N/A,FALSE,"SCF"}</definedName>
    <definedName name="tu" localSheetId="13" hidden="1">{"bs",#N/A,FALSE,"SCF"}</definedName>
    <definedName name="tu" hidden="1">{"bs",#N/A,FALSE,"SCF"}</definedName>
    <definedName name="Tulsa" localSheetId="6">{#N/A,#N/A,FALSE,"Report Data";#N/A,#N/A,FALSE,"COMP POOL";#N/A,#N/A,FALSE,"COMP POOL NB95";#N/A,#N/A,FALSE,"COMP POOL NB94"}</definedName>
    <definedName name="Tulsa" localSheetId="13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wert" localSheetId="6">{"by_month",#N/A,TRUE,"template";"destec_month",#N/A,TRUE,"template";"by_quarter",#N/A,TRUE,"template";"destec_quarter",#N/A,TRUE,"template";"by_year",#N/A,TRUE,"template";"destec_annual",#N/A,TRUE,"template"}</definedName>
    <definedName name="twert" localSheetId="13" hidden="1">{"by_month",#N/A,TRUE,"template";"destec_month",#N/A,TRUE,"template";"by_quarter",#N/A,TRUE,"template";"destec_quarter",#N/A,TRUE,"template";"by_year",#N/A,TRUE,"template";"destec_annual",#N/A,TRUE,"template"}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y" localSheetId="6">{"Assumptions",#N/A,TRUE,"Assumptions";"Income",#N/A,TRUE,"Income";"Balance",#N/A,TRUE,"Balance"}</definedName>
    <definedName name="ty" localSheetId="13" hidden="1">{"Assumptions",#N/A,TRUE,"Assumptions";"Income",#N/A,TRUE,"Income";"Balance",#N/A,TRUE,"Balance"}</definedName>
    <definedName name="ty" hidden="1">{"Assumptions",#N/A,TRUE,"Assumptions";"Income",#N/A,TRUE,"Income";"Balance",#N/A,TRUE,"Balance"}</definedName>
    <definedName name="tyr" localSheetId="6">{#N/A,#N/A,FALSE,"AD_Purch";#N/A,#N/A,FALSE,"Projections";#N/A,#N/A,FALSE,"DCF";#N/A,#N/A,FALSE,"Mkt Val"}</definedName>
    <definedName name="tyr" localSheetId="13" hidden="1">{#N/A,#N/A,FALSE,"AD_Purch";#N/A,#N/A,FALSE,"Projections";#N/A,#N/A,FALSE,"DCF";#N/A,#N/A,FALSE,"Mkt Val"}</definedName>
    <definedName name="tyr" hidden="1">{#N/A,#N/A,FALSE,"AD_Purch";#N/A,#N/A,FALSE,"Projections";#N/A,#N/A,FALSE,"DCF";#N/A,#N/A,FALSE,"Mkt Val"}</definedName>
    <definedName name="tyryu" localSheetId="6">{#N/A,#N/A,FALSE,"Sheet1";#N/A,#N/A,FALSE,"Summary";#N/A,#N/A,FALSE,"proj1";#N/A,#N/A,FALSE,"proj2"}</definedName>
    <definedName name="tyryu" localSheetId="13" hidden="1">{#N/A,#N/A,FALSE,"Sheet1";#N/A,#N/A,FALSE,"Summary";#N/A,#N/A,FALSE,"proj1";#N/A,#N/A,FALSE,"proj2"}</definedName>
    <definedName name="tyryu" hidden="1">{#N/A,#N/A,FALSE,"Sheet1";#N/A,#N/A,FALSE,"Summary";#N/A,#N/A,FALSE,"proj1";#N/A,#N/A,FALSE,"proj2"}</definedName>
    <definedName name="tyu" localSheetId="6">{"consolidated",#N/A,FALSE,"Sheet1";"cms",#N/A,FALSE,"Sheet1";"fse",#N/A,FALSE,"Sheet1"}</definedName>
    <definedName name="tyu" localSheetId="13" hidden="1">{"consolidated",#N/A,FALSE,"Sheet1";"cms",#N/A,FALSE,"Sheet1";"fse",#N/A,FALSE,"Sheet1"}</definedName>
    <definedName name="tyu" hidden="1">{"consolidated",#N/A,FALSE,"Sheet1";"cms",#N/A,FALSE,"Sheet1";"fse",#N/A,FALSE,"Sheet1"}</definedName>
    <definedName name="uiem123" hidden="1">#REF!</definedName>
    <definedName name="uiknu" localSheetId="6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1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nab" localSheetId="6">{"Opsys",#N/A,FALSE,"NPV_OPsys";"NT",#N/A,FALSE,"NPV_NT";"DevP",#N/A,FALSE,"NPV_DevPdt";"Office",#N/A,FALSE,"NPV_Office"}</definedName>
    <definedName name="unab" localSheetId="13" hidden="1">{"Opsys",#N/A,FALSE,"NPV_OPsys";"NT",#N/A,FALSE,"NPV_NT";"DevP",#N/A,FALSE,"NPV_DevPdt";"Office",#N/A,FALSE,"NPV_Office"}</definedName>
    <definedName name="unab" hidden="1">{"Opsys",#N/A,FALSE,"NPV_OPsys";"NT",#N/A,FALSE,"NPV_NT";"DevP",#N/A,FALSE,"NPV_DevPdt";"Office",#N/A,FALSE,"NPV_Office"}</definedName>
    <definedName name="United" localSheetId="6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localSheetId="1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KNOWN" hidden="1">39472.4140856481</definedName>
    <definedName name="UP" localSheetId="6">{"'Inventory &amp; Anal-Cur Wkbk'!$A$7:$AP$71"}</definedName>
    <definedName name="UP" localSheetId="13" hidden="1">{"'Inventory &amp; Anal-Cur Wkbk'!$A$7:$AP$71"}</definedName>
    <definedName name="UP" hidden="1">{"'Inventory &amp; Anal-Cur Wkbk'!$A$7:$AP$71"}</definedName>
    <definedName name="updated" localSheetId="6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localSheetId="1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SUMMARY" localSheetId="6">{#N/A,#N/A,FALSE,"FACTSHEETS";#N/A,#N/A,FALSE,"pump";#N/A,#N/A,FALSE,"filter"}</definedName>
    <definedName name="UPDATESUMMARY" localSheetId="13" hidden="1">{#N/A,#N/A,FALSE,"FACTSHEETS";#N/A,#N/A,FALSE,"pump";#N/A,#N/A,FALSE,"filter"}</definedName>
    <definedName name="UPDATESUMMARY" hidden="1">{#N/A,#N/A,FALSE,"FACTSHEETS";#N/A,#N/A,FALSE,"pump";#N/A,#N/A,FALSE,"filter"}</definedName>
    <definedName name="v" localSheetId="6">{#N/A,#N/A,FALSE,"Aging Summary";#N/A,#N/A,FALSE,"Ratio Analysis";#N/A,#N/A,FALSE,"Test 120 Day Accts";#N/A,#N/A,FALSE,"Tickmarks"}</definedName>
    <definedName name="v" localSheetId="13" hidden="1">{#N/A,#N/A,FALSE,"Aging Summary";#N/A,#N/A,FALSE,"Ratio Analysis";#N/A,#N/A,FALSE,"Test 120 Day Accts";#N/A,#N/A,FALSE,"Tickmarks"}</definedName>
    <definedName name="v" hidden="1">{#N/A,#N/A,FALSE,"Aging Summary";#N/A,#N/A,FALSE,"Ratio Analysis";#N/A,#N/A,FALSE,"Test 120 Day Accts";#N/A,#N/A,FALSE,"Tickmarks"}</definedName>
    <definedName name="Varanalysis2001" localSheetId="6">{#N/A,#N/A,FALSE,"BalSheet 0899";#N/A,#N/A,FALSE,"ytdpl899";#N/A,#N/A,FALSE,"Aug PL";#N/A,#N/A,FALSE,"Minority Int";#N/A,#N/A,FALSE,"Equity Roll Forward";#N/A,#N/A,FALSE,"Book Equity Test"}</definedName>
    <definedName name="Varanalysis2001" localSheetId="13" hidden="1">{#N/A,#N/A,FALSE,"BalSheet 0899";#N/A,#N/A,FALSE,"ytdpl899";#N/A,#N/A,FALSE,"Aug PL";#N/A,#N/A,FALSE,"Minority Int";#N/A,#N/A,FALSE,"Equity Roll Forward";#N/A,#N/A,FALSE,"Book Equity Test"}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iance" localSheetId="6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" localSheetId="13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bvn" hidden="1">"c116"</definedName>
    <definedName name="vcvc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k" localSheetId="6">{"bs",#N/A,FALSE,"SCF"}</definedName>
    <definedName name="vk" localSheetId="13" hidden="1">{"bs",#N/A,FALSE,"SCF"}</definedName>
    <definedName name="vk" hidden="1">{"bs",#N/A,FALSE,"SCF"}</definedName>
    <definedName name="vl" localSheetId="6">{"bs",#N/A,FALSE,"SCF"}</definedName>
    <definedName name="vl" localSheetId="13" hidden="1">{"bs",#N/A,FALSE,"SCF"}</definedName>
    <definedName name="vl" hidden="1">{"bs",#N/A,FALSE,"SCF"}</definedName>
    <definedName name="vsdkfj" localSheetId="6">{"bs",#N/A,FALSE,"SCF"}</definedName>
    <definedName name="vsdkfj" localSheetId="13" hidden="1">{"bs",#N/A,FALSE,"SCF"}</definedName>
    <definedName name="vsdkfj" hidden="1">{"bs",#N/A,FALSE,"SCF"}</definedName>
    <definedName name="vslv" localSheetId="6">{"bs",#N/A,FALSE,"SCF"}</definedName>
    <definedName name="vslv" localSheetId="13" hidden="1">{"bs",#N/A,FALSE,"SCF"}</definedName>
    <definedName name="vslv" hidden="1">{"bs",#N/A,FALSE,"SCF"}</definedName>
    <definedName name="vv" localSheetId="6">{"contributory1",#N/A,FALSE,"Contributory Assets Detail";"contributory2",#N/A,FALSE,"Contributory Assets Detail"}</definedName>
    <definedName name="vv" localSheetId="13" hidden="1">{"contributory1",#N/A,FALSE,"Contributory Assets Detail";"contributory2",#N/A,FALSE,"Contributory Assets Detail"}</definedName>
    <definedName name="vv" hidden="1">{"contributory1",#N/A,FALSE,"Contributory Assets Detail";"contributory2",#N/A,FALSE,"Contributory Assets Detail"}</definedName>
    <definedName name="vvcrrr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localSheetId="6">{"ReportTop",#N/A,FALSE,"report top"}</definedName>
    <definedName name="vvv" localSheetId="13" hidden="1">{"ReportTop",#N/A,FALSE,"report top"}</definedName>
    <definedName name="vvv" hidden="1">{"ReportTop",#N/A,FALSE,"report top"}</definedName>
    <definedName name="vvvv" localSheetId="6">{"documentation1",#N/A,FALSE,"Documentation";"documentation2",#N/A,FALSE,"Documentation"}</definedName>
    <definedName name="vvvv" localSheetId="13" hidden="1">{"documentation1",#N/A,FALSE,"Documentation";"documentation2",#N/A,FALSE,"Documentation"}</definedName>
    <definedName name="vvvv" hidden="1">{"documentation1",#N/A,FALSE,"Documentation";"documentation2",#N/A,FALSE,"Documentation"}</definedName>
    <definedName name="vvvvv" localSheetId="6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 localSheetId="1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v" localSheetId="6">{#N/A,#N/A,TRUE,"Fiber_Optic_Cable_Input ";#N/A,#N/A,TRUE,"Specialty_Fiber_Devices_Input";#N/A,#N/A,TRUE,"Optical_Fiber_Apparatus_Input"}</definedName>
    <definedName name="vvvvvv" localSheetId="13" hidden="1">{#N/A,#N/A,TRUE,"Fiber_Optic_Cable_Input ";#N/A,#N/A,TRUE,"Specialty_Fiber_Devices_Input";#N/A,#N/A,TRUE,"Optical_Fiber_Apparatus_Input"}</definedName>
    <definedName name="vvvvvv" hidden="1">{#N/A,#N/A,TRUE,"Fiber_Optic_Cable_Input ";#N/A,#N/A,TRUE,"Specialty_Fiber_Devices_Input";#N/A,#N/A,TRUE,"Optical_Fiber_Apparatus_Input"}</definedName>
    <definedName name="vvvvvvv" localSheetId="6">{#N/A,#N/A,TRUE,"Falcons_Standalone";#N/A,#N/A,TRUE,"Target_Input";#N/A,#N/A,TRUE,"Target_Calendarized"}</definedName>
    <definedName name="vvvvvvv" localSheetId="13" hidden="1">{#N/A,#N/A,TRUE,"Falcons_Standalone";#N/A,#N/A,TRUE,"Target_Input";#N/A,#N/A,TRUE,"Target_Calendarized"}</definedName>
    <definedName name="vvvvvvv" hidden="1">{#N/A,#N/A,TRUE,"Falcons_Standalone";#N/A,#N/A,TRUE,"Target_Input";#N/A,#N/A,TRUE,"Target_Calendarized"}</definedName>
    <definedName name="vvvvvvvv" localSheetId="6">{#N/A,#N/A,TRUE,"FOC_Product_Assumptions"}</definedName>
    <definedName name="vvvvvvvv" localSheetId="13" hidden="1">{#N/A,#N/A,TRUE,"FOC_Product_Assumptions"}</definedName>
    <definedName name="vvvvvvvv" hidden="1">{#N/A,#N/A,TRUE,"FOC_Product_Assumptions"}</definedName>
    <definedName name="vvvvvvvvv" localSheetId="6">{#N/A,#N/A,FALSE,"Consolidated Shipley";#N/A,#N/A,FALSE,"Consolidated PWB";#N/A,#N/A,FALSE,"Consolidated Micro"}</definedName>
    <definedName name="vvvvvvvvv" localSheetId="13" hidden="1">{#N/A,#N/A,FALSE,"Consolidated Shipley";#N/A,#N/A,FALSE,"Consolidated PWB";#N/A,#N/A,FALSE,"Consolidated Micro"}</definedName>
    <definedName name="vvvvvvvvv" hidden="1">{#N/A,#N/A,FALSE,"Consolidated Shipley";#N/A,#N/A,FALSE,"Consolidated PWB";#N/A,#N/A,FALSE,"Consolidated Micro"}</definedName>
    <definedName name="vvvvvvvvvv" localSheetId="6">{#N/A,#N/A,FALSE,"Consolidated Shipley";#N/A,#N/A,FALSE,"Consolidated PWB";#N/A,#N/A,FALSE,"Consolidated Micro"}</definedName>
    <definedName name="vvvvvvvvvv" localSheetId="13" hidden="1">{#N/A,#N/A,FALSE,"Consolidated Shipley";#N/A,#N/A,FALSE,"Consolidated PWB";#N/A,#N/A,FALSE,"Consolidated Micro"}</definedName>
    <definedName name="vvvvvvvvvv" hidden="1">{#N/A,#N/A,FALSE,"Consolidated Shipley";#N/A,#N/A,FALSE,"Consolidated PWB";#N/A,#N/A,FALSE,"Consolidated Micro"}</definedName>
    <definedName name="vwew32" localSheetId="6">{"Assumptions",#N/A,TRUE,"Assumptions";"Income",#N/A,TRUE,"Income";"Balance",#N/A,TRUE,"Balance"}</definedName>
    <definedName name="vwew32" localSheetId="13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zssw" localSheetId="6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13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6">{"ReportTop",#N/A,FALSE,"report top"}</definedName>
    <definedName name="w" localSheetId="13" hidden="1">{"ReportTop",#N/A,FALSE,"report top"}</definedName>
    <definedName name="w" hidden="1">{"ReportTop",#N/A,FALSE,"report top"}</definedName>
    <definedName name="w5y2367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fsdfasdf" localSheetId="6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1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g" localSheetId="6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localSheetId="13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rrr" localSheetId="6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1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we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burne" localSheetId="6">{#N/A,#N/A,FALSE,"Projections";#N/A,#N/A,FALSE,"Multiples Valuation";#N/A,#N/A,FALSE,"LBO";#N/A,#N/A,FALSE,"Multiples_Sensitivity";#N/A,#N/A,FALSE,"Summary"}</definedName>
    <definedName name="Westburne" localSheetId="13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hat" localSheetId="6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localSheetId="1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 localSheetId="6">{#N/A,#N/A,TRUE,"Summary";#N/A,#N/A,TRUE,"Financials"}</definedName>
    <definedName name="What?" localSheetId="13" hidden="1">{#N/A,#N/A,TRUE,"Summary";#N/A,#N/A,TRUE,"Financials"}</definedName>
    <definedName name="What?" hidden="1">{#N/A,#N/A,TRUE,"Summary";#N/A,#N/A,TRUE,"Financials"}</definedName>
    <definedName name="What2?" localSheetId="6">{#N/A,#N/A,TRUE,"Summary";#N/A,#N/A,TRUE,"Financials";#N/A,#N/A,TRUE,"Assumptions";#N/A,#N/A,TRUE,"Pro Forma";#N/A,#N/A,TRUE,"Debt";#N/A,#N/A,TRUE,"Amortization";#N/A,#N/A,TRUE,"GG Returns"}</definedName>
    <definedName name="What2?" localSheetId="13" hidden="1">{#N/A,#N/A,TRUE,"Summary";#N/A,#N/A,TRUE,"Financials";#N/A,#N/A,TRUE,"Assumptions";#N/A,#N/A,TRUE,"Pro Forma";#N/A,#N/A,TRUE,"Debt";#N/A,#N/A,TRUE,"Amortization";#N/A,#N/A,TRUE,"GG Returns"}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localSheetId="6">{#N/A,#N/A,TRUE,"Summary";#N/A,#N/A,TRUE,"Assumptions";#N/A,#N/A,TRUE,"Comparison";#N/A,#N/A,TRUE,"Financials";#N/A,#N/A,TRUE,"Plan v. Act"}</definedName>
    <definedName name="What3?" localSheetId="13" hidden="1">{#N/A,#N/A,TRUE,"Summary";#N/A,#N/A,TRUE,"Assumptions";#N/A,#N/A,TRUE,"Comparison";#N/A,#N/A,TRUE,"Financials";#N/A,#N/A,TRUE,"Plan v. Act"}</definedName>
    <definedName name="What3?" hidden="1">{#N/A,#N/A,TRUE,"Summary";#N/A,#N/A,TRUE,"Assumptions";#N/A,#N/A,TRUE,"Comparison";#N/A,#N/A,TRUE,"Financials";#N/A,#N/A,TRUE,"Plan v. Act"}</definedName>
    <definedName name="WHATEVER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6">{#N/A,#N/A,FALSE,"Summary";#N/A,#N/A,FALSE,"Projections";#N/A,#N/A,FALSE,"Mkt Mults";#N/A,#N/A,FALSE,"DCF";#N/A,#N/A,FALSE,"Accr Dil";#N/A,#N/A,FALSE,"PIC LBO";#N/A,#N/A,FALSE,"MULT10_4";#N/A,#N/A,FALSE,"CBI LBO"}</definedName>
    <definedName name="whatisthis" localSheetId="13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6">{#N/A,#N/A,FALSE,"IPO";#N/A,#N/A,FALSE,"DCF";#N/A,#N/A,FALSE,"LBO";#N/A,#N/A,FALSE,"MULT_VAL";#N/A,#N/A,FALSE,"Status Quo";#N/A,#N/A,FALSE,"Recap"}</definedName>
    <definedName name="whatisthissss" localSheetId="13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6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13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inzip" localSheetId="6">{"bs",#N/A,FALSE,"SCF"}</definedName>
    <definedName name="Winzip" localSheetId="13" hidden="1">{"bs",#N/A,FALSE,"SCF"}</definedName>
    <definedName name="Winzip" hidden="1">{"bs",#N/A,FALSE,"SCF"}</definedName>
    <definedName name="wlll" localSheetId="6">{"bs",#N/A,FALSE,"SCF"}</definedName>
    <definedName name="wlll" localSheetId="13" hidden="1">{"bs",#N/A,FALSE,"SCF"}</definedName>
    <definedName name="wlll" hidden="1">{"bs",#N/A,FALSE,"SCF"}</definedName>
    <definedName name="wqwt" localSheetId="6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13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d.2._.pagers.3" localSheetId="6">{"Cover",#N/A,FALSE,"Cover";"Summary",#N/A,FALSE,"Summarpage"}</definedName>
    <definedName name="wrd.2._.pagers.3" localSheetId="13" hidden="1">{"Cover",#N/A,FALSE,"Cover";"Summary",#N/A,FALSE,"Summarpage"}</definedName>
    <definedName name="wrd.2._.pagers.3" hidden="1">{"Cover",#N/A,FALSE,"Cover";"Summary",#N/A,FALSE,"Summarpage"}</definedName>
    <definedName name="wrm.All." localSheetId="6">{"IncStmt",#N/A,FALSE,"P&amp;L";"PLVar",#N/A,FALSE,"P&amp;L"}</definedName>
    <definedName name="wrm.All." localSheetId="13" hidden="1">{"IncStmt",#N/A,FALSE,"P&amp;L";"PLVar",#N/A,FALSE,"P&amp;L"}</definedName>
    <definedName name="wrm.All." hidden="1">{"IncStmt",#N/A,FALSE,"P&amp;L";"PLVar",#N/A,FALSE,"P&amp;L"}</definedName>
    <definedName name="wrm.CashFlow." localSheetId="6">{"CashFlow",#N/A,FALSE,"cashflw"}</definedName>
    <definedName name="wrm.CashFlow." localSheetId="13" hidden="1">{"CashFlow",#N/A,FALSE,"cashflw"}</definedName>
    <definedName name="wrm.CashFlow." hidden="1">{"CashFlow",#N/A,FALSE,"cashflw"}</definedName>
    <definedName name="wrm.IncStmt." localSheetId="6">{"IncStmt",#N/A,FALSE,"P&amp;L"}</definedName>
    <definedName name="wrm.IncStmt." localSheetId="13" hidden="1">{"IncStmt",#N/A,FALSE,"P&amp;L"}</definedName>
    <definedName name="wrm.IncStmt." hidden="1">{"IncStmt",#N/A,FALSE,"P&amp;L"}</definedName>
    <definedName name="wrm.PL1990." localSheetId="6">{"PL1990",#N/A,FALSE,"90-91"}</definedName>
    <definedName name="wrm.PL1990." localSheetId="13" hidden="1">{"PL1990",#N/A,FALSE,"90-91"}</definedName>
    <definedName name="wrm.PL1990." hidden="1">{"PL1990",#N/A,FALSE,"90-91"}</definedName>
    <definedName name="wrm.PL1991." localSheetId="6">{"PL1991",#N/A,FALSE,"90-91"}</definedName>
    <definedName name="wrm.PL1991." localSheetId="13" hidden="1">{"PL1991",#N/A,FALSE,"90-91"}</definedName>
    <definedName name="wrm.PL1991." hidden="1">{"PL1991",#N/A,FALSE,"90-91"}</definedName>
    <definedName name="wrm.PL1992." localSheetId="6">{"PL1992",#N/A,FALSE,"90-91"}</definedName>
    <definedName name="wrm.PL1992." localSheetId="13" hidden="1">{"PL1992",#N/A,FALSE,"90-91"}</definedName>
    <definedName name="wrm.PL1992." hidden="1">{"PL1992",#N/A,FALSE,"90-91"}</definedName>
    <definedName name="wrm.PL1993." localSheetId="6">{"PL1993",#N/A,FALSE,"90-91"}</definedName>
    <definedName name="wrm.PL1993." localSheetId="13" hidden="1">{"PL1993",#N/A,FALSE,"90-91"}</definedName>
    <definedName name="wrm.PL1993." hidden="1">{"PL1993",#N/A,FALSE,"90-91"}</definedName>
    <definedName name="wrm.PL1994." localSheetId="6">{"PL1994",#N/A,FALSE,"90-91"}</definedName>
    <definedName name="wrm.PL1994." localSheetId="13" hidden="1">{"PL1994",#N/A,FALSE,"90-91"}</definedName>
    <definedName name="wrm.PL1994." hidden="1">{"PL1994",#N/A,FALSE,"90-91"}</definedName>
    <definedName name="wrm.PLVar." localSheetId="6">{"PLVar",#N/A,FALSE,"P&amp;L"}</definedName>
    <definedName name="wrm.PLVar." localSheetId="13" hidden="1">{"PLVar",#N/A,FALSE,"P&amp;L"}</definedName>
    <definedName name="wrm.PLVar." hidden="1">{"PLVar",#N/A,FALSE,"P&amp;L"}</definedName>
    <definedName name="wrm.WorkCap." localSheetId="6">{"WorkCap",#N/A,FALSE,"cashflw"}</definedName>
    <definedName name="wrm.WorkCap." localSheetId="13" hidden="1">{"WorkCap",#N/A,FALSE,"cashflw"}</definedName>
    <definedName name="wrm.WorkCap." hidden="1">{"WorkCap",#N/A,FALSE,"cashflw"}</definedName>
    <definedName name="wrm.Y95current." localSheetId="6">{"Y95current",#N/A,FALSE,"Sheet4"}</definedName>
    <definedName name="wrm.Y95current." localSheetId="13" hidden="1">{"Y95current",#N/A,FALSE,"Sheet4"}</definedName>
    <definedName name="wrm.Y95current." hidden="1">{"Y95current",#N/A,FALSE,"Sheet4"}</definedName>
    <definedName name="wrm.Y95qtrs." localSheetId="6">{"Y95qtrs",#N/A,FALSE,"Sheet4"}</definedName>
    <definedName name="wrm.Y95qtrs." localSheetId="13" hidden="1">{"Y95qtrs",#N/A,FALSE,"Sheet4"}</definedName>
    <definedName name="wrm.Y95qtrs." hidden="1">{"Y95qtrs",#N/A,FALSE,"Sheet4"}</definedName>
    <definedName name="wrn." localSheetId="6">{#N/A,#N/A,FALSE,"Japan 2003";#N/A,#N/A,FALSE,"Sheet2"}</definedName>
    <definedName name="wrn." localSheetId="13" hidden="1">{#N/A,#N/A,FALSE,"Japan 2003";#N/A,#N/A,FALSE,"Sheet2"}</definedName>
    <definedName name="wrn." hidden="1">{#N/A,#N/A,FALSE,"Japan 2003";#N/A,#N/A,FALSE,"Sheet2"}</definedName>
    <definedName name="wrn.1." localSheetId="6">{#N/A,#N/A,FALSE,"Calc";#N/A,#N/A,FALSE,"Sensitivity";#N/A,#N/A,FALSE,"LT Earn.Dil.";#N/A,#N/A,FALSE,"Dil. AVP"}</definedName>
    <definedName name="wrn.1." localSheetId="13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1" localSheetId="6">{#N/A,#N/A,FALSE,"Calc";#N/A,#N/A,FALSE,"Sensitivity";#N/A,#N/A,FALSE,"LT Earn.Dil.";#N/A,#N/A,FALSE,"Dil. AVP"}</definedName>
    <definedName name="wrn.1.1" localSheetId="13" hidden="1">{#N/A,#N/A,FALSE,"Calc";#N/A,#N/A,FALSE,"Sensitivity";#N/A,#N/A,FALSE,"LT Earn.Dil.";#N/A,#N/A,FALSE,"Dil. AVP"}</definedName>
    <definedName name="wrn.1.1" hidden="1">{#N/A,#N/A,FALSE,"Calc";#N/A,#N/A,FALSE,"Sensitivity";#N/A,#N/A,FALSE,"LT Earn.Dil.";#N/A,#N/A,FALSE,"Dil. AVP"}</definedName>
    <definedName name="wrn.1.1.2" localSheetId="6">{#N/A,#N/A,FALSE,"Calc";#N/A,#N/A,FALSE,"Sensitivity";#N/A,#N/A,FALSE,"LT Earn.Dil.";#N/A,#N/A,FALSE,"Dil. AVP"}</definedName>
    <definedName name="wrn.1.1.2" localSheetId="13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localSheetId="6">{#N/A,#N/A,FALSE,"Calc";#N/A,#N/A,FALSE,"Sensitivity";#N/A,#N/A,FALSE,"LT Earn.Dil.";#N/A,#N/A,FALSE,"Dil. AVP"}</definedName>
    <definedName name="wrn.1.1.3" localSheetId="13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localSheetId="6">{#N/A,#N/A,FALSE,"Calc";#N/A,#N/A,FALSE,"Sensitivity";#N/A,#N/A,FALSE,"LT Earn.Dil.";#N/A,#N/A,FALSE,"Dil. AVP"}</definedName>
    <definedName name="wrn.1.2" localSheetId="1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localSheetId="6">{#N/A,#N/A,FALSE,"Calc";#N/A,#N/A,FALSE,"Sensitivity";#N/A,#N/A,FALSE,"LT Earn.Dil.";#N/A,#N/A,FALSE,"Dil. AVP"}</definedName>
    <definedName name="wrn.1.3" localSheetId="13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2_30._.Adv._.Book." localSheetId="6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localSheetId="13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6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 localSheetId="13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996._.BUDGET." localSheetId="6">{"SUMMARY",#N/A,TRUE,"SUMMARY";"compare",#N/A,TRUE,"Vs. Bus Plan";"ratios",#N/A,TRUE,"Ratios";"REVENUE",#N/A,TRUE,"Revenue";"expenses",#N/A,TRUE,"1996 budget";"payroll",#N/A,TRUE,"Payroll"}</definedName>
    <definedName name="wrn.1996._.BUDGET." localSheetId="13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localSheetId="6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1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localSheetId="6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localSheetId="13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localSheetId="6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" localSheetId="13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 localSheetId="6">{"common_pl",#N/A,FALSE,"Commonized PL";"analyst",#N/A,FALSE,"Budget to Analyst";"sec",#N/A,FALSE,"SEC PL";"summary",#N/A,FALSE,"Summary";"detail",#N/A,FALSE,"Detail"}</definedName>
    <definedName name="wrn.1999._.budget." localSheetId="13" hidden="1">{"common_pl",#N/A,FALSE,"Commonized PL";"analyst",#N/A,FALSE,"Budget to Analyst";"sec",#N/A,FALSE,"SEC PL";"summary",#N/A,FALSE,"Summary";"detail",#N/A,FALSE,"Detail"}</definedName>
    <definedName name="wrn.1999._.budget." hidden="1">{"common_pl",#N/A,FALSE,"Commonized PL";"analyst",#N/A,FALSE,"Budget to Analyst";"sec",#N/A,FALSE,"SEC PL";"summary",#N/A,FALSE,"Summary";"detail",#N/A,FALSE,"Detail"}</definedName>
    <definedName name="WRN.2." localSheetId="6">{#N/A,#N/A,FALSE,"Calc";#N/A,#N/A,FALSE,"Sensitivity";#N/A,#N/A,FALSE,"LT Earn.Dil.";#N/A,#N/A,FALSE,"Dil. AVP"}</definedName>
    <definedName name="WRN.2." localSheetId="13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_.pagers." localSheetId="6">{"Cover",#N/A,FALSE,"Cover";"Summary",#N/A,FALSE,"Summarpage"}</definedName>
    <definedName name="wrn.2._.pagers." localSheetId="13" hidden="1">{"Cover",#N/A,FALSE,"Cover";"Summary",#N/A,FALSE,"Summarpage"}</definedName>
    <definedName name="wrn.2._.pagers." hidden="1">{"Cover",#N/A,FALSE,"Cover";"Summary",#N/A,FALSE,"Summarpage"}</definedName>
    <definedName name="wrn.2._.pagers.2" localSheetId="6">{"Cover",#N/A,FALSE,"Cover";"Summary",#N/A,FALSE,"Summarpage"}</definedName>
    <definedName name="wrn.2._.pagers.2" localSheetId="13" hidden="1">{"Cover",#N/A,FALSE,"Cover";"Summary",#N/A,FALSE,"Summarpage"}</definedName>
    <definedName name="wrn.2._.pagers.2" hidden="1">{"Cover",#N/A,FALSE,"Cover";"Summary",#N/A,FALSE,"Summarpage"}</definedName>
    <definedName name="wrn.3.00._.Adv.._.Board." localSheetId="6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localSheetId="13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50._.50." localSheetId="6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1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6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1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9_30._.Adv._.Board." localSheetId="6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localSheetId="13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6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 localSheetId="13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B_workpapers." localSheetId="6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" localSheetId="13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localSheetId="6">{#N/A,#N/A,FALSE,"A_D";#N/A,#N/A,FALSE,"WACC";#N/A,#N/A,FALSE,"DCF";#N/A,#N/A,FALSE,"A";#N/A,#N/A,FALSE,"LBO";#N/A,#N/A,FALSE,"C";#N/A,#N/A,FALSE,"impd";#N/A,#N/A,FALSE,"comps"}</definedName>
    <definedName name="wrn.A_VALUATION." localSheetId="13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ounts." localSheetId="6">{"turnover",#N/A,FALSE;"profits",#N/A,FALSE;"cash",#N/A,FALSE}</definedName>
    <definedName name="wrn.Accounts." localSheetId="13" hidden="1">{"turnover",#N/A,FALSE;"profits",#N/A,FALSE;"cash",#N/A,FALSE}</definedName>
    <definedName name="wrn.Accounts." hidden="1">{"turnover",#N/A,FALSE;"profits",#N/A,FALSE;"cash",#N/A,FALSE}</definedName>
    <definedName name="wrn.ACCOUNTS._.PAYABLE." localSheetId="6">{#N/A,#N/A,FALSE,"CC-1 Accounts Payable";#N/A,#N/A,FALSE,"CC-2 Search for Unrecorded Liab"}</definedName>
    <definedName name="wrn.ACCOUNTS._.PAYABLE." localSheetId="13" hidden="1">{#N/A,#N/A,FALSE,"CC-1 Accounts Payable";#N/A,#N/A,FALSE,"CC-2 Search for Unrecorded Liab"}</definedName>
    <definedName name="wrn.ACCOUNTS._.PAYABLE." hidden="1">{#N/A,#N/A,FALSE,"CC-1 Accounts Payable";#N/A,#N/A,FALSE,"CC-2 Search for Unrecorded Liab"}</definedName>
    <definedName name="wrn.Accr_Dil." localSheetId="6">{#N/A,#N/A,FALSE,"Debt Accr";#N/A,#N/A,FALSE,"Stock Accr";#N/A,#N/A,FALSE,"Debt Stock Accr"}</definedName>
    <definedName name="wrn.Accr_Dil." localSheetId="13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UED._.EXPENSES." localSheetId="6">{#N/A,#N/A,FALSE,"EE-1 Othr Acts. Pbl &amp; Accr. Exp";#N/A,#N/A,FALSE,"FF-1 Payroll Taxes";#N/A,#N/A,FALSE,"HH-1 Employee Benefit Plans"}</definedName>
    <definedName name="wrn.ACCRUED._.EXPENSES." localSheetId="13" hidden="1">{#N/A,#N/A,FALSE,"EE-1 Othr Acts. Pbl &amp; Accr. Exp";#N/A,#N/A,FALSE,"FF-1 Payroll Taxes";#N/A,#N/A,FALSE,"HH-1 Employee Benefit Plans"}</definedName>
    <definedName name="wrn.ACCRUED._.EXPENSES." hidden="1">{#N/A,#N/A,FALSE,"EE-1 Othr Acts. Pbl &amp; Accr. Exp";#N/A,#N/A,FALSE,"FF-1 Payroll Taxes";#N/A,#N/A,FALSE,"HH-1 Employee Benefit Plans"}</definedName>
    <definedName name="wrn.ACI." localSheetId="6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 localSheetId="13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localSheetId="6">{#N/A,#N/A,TRUE,"Acq-Ass";#N/A,#N/A,TRUE,"Acq-IS";#N/A,#N/A,TRUE,"Acq-BS";#N/A,#N/A,TRUE,"Acq-CF"}</definedName>
    <definedName name="wrn.AcqState." localSheetId="13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uiror." localSheetId="6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1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6">{"Acq_matrix",#N/A,FALSE,"Acquisition Matrix"}</definedName>
    <definedName name="wrn.Acquisition_matrix." localSheetId="13" hidden="1">{"Acq_matrix",#N/A,FALSE,"Acquisition Matrix"}</definedName>
    <definedName name="wrn.Acquisition_matrix." hidden="1">{"Acq_matrix",#N/A,FALSE,"Acquisition Matrix"}</definedName>
    <definedName name="wrn.AcqVal." localSheetId="6">{#N/A,#N/A,FALSE,"Acq-Val";#N/A,#N/A,FALSE,"Acq-Mult Val"}</definedName>
    <definedName name="wrn.AcqVal." localSheetId="13" hidden="1">{#N/A,#N/A,FALSE,"Acq-Val";#N/A,#N/A,FALSE,"Acq-Mult Val"}</definedName>
    <definedName name="wrn.AcqVal." hidden="1">{#N/A,#N/A,FALSE,"Acq-Val";#N/A,#N/A,FALSE,"Acq-Mult Val"}</definedName>
    <definedName name="wrn.adj95." localSheetId="6">{"adj95mult",#N/A,FALSE,"COMPCO";"adj95est",#N/A,FALSE,"COMPCO"}</definedName>
    <definedName name="wrn.adj95." localSheetId="13" hidden="1">{"adj95mult",#N/A,FALSE,"COMPCO";"adj95est",#N/A,FALSE,"COMPCO"}</definedName>
    <definedName name="wrn.adj95." hidden="1">{"adj95mult",#N/A,FALSE,"COMPCO";"adj95est",#N/A,FALSE,"COMPCO"}</definedName>
    <definedName name="wrn.Admin." localSheetId="6">{"Total Admin",#N/A,FALSE,"Admin";"Executive",#N/A,FALSE,"Admin";"Finance",#N/A,FALSE,"Admin";"Marketing",#N/A,FALSE,"Admin";"NonDepartmental",#N/A,FALSE,"Admin"}</definedName>
    <definedName name="wrn.Admin." localSheetId="13" hidden="1">{"Total Admin",#N/A,FALSE,"Admin";"Executive",#N/A,FALSE,"Admin";"Finance",#N/A,FALSE,"Admin";"Marketing",#N/A,FALSE,"Admin";"NonDepartmental",#N/A,FALSE,"Admin"}</definedName>
    <definedName name="wrn.Admin." hidden="1">{"Total Admin",#N/A,FALSE,"Admin";"Executive",#N/A,FALSE,"Admin";"Finance",#N/A,FALSE,"Admin";"Marketing",#N/A,FALSE,"Admin";"NonDepartmental",#N/A,FALSE,"Admin"}</definedName>
    <definedName name="wrn.AEA." localSheetId="6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localSheetId="13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._.and._.Trend._.Analysis." localSheetId="6">{#N/A,#N/A,FALSE,"Aging Summary";#N/A,#N/A,FALSE,"Ratio Analysis";#N/A,#N/A,FALSE,"Test 120 Day Accts";#N/A,#N/A,FALSE,"Tickmarks"}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N._.MODELS." localSheetId="6">{"QTRINC1",#N/A,FALSE,"QTRINC";"QTRINC2",#N/A,FALSE,"QTRINC";"QTRSALES",#N/A,FALSE,"QTRSALES";"ANNSALES",#N/A,FALSE,"ANNSALES";"CASHFLOW",#N/A,FALSE,"CASHFLOW"}</definedName>
    <definedName name="wrn.AGN._.MODELS." localSheetId="13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J._.Renner." localSheetId="6">{#N/A,#N/A,FALSE,"Summ";#N/A,#N/A,FALSE,"Fcst";#N/A,#N/A,FALSE,"BS";"Pro Forma IS",#N/A,FALSE,"Hist IS";"IS History",#N/A,FALSE,"Hist IS";"Payroll",#N/A,FALSE,"Summ"}</definedName>
    <definedName name="wrn.AJ._.Renner." localSheetId="13" hidden="1">{#N/A,#N/A,FALSE,"Summ";#N/A,#N/A,FALSE,"Fcst";#N/A,#N/A,FALSE,"BS";"Pro Forma IS",#N/A,FALSE,"Hist IS";"IS History",#N/A,FALSE,"Hist IS";"Payroll",#N/A,FALSE,"Summ"}</definedName>
    <definedName name="wrn.AJ._.Renner." hidden="1">{#N/A,#N/A,FALSE,"Summ";#N/A,#N/A,FALSE,"Fcst";#N/A,#N/A,FALSE,"BS";"Pro Forma IS",#N/A,FALSE,"Hist IS";"IS History",#N/A,FALSE,"Hist IS";"Payroll",#N/A,FALSE,"Summ"}</definedName>
    <definedName name="wrn.ALAN." localSheetId="6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1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6">{"P&amp;L",#N/A,TRUE,"HC";"P&amp;L Percents",#N/A,TRUE,"P&amp;L";"M&amp;A3 P&amp;L",#N/A,TRUE,"HC";"M&amp;A3 Pipeline",#N/A,TRUE,"HC";"Franchises",#N/A,TRUE,"HC";"CF&amp;BS",#N/A,TRUE,"HC"}</definedName>
    <definedName name="wrn.All." localSheetId="13" hidden="1">{"P&amp;L",#N/A,TRUE,"HC";"P&amp;L Percents",#N/A,TRUE,"P&amp;L";"M&amp;A3 P&amp;L",#N/A,TRUE,"HC";"M&amp;A3 Pipeline",#N/A,TRUE,"HC";"Franchises",#N/A,TRUE,"HC";"CF&amp;BS",#N/A,TRUE,"HC"}</definedName>
    <definedName name="wrn.All." hidden="1">{"P&amp;L",#N/A,TRUE,"HC";"P&amp;L Percents",#N/A,TRUE,"P&amp;L";"M&amp;A3 P&amp;L",#N/A,TRUE,"HC";"M&amp;A3 Pipeline",#N/A,TRUE,"HC";"Franchises",#N/A,TRUE,"HC";"CF&amp;BS",#N/A,TRUE,"HC"}</definedName>
    <definedName name="wrn.ALL._.COGS." localSheetId="6">{"SAS-COGS",#N/A,FALSE,"COGS-Inventory";"UVD-COGS",#N/A,FALSE,"COGS-Inventory";"CMS-COGS",#N/A,FALSE,"COGS-Inventory";"POL-COGS",#N/A,FALSE,"COGS-Inventory"}</definedName>
    <definedName name="wrn.ALL._.COGS." localSheetId="13" hidden="1">{"SAS-COGS",#N/A,FALSE,"COGS-Inventory";"UVD-COGS",#N/A,FALSE,"COGS-Inventory";"CMS-COGS",#N/A,FALSE,"COGS-Inventory";"POL-COGS",#N/A,FALSE,"COGS-Inventory"}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localSheetId="6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1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6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13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6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localSheetId="13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6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localSheetId="13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6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localSheetId="13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6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localSheetId="13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Exhibits." localSheetId="6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" localSheetId="13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localSheetId="6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localSheetId="13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our." localSheetId="6">{#N/A,#N/A,FALSE,"Bank";#N/A,#N/A,FALSE,"Insurance";#N/A,#N/A,FALSE,"Thrift";#N/A,#N/A,FALSE,"HMO"}</definedName>
    <definedName name="wrn.All._.Four." localSheetId="13" hidden="1">{#N/A,#N/A,FALSE,"Bank";#N/A,#N/A,FALSE,"Insurance";#N/A,#N/A,FALSE,"Thrift";#N/A,#N/A,FALSE,"HMO"}</definedName>
    <definedName name="wrn.All._.Four." hidden="1">{#N/A,#N/A,FALSE,"Bank";#N/A,#N/A,FALSE,"Insurance";#N/A,#N/A,FALSE,"Thrift";#N/A,#N/A,FALSE,"HMO"}</definedName>
    <definedName name="wrn.all._.gulp._.sheets." localSheetId="6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1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6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6">{#N/A,#N/A,FALSE,"puboff";#N/A,#N/A,FALSE,"financials";#N/A,#N/A,FALSE,"valuation";#N/A,#N/A,FALSE,"split"}</definedName>
    <definedName name="wrn.ALL._.PAGES." localSheetId="13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Schedules." localSheetId="6">{#N/A,#N/A,FALSE,"Static Proforma";#N/A,#N/A,FALSE,"Bldg Dev DCF";#N/A,#N/A,FALSE,"Land Sales DCF"}</definedName>
    <definedName name="wrn.All._.Schedules." localSheetId="13" hidden="1">{#N/A,#N/A,FALSE,"Static Proforma";#N/A,#N/A,FALSE,"Bldg Dev DCF";#N/A,#N/A,FALSE,"Land Sales DCF"}</definedName>
    <definedName name="wrn.All._.Schedules." hidden="1">{#N/A,#N/A,FALSE,"Static Proforma";#N/A,#N/A,FALSE,"Bldg Dev DCF";#N/A,#N/A,FALSE,"Land Sales DCF"}</definedName>
    <definedName name="wrn.all._.sheets." localSheetId="6">{#N/A,#N/A,TRUE,"MAIN FT TERM";#N/A,#N/A,TRUE,"MCI  FT TERM ";#N/A,#N/A,TRUE,"OC12 EQV"}</definedName>
    <definedName name="wrn.all._.sheets." localSheetId="13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._.STMTS." localSheetId="6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localSheetId="13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Views." localSheetId="6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localSheetId="1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LLC._.STMTS." localSheetId="6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localSheetId="13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6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localSheetId="13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localSheetId="6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13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_charts." localSheetId="6">{"chart_ar_stats",#N/A,FALSE,"AR Chart1";"chart_percent_AR_past_due",#N/A,FALSE,"AR Chart2";"chart_ap_trends_only",#N/A,FALSE,"AP Chart"}</definedName>
    <definedName name="wrn.All_charts." localSheetId="13" hidden="1">{"chart_ar_stats",#N/A,FALSE,"AR Chart1";"chart_percent_AR_past_due",#N/A,FALSE,"AR Chart2";"chart_ap_trends_only",#N/A,FALSE,"AP Chart"}</definedName>
    <definedName name="wrn.All_charts." hidden="1">{"chart_ar_stats",#N/A,FALSE,"AR Chart1";"chart_percent_AR_past_due",#N/A,FALSE,"AR Chart2";"chart_ap_trends_only",#N/A,FALSE,"AP Chart"}</definedName>
    <definedName name="wrn.All_Models." localSheetId="6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1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6">{#N/A,#N/A,FALSE,"Projections";#N/A,#N/A,FALSE,"Multiples Valuation";#N/A,#N/A,FALSE,"LBO";#N/A,#N/A,FALSE,"Multiples_Sensitivity";#N/A,#N/A,FALSE,"Summary"}</definedName>
    <definedName name="wrn.All_Models2" localSheetId="13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localSheetId="6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1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6">{"P&amp;L",#N/A,TRUE,"HC";"P&amp;L Percents",#N/A,TRUE,"P&amp;L";"M&amp;A3 P&amp;L",#N/A,TRUE,"HC";"M&amp;A3 Pipeline",#N/A,TRUE,"HC";"Franchises",#N/A,TRUE,"HC";"CF&amp;BS",#N/A,TRUE,"HC"}</definedName>
    <definedName name="wrn.all1" localSheetId="13" hidden="1">{"P&amp;L",#N/A,TRUE,"HC";"P&amp;L Percents",#N/A,TRUE,"P&amp;L";"M&amp;A3 P&amp;L",#N/A,TRUE,"HC";"M&amp;A3 Pipeline",#N/A,TRUE,"HC";"Franchises",#N/A,TRUE,"HC";"CF&amp;BS",#N/A,TRUE,"HC"}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4" localSheetId="6">{#N/A,#N/A,FALSE,"ASSUMPTIONS";#N/A,#N/A,FALSE,"Valuation Summary";"page1",#N/A,FALSE,"PRESENTATION";"page2",#N/A,FALSE,"PRESENTATION";#N/A,#N/A,FALSE,"ORIGINAL_ROLLBACK"}</definedName>
    <definedName name="wrn.ALL4" localSheetId="13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6">{#N/A,#N/A,FALSE,"ASSUMPTIONS";#N/A,#N/A,FALSE,"Valuation Summary";"page1",#N/A,FALSE,"PRESENTATION";"page2",#N/A,FALSE,"PRESENTATION";#N/A,#N/A,FALSE,"ORIGINAL_ROLLBACK"}</definedName>
    <definedName name="wrn.ALL5" localSheetId="13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6">{#N/A,#N/A,FALSE,"ASSUMPTIONS";#N/A,#N/A,FALSE,"Valuation Summary";"page1",#N/A,FALSE,"PRESENTATION";"page2",#N/A,FALSE,"PRESENTATION";#N/A,#N/A,FALSE,"ORIGINAL_ROLLBACK"}</definedName>
    <definedName name="wrn.ALL6" localSheetId="13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6">{#N/A,#N/A,FALSE,"ASSUMPTIONS";#N/A,#N/A,FALSE,"Valuation Summary";"page1",#N/A,FALSE,"PRESENTATION";"page2",#N/A,FALSE,"PRESENTATION";#N/A,#N/A,FALSE,"ORIGINAL_ROLLBACK"}</definedName>
    <definedName name="wrn.ALL8" localSheetId="13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localSheetId="6">{#N/A,#N/A,FALSE,"Balance Sheet";#N/A,#N/A,FALSE,"Income Statement";#N/A,#N/A,FALSE,"Changes in Financial Position"}</definedName>
    <definedName name="wrn.AllDataPages." localSheetId="13" hidden="1">{#N/A,#N/A,FALSE,"Balance Sheet";#N/A,#N/A,FALSE,"Income Statement";#N/A,#N/A,FALSE,"Changes in Financial Position"}</definedName>
    <definedName name="wrn.AllDataPages." hidden="1">{#N/A,#N/A,FALSE,"Balance Sheet";#N/A,#N/A,FALSE,"Income Statement";#N/A,#N/A,FALSE,"Changes in Financial Position"}</definedName>
    <definedName name="wrn.AllModels." localSheetId="6">{#N/A,#N/A,FALSE,"AD_Purchase";#N/A,#N/A,FALSE,"Credit";#N/A,#N/A,FALSE,"PF Acquisition";#N/A,#N/A,FALSE,"PF Offering"}</definedName>
    <definedName name="wrn.AllModels." localSheetId="13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nalytic." localSheetId="6">{#N/A,#N/A,FALSE,"Fisons_Sci_Instr";#N/A,#N/A,FALSE,"Fisons_Lab_Supplies";#N/A,#N/A,FALSE,"Nunc";#N/A,#N/A,FALSE,"Sorvall";#N/A,#N/A,FALSE,"Dynatech";#N/A,#N/A,FALSE,"Hach"}</definedName>
    <definedName name="wrn.Analytic." localSheetId="13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_.Recap." localSheetId="6">{"Annual Recap",#N/A,FALSE,"Annual Recap"}</definedName>
    <definedName name="wrn.Annual._.Recap." localSheetId="13" hidden="1">{"Annual Recap",#N/A,FALSE,"Annual Recap"}</definedName>
    <definedName name="wrn.Annual._.Recap." hidden="1">{"Annual Recap",#N/A,FALSE,"Annual Recap"}</definedName>
    <definedName name="wrn.AnnualRentRoll." localSheetId="6">{"AnnualRentRoll",#N/A,FALSE,"RentRoll"}</definedName>
    <definedName name="wrn.AnnualRentRoll." localSheetId="13" hidden="1">{"AnnualRentRoll",#N/A,FALSE,"RentRoll"}</definedName>
    <definedName name="wrn.AnnualRentRoll." hidden="1">{"AnnualRentRoll",#N/A,FALSE,"RentRoll"}</definedName>
    <definedName name="wrn.APRIL." localSheetId="6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1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6">{"AQUIRORDCF",#N/A,FALSE,"Merger consequences";"Acquirorassns",#N/A,FALSE,"Merger consequences"}</definedName>
    <definedName name="wrn.AQUIROR._.DCF." localSheetId="13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umptions." localSheetId="6">{"assumptions1",#N/A,FALSE,"Valuation Analysis";"assumptions2",#N/A,FALSE,"Valuation Analysis"}</definedName>
    <definedName name="wrn.assumptions." localSheetId="13" hidden="1">{"assumptions1",#N/A,FALSE,"Valuation Analysis";"assumptions2",#N/A,FALSE,"Valuation Analysis"}</definedName>
    <definedName name="wrn.assumptions." hidden="1">{"assumptions1",#N/A,FALSE,"Valuation Analysis";"assumptions2",#N/A,FALSE,"Valuation Analysis"}</definedName>
    <definedName name="wrn.Assumptions._.and._.Results." localSheetId="6">{"CV_1",#N/A,TRUE,"Assumptions and Results"}</definedName>
    <definedName name="wrn.Assumptions._.and._.Results." localSheetId="13" hidden="1">{"CV_1",#N/A,TRUE,"Assumptions and Results"}</definedName>
    <definedName name="wrn.Assumptions._.and._.Results." hidden="1">{"CV_1",#N/A,TRUE,"Assumptions and Results"}</definedName>
    <definedName name="wrn.AUGUST." localSheetId="6">{"p&amp;lSUM",#N/A,FALSE,"P&amp;L";"DETAIL",#N/A,FALSE,"P&amp;L";"% revenue",#N/A,FALSE,"P&amp;L";"% growth",#N/A,FALSE,"P&amp;L";"summary",#N/A,FALSE,"Summary";"chart",#N/A,FALSE,"Summary"}</definedName>
    <definedName name="wrn.AUGUST." localSheetId="13" hidden="1">{"p&amp;lSUM",#N/A,FALSE,"P&amp;L";"DETAIL",#N/A,FALSE,"P&amp;L";"% revenue",#N/A,FALSE,"P&amp;L";"% growth",#N/A,FALSE,"P&amp;L";"summary",#N/A,FALSE,"Summary";"chart",#N/A,FALSE,"Summary"}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1" localSheetId="6">{"p&amp;lSUM",#N/A,FALSE,"P&amp;L";"DETAIL",#N/A,FALSE,"P&amp;L";"% revenue",#N/A,FALSE,"P&amp;L";"% growth",#N/A,FALSE,"P&amp;L";"summary",#N/A,FALSE,"Summary";"chart",#N/A,FALSE,"Summary"}</definedName>
    <definedName name="wrn.august1" localSheetId="13" hidden="1">{"p&amp;lSUM",#N/A,FALSE,"P&amp;L";"DETAIL",#N/A,FALSE,"P&amp;L";"% revenue",#N/A,FALSE,"P&amp;L";"% growth",#N/A,FALSE,"P&amp;L";"summary",#N/A,FALSE,"Summary";"chart",#N/A,FALSE,"Summary"}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uto._.Comp." localSheetId="6">{#N/A,#N/A,FALSE,"Sheet1"}</definedName>
    <definedName name="wrn.Auto._.Comp." localSheetId="13" hidden="1">{#N/A,#N/A,FALSE,"Sheet1"}</definedName>
    <definedName name="wrn.Auto._.Comp." hidden="1">{#N/A,#N/A,FALSE,"Sheet1"}</definedName>
    <definedName name="wrn.Auto._.Comp.1" localSheetId="6">{#N/A,#N/A,FALSE,"Sheet1"}</definedName>
    <definedName name="wrn.Auto._.Comp.1" localSheetId="13" hidden="1">{#N/A,#N/A,FALSE,"Sheet1"}</definedName>
    <definedName name="wrn.Auto._.Comp.1" hidden="1">{#N/A,#N/A,FALSE,"Sheet1"}</definedName>
    <definedName name="wrn.Aventis._.Analysis." localSheetId="6">{"P&amp;Lforaventis",#N/A,FALSE,"Franchises";"aventisP&amp;L",#N/A,FALSE,"Franchises";"inflam franchise",#N/A,FALSE,"Franchises"}</definedName>
    <definedName name="wrn.Aventis._.Analysis." localSheetId="13" hidden="1">{"P&amp;Lforaventis",#N/A,FALSE,"Franchises";"aventisP&amp;L",#N/A,FALSE,"Franchises";"inflam franchise",#N/A,FALSE,"Franchises"}</definedName>
    <definedName name="wrn.Aventis._.Analysis." hidden="1">{"P&amp;Lforaventis",#N/A,FALSE,"Franchises";"aventisP&amp;L",#N/A,FALSE,"Franchises";"inflam franchise",#N/A,FALSE,"Franchises"}</definedName>
    <definedName name="wrn.aventis._.analysis.1" localSheetId="6">{"P&amp;Lforaventis",#N/A,FALSE,"Franchises";"aventisP&amp;L",#N/A,FALSE,"Franchises";"inflam franchise",#N/A,FALSE,"Franchises"}</definedName>
    <definedName name="wrn.aventis._.analysis.1" localSheetId="13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away." localSheetId="6">{"away stand alones",#N/A,FALSE,"Target"}</definedName>
    <definedName name="wrn.away." localSheetId="13" hidden="1">{"away stand alones",#N/A,FALSE,"Target"}</definedName>
    <definedName name="wrn.away." hidden="1">{"away stand alones",#N/A,FALSE,"Target"}</definedName>
    <definedName name="wrn.balance._.sheet." localSheetId="6">{"bs",#N/A,FALSE,"SCF"}</definedName>
    <definedName name="wrn.balance._.sheet." localSheetId="13" hidden="1">{"bs",#N/A,FALSE,"SCF"}</definedName>
    <definedName name="wrn.balance._.sheet." hidden="1">{"bs",#N/A,FALSE,"SCF"}</definedName>
    <definedName name="wrn.balance._.sheet2." localSheetId="6">{"bs",#N/A,FALSE,"SCF"}</definedName>
    <definedName name="wrn.balance._.sheet2." localSheetId="13" hidden="1">{"bs",#N/A,FALSE,"SCF"}</definedName>
    <definedName name="wrn.balance._.sheet2." hidden="1">{"bs",#N/A,FALSE,"SCF"}</definedName>
    <definedName name="wrn.balance._.sheet3." localSheetId="6">{"bs",#N/A,FALSE,"SCF"}</definedName>
    <definedName name="wrn.balance._.sheet3." localSheetId="13" hidden="1">{"bs",#N/A,FALSE,"SCF"}</definedName>
    <definedName name="wrn.balance._.sheet3." hidden="1">{"bs",#N/A,FALSE,"SCF"}</definedName>
    <definedName name="wrn.balance._.sheet4." localSheetId="6">{"bs",#N/A,FALSE,"SCF"}</definedName>
    <definedName name="wrn.balance._.sheet4." localSheetId="13" hidden="1">{"bs",#N/A,FALSE,"SCF"}</definedName>
    <definedName name="wrn.balance._.sheet4." hidden="1">{"bs",#N/A,FALSE,"SCF"}</definedName>
    <definedName name="wrn.balance._sheet2." localSheetId="6">{"bs",#N/A,FALSE,"SCF"}</definedName>
    <definedName name="wrn.balance._sheet2." localSheetId="13" hidden="1">{"bs",#N/A,FALSE,"SCF"}</definedName>
    <definedName name="wrn.balance._sheet2." hidden="1">{"bs",#N/A,FALSE,"SCF"}</definedName>
    <definedName name="wrn.Bank._.Report." localSheetId="6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localSheetId="13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6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localSheetId="13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6">{#N/A,#N/A,FALSE,"New Depr Sch-150% DB";#N/A,#N/A,FALSE,"Cash Flows RLP";#N/A,#N/A,FALSE,"IRR";#N/A,#N/A,FALSE,"Proforma IS";#N/A,#N/A,FALSE,"Assumptions"}</definedName>
    <definedName name="wrn.Basic._.Report." localSheetId="13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s." localSheetId="6">{#N/A,#N/A,FALSE,"TSUM";#N/A,#N/A,FALSE,"shares";#N/A,#N/A,FALSE,"earnout";#N/A,#N/A,FALSE,"Heaty";#N/A,#N/A,FALSE,"self-tend";#N/A,#N/A,FALSE,"self-sum"}</definedName>
    <definedName name="wrn.basics." localSheetId="13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BCert." localSheetId="6">{#N/A,#N/A,FALSE,"BBCert";#N/A,#N/A,FALSE,"Ineligible Summ";#N/A,#N/A,FALSE,"Ineligible Detail"}</definedName>
    <definedName name="wrn.BBCert." localSheetId="13" hidden="1">{#N/A,#N/A,FALSE,"BBCert";#N/A,#N/A,FALSE,"Ineligible Summ";#N/A,#N/A,FALSE,"Ineligible Detail"}</definedName>
    <definedName name="wrn.BBCert." hidden="1">{#N/A,#N/A,FALSE,"BBCert";#N/A,#N/A,FALSE,"Ineligible Summ";#N/A,#N/A,FALSE,"Ineligible Detail"}</definedName>
    <definedName name="wrn.BidCo." localSheetId="6">{#N/A,#N/A,FALSE,"BidCo Assumptions";#N/A,#N/A,FALSE,"Credit Stats";#N/A,#N/A,FALSE,"Bidco Summary";#N/A,#N/A,FALSE,"BIDCO Consolidated"}</definedName>
    <definedName name="wrn.BidCo." localSheetId="13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rian." localSheetId="6">{#N/A,#N/A,FALSE,"output";#N/A,#N/A,FALSE,"contrib";#N/A,#N/A,FALSE,"profile";#N/A,#N/A,FALSE,"comps"}</definedName>
    <definedName name="wrn.brian." localSheetId="13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S_consol._.bs._.and._.detail." localSheetId="6">{"bs",#N/A,FALSE,"BS-Consol";"bs detail",#N/A,FALSE,"BS-Consol"}</definedName>
    <definedName name="wrn.BS_consol._.bs._.and._.detail." localSheetId="13" hidden="1">{"bs",#N/A,FALSE,"BS-Consol";"bs detail",#N/A,FALSE,"BS-Consol"}</definedName>
    <definedName name="wrn.BS_consol._.bs._.and._.detail." hidden="1">{"bs",#N/A,FALSE,"BS-Consol";"bs detail",#N/A,FALSE,"BS-Consol"}</definedName>
    <definedName name="wrn.BSAnnualModel." localSheetId="6">{"BSAnnualModel",#N/A,FALSE,"BS"}</definedName>
    <definedName name="wrn.BSAnnualModel." localSheetId="13" hidden="1">{"BSAnnualModel",#N/A,FALSE,"BS"}</definedName>
    <definedName name="wrn.BSAnnualModel." hidden="1">{"BSAnnualModel",#N/A,FALSE,"BS"}</definedName>
    <definedName name="wrn.bsireslt." localSheetId="6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sireslt." localSheetId="13" hidden="1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sireslt." hidden="1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udget." localSheetId="6">{#N/A,#N/A,FALSE,"QSum";#N/A,#N/A,FALSE,"1Q";#N/A,#N/A,FALSE,"2Q";#N/A,#N/A,FALSE,"3Q";#N/A,#N/A,FALSE,"4Q";#N/A,#N/A,FALSE,"Mthly";#N/A,#N/A,FALSE,"Cur.vs.Prior"}</definedName>
    <definedName name="wrn.Budget." localSheetId="13" hidden="1">{#N/A,#N/A,FALSE,"QSum";#N/A,#N/A,FALSE,"1Q";#N/A,#N/A,FALSE,"2Q";#N/A,#N/A,FALSE,"3Q";#N/A,#N/A,FALSE,"4Q";#N/A,#N/A,FALSE,"Mthly";#N/A,#N/A,FALSE,"Cur.vs.Prior"}</definedName>
    <definedName name="wrn.Budget." hidden="1">{#N/A,#N/A,FALSE,"QSum";#N/A,#N/A,FALSE,"1Q";#N/A,#N/A,FALSE,"2Q";#N/A,#N/A,FALSE,"3Q";#N/A,#N/A,FALSE,"4Q";#N/A,#N/A,FALSE,"Mthly";#N/A,#N/A,FALSE,"Cur.vs.Prior"}</definedName>
    <definedName name="wrn.Budget._.Detail." localSheetId="6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localSheetId="13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ildups." localSheetId="6">{"ACQ",#N/A,FALSE,"ACQUISITIONS";"ACQF",#N/A,FALSE,"ACQUISITIONS";"PF",#N/A,FALSE,"PROYECTOVILA";"PV",#N/A,FALSE,"PROYECTOVILA";"Fee Dev",#N/A,FALSE,"DEVELOPMENT GROWTH";"gd",#N/A,FALSE,"DEVELOPMENT GROWTH"}</definedName>
    <definedName name="wrn.Buildups." localSheetId="13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localSheetId="6">{#N/A,#N/A,FALSE,"Sheet1";#N/A,#N/A,FALSE,"Summary";#N/A,#N/A,FALSE,"proj1";#N/A,#N/A,FALSE,"proj2"}</definedName>
    <definedName name="wrn.bullshit1." localSheetId="13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" localSheetId="6">{"p&amp;lSUM",#N/A,FALSE,"P&amp;L";"DETAIL",#N/A,FALSE,"P&amp;L";"% revenue",#N/A,FALSE,"P&amp;L";"% growth",#N/A,FALSE,"P&amp;L";"summary",#N/A,FALSE,"Summary";"chart",#N/A,FALSE,"Summary"}</definedName>
    <definedName name="wrn.c" localSheetId="13" hidden="1">{"p&amp;lSUM",#N/A,FALSE,"P&amp;L";"DETAIL",#N/A,FALSE,"P&amp;L";"% revenue",#N/A,FALSE,"P&amp;L";"% growth",#N/A,FALSE,"P&amp;L";"summary",#N/A,FALSE,"Summary";"chart",#N/A,FALSE,"Summary"}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_D_E_O_workpapers." localSheetId="6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" localSheetId="13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PITAL._.LEASES." localSheetId="6">{#N/A,#N/A,FALSE,"NN-1 Capital Leases"}</definedName>
    <definedName name="wrn.CAPITAL._.LEASES." localSheetId="13" hidden="1">{#N/A,#N/A,FALSE,"NN-1 Capital Leases"}</definedName>
    <definedName name="wrn.CAPITAL._.LEASES." hidden="1">{#N/A,#N/A,FALSE,"NN-1 Capital Leases"}</definedName>
    <definedName name="wrn.CASH." localSheetId="6">{#N/A,#N/A,FALSE,"A-1 Bank Reconcilation";#N/A,#N/A,FALSE,"A-2 Outstanding Checks";#N/A,#N/A,FALSE,"A-3 Savings Accounts";#N/A,#N/A,FALSE,"A-4 Certificates of Deposit";#N/A,#N/A,FALSE,"A-5 Bank Transfer Schedule"}</definedName>
    <definedName name="wrn.CASH." localSheetId="13" hidden="1">{#N/A,#N/A,FALSE,"A-1 Bank Reconcilation";#N/A,#N/A,FALSE,"A-2 Outstanding Checks";#N/A,#N/A,FALSE,"A-3 Savings Accounts";#N/A,#N/A,FALSE,"A-4 Certificates of Deposit";#N/A,#N/A,FALSE,"A-5 Bank Transfer Schedule"}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localSheetId="6">{"investments",#N/A,FALSE,"CYTD CF Oct";"invest month",#N/A,FALSE,"CYTD CF Oct";"scf",#N/A,FALSE,"CYTD CF Oct";"direct method",#N/A,FALSE,"CYTD CF Oct";"indirect",#N/A,FALSE,"CYTD CF Oct"}</definedName>
    <definedName name="wrn.cash._.flow." localSheetId="13" hidden="1">{"investments",#N/A,FALSE,"CYTD CF Oct";"invest month",#N/A,FALSE,"CYTD CF Oct";"scf",#N/A,FALSE,"CYTD CF Oct";"direct method",#N/A,FALSE,"CYTD CF Oct";"indirect",#N/A,FALSE,"CYTD CF Oct"}</definedName>
    <definedName name="wrn.cash._.flow." hidden="1">{"investments",#N/A,FALSE,"CYTD CF Oct";"invest month",#N/A,FALSE,"CYTD CF Oct";"scf",#N/A,FALSE,"CYTD CF Oct";"direct method",#N/A,FALSE,"CYTD CF Oct";"indirect",#N/A,FALSE,"CYTD CF Oct"}</definedName>
    <definedName name="wrn.cash._.flow._.nov." localSheetId="6">{"scf",#N/A,TRUE,"CYTD CF Nov";"direct method",#N/A,TRUE,"CYTD CF Nov";"investments",#N/A,TRUE,"CYTD CF Nov";"indirect",#N/A,TRUE,"CYTD CF Nov"}</definedName>
    <definedName name="wrn.cash._.flow._.nov." localSheetId="13" hidden="1">{"scf",#N/A,TRUE,"CYTD CF Nov";"direct method",#N/A,TRUE,"CYTD CF Nov";"investments",#N/A,TRUE,"CYTD CF Nov";"indirect",#N/A,TRUE,"CYTD CF Nov"}</definedName>
    <definedName name="wrn.cash._.flow._.nov." hidden="1">{"scf",#N/A,TRUE,"CYTD CF Nov";"direct method",#N/A,TRUE,"CYTD CF Nov";"investments",#N/A,TRUE,"CYTD CF Nov";"indirect",#N/A,TRUE,"CYTD CF Nov"}</definedName>
    <definedName name="wrn.cash._.flow._.Oct." localSheetId="6">{"indirect",#N/A,FALSE,"CYTD CF Oct";"direct method",#N/A,FALSE,"CYTD CF Oct";"scf",#N/A,FALSE,"CYTD CF Oct";"investments",#N/A,FALSE,"CYTD CF Oct";"invest month",#N/A,FALSE,"CYTD CF Oct"}</definedName>
    <definedName name="wrn.cash._.flow._.Oct." localSheetId="13" hidden="1">{"indirect",#N/A,FALSE,"CYTD CF Oct";"direct method",#N/A,FALSE,"CYTD CF Oct";"scf",#N/A,FALSE,"CYTD CF Oct";"investments",#N/A,FALSE,"CYTD CF Oct";"invest month",#N/A,FALSE,"CYTD CF Oct"}</definedName>
    <definedName name="wrn.cash._.flow._.Oct." hidden="1">{"indirect",#N/A,FALSE,"CYTD CF Oct";"direct method",#N/A,FALSE,"CYTD CF Oct";"scf",#N/A,FALSE,"CYTD CF Oct";"investments",#N/A,FALSE,"CYTD CF Oct";"invest month",#N/A,FALSE,"CYTD CF Oct"}</definedName>
    <definedName name="wrn.cash.huh" localSheetId="6">{"investments",#N/A,FALSE,"CYTD CF Oct";"invest month",#N/A,FALSE,"CYTD CF Oct";"scf",#N/A,FALSE,"CYTD CF Oct";"direct method",#N/A,FALSE,"CYTD CF Oct";"indirect",#N/A,FALSE,"CYTD CF Oct"}</definedName>
    <definedName name="wrn.cash.huh" localSheetId="13" hidden="1">{"investments",#N/A,FALSE,"CYTD CF Oct";"invest month",#N/A,FALSE,"CYTD CF Oct";"scf",#N/A,FALSE,"CYTD CF Oct";"direct method",#N/A,FALSE,"CYTD CF Oct";"indirect",#N/A,FALSE,"CYTD CF Oct"}</definedName>
    <definedName name="wrn.cash.huh" hidden="1">{"investments",#N/A,FALSE,"CYTD CF Oct";"invest month",#N/A,FALSE,"CYTD CF Oct";"scf",#N/A,FALSE,"CYTD CF Oct";"direct method",#N/A,FALSE,"CYTD CF Oct";"indirect",#N/A,FALSE,"CYTD CF Oct"}</definedName>
    <definedName name="wrn.CashFlow." localSheetId="6">{"CashFlow",#N/A,FALSE,"cashflw"}</definedName>
    <definedName name="wrn.CashFlow." localSheetId="13" hidden="1">{"CashFlow",#N/A,FALSE,"cashflw"}</definedName>
    <definedName name="wrn.CashFlow." hidden="1">{"CashFlow",#N/A,FALSE,"cashflw"}</definedName>
    <definedName name="wrn.cashflow._.Dec." localSheetId="6">{"investments",#N/A,FALSE,"CY Invmt Dec99";"scf",#N/A,FALSE,"CY Invmt Dec99";"direct method",#N/A,FALSE,"CY Invmt Dec99";"indirect",#N/A,FALSE,"CY Invmt Dec99"}</definedName>
    <definedName name="wrn.cashflow._.Dec." localSheetId="13" hidden="1">{"investments",#N/A,FALSE,"CY Invmt Dec99";"scf",#N/A,FALSE,"CY Invmt Dec99";"direct method",#N/A,FALSE,"CY Invmt Dec99";"indirect",#N/A,FALSE,"CY Invmt Dec99"}</definedName>
    <definedName name="wrn.cashflow._.Dec." hidden="1">{"investments",#N/A,FALSE,"CY Invmt Dec99";"scf",#N/A,FALSE,"CY Invmt Dec99";"direct method",#N/A,FALSE,"CY Invmt Dec99";"indirect",#N/A,FALSE,"CY Invmt Dec99"}</definedName>
    <definedName name="wrn.cashflow._.mar2000." localSheetId="6">{"investments",#N/A,FALSE,"CY CF Mar00";"scf",#N/A,FALSE,"CY CF Mar00";"direct method",#N/A,FALSE,"CY CF Mar00";"indirect",#N/A,FALSE,"CY CF Mar00"}</definedName>
    <definedName name="wrn.cashflow._.mar2000." localSheetId="13" hidden="1">{"investments",#N/A,FALSE,"CY CF Mar00";"scf",#N/A,FALSE,"CY CF Mar00";"direct method",#N/A,FALSE,"CY CF Mar00";"indirect",#N/A,FALSE,"CY CF Mar00"}</definedName>
    <definedName name="wrn.cashflow._.mar2000." hidden="1">{"investments",#N/A,FALSE,"CY CF Mar00";"scf",#N/A,FALSE,"CY CF Mar00";"direct method",#N/A,FALSE,"CY CF Mar00";"indirect",#N/A,FALSE,"CY CF Mar00"}</definedName>
    <definedName name="wrn.Central." localSheetId="6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entral." localSheetId="13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entral.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FSModel." localSheetId="6">{"CFSModel",#N/A,FALSE,"CFS"}</definedName>
    <definedName name="wrn.CFSModel." localSheetId="13" hidden="1">{"CFSModel",#N/A,FALSE,"CFS"}</definedName>
    <definedName name="wrn.CFSModel." hidden="1">{"CFSModel",#N/A,FALSE,"CFS"}</definedName>
    <definedName name="wrn.Charts." localSheetId="6">{"Revenue chart",#N/A,FALSE,"Charts";"ExpenseChart",#N/A,FALSE,"Charts";"Netincomechart",#N/A,FALSE,"Charts"}</definedName>
    <definedName name="wrn.Charts." localSheetId="13" hidden="1">{"Revenue chart",#N/A,FALSE,"Charts";"ExpenseChart",#N/A,FALSE,"Charts";"Netincomechart",#N/A,FALSE,"Charts"}</definedName>
    <definedName name="wrn.Charts." hidden="1">{"Revenue chart",#N/A,FALSE,"Charts";"ExpenseChart",#N/A,FALSE,"Charts";"Netincomechart",#N/A,FALSE,"Charts"}</definedName>
    <definedName name="wrn.Chuckie._.Boyz._.Masterfukinpiece." localSheetId="6">{#N/A,#N/A,FALSE,"Networking";#N/A,#N/A,FALSE,"Net. Graphs";#N/A,#N/A,FALSE,"Services";#N/A,#N/A,FALSE,"Serv. Grpahs"}</definedName>
    <definedName name="wrn.Chuckie._.Boyz._.Masterfukinpiece." localSheetId="13" hidden="1">{#N/A,#N/A,FALSE,"Networking";#N/A,#N/A,FALSE,"Net. Graphs";#N/A,#N/A,FALSE,"Services";#N/A,#N/A,FALSE,"Serv. Grpahs"}</definedName>
    <definedName name="wrn.Chuckie._.Boyz._.Masterfukinpiece." hidden="1">{#N/A,#N/A,FALSE,"Networking";#N/A,#N/A,FALSE,"Net. Graphs";#N/A,#N/A,FALSE,"Services";#N/A,#N/A,FALSE,"Serv. Grpahs"}</definedName>
    <definedName name="wrn.clientcopy." localSheetId="6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6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1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6">{#N/A,#N/A,FALSE,"INPUTS";#N/A,#N/A,FALSE,"PROFORMA BSHEET";#N/A,#N/A,FALSE,"COMBINED";#N/A,#N/A,FALSE,"HIGH YIELD";#N/A,#N/A,FALSE,"COMB_GRAPHS"}</definedName>
    <definedName name="wrn.COMBINED." localSheetId="13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6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1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6">{#N/A,#N/A,FALSE,"Combo-Ass ";#N/A,#N/A,FALSE,"Combo-IS";#N/A,#N/A,FALSE,"Combo-BS";#N/A,#N/A,FALSE,"Combo-CF"}</definedName>
    <definedName name="wrn.ComboState." localSheetId="13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pco." localSheetId="6">{"mult96",#N/A,FALSE,"PETCOMP";"est96",#N/A,FALSE,"PETCOMP";"mult95",#N/A,FALSE,"PETCOMP";"est95",#N/A,FALSE,"PETCOMP";"multltm",#N/A,FALSE,"PETCOMP";"resultltm",#N/A,FALSE,"PETCOMP"}</definedName>
    <definedName name="wrn.compco." localSheetId="13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6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6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localSheetId="13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localSheetId="6">{#N/A,#N/A,FALSE,"Assumptions";#N/A,#N/A,FALSE,"Proforma IS";#N/A,#N/A,FALSE,"Cash Flows RLP";#N/A,#N/A,FALSE,"IRR";#N/A,#N/A,FALSE,"New Depr Sch-150% DB";#N/A,#N/A,FALSE,"Comments"}</definedName>
    <definedName name="wrn.Complete._.Report." localSheetId="13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localSheetId="6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6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localSheetId="6">{"comps",#N/A,FALSE,"comps";"notes",#N/A,FALSE,"comps"}</definedName>
    <definedName name="wrn.comps." localSheetId="13" hidden="1">{"comps",#N/A,FALSE,"comps";"notes",#N/A,FALSE,"comps"}</definedName>
    <definedName name="wrn.comps." hidden="1">{"comps",#N/A,FALSE,"comps";"notes",#N/A,FALSE,"comps"}</definedName>
    <definedName name="wrn.Consol._.FS." localSheetId="6">{#N/A,#N/A,FALSE,"BalSheet 0899";#N/A,#N/A,FALSE,"ytdpl899";#N/A,#N/A,FALSE,"Aug PL";#N/A,#N/A,FALSE,"Minority Int";#N/A,#N/A,FALSE,"Equity Roll Forward";#N/A,#N/A,FALSE,"Book Equity Test"}</definedName>
    <definedName name="wrn.Consol._.FS." localSheetId="13" hidden="1">{#N/A,#N/A,FALSE,"BalSheet 0899";#N/A,#N/A,FALSE,"ytdpl899";#N/A,#N/A,FALSE,"Aug PL";#N/A,#N/A,FALSE,"Minority Int";#N/A,#N/A,FALSE,"Equity Roll Forward";#N/A,#N/A,FALSE,"Book Equity Test"}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ing." localSheetId="6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 localSheetId="13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TRACT._.WIP._.1997." localSheetId="6">{#N/A,#N/A,FALSE,"A"}</definedName>
    <definedName name="wrn.CONTRACT._.WIP._.1997." localSheetId="13" hidden="1">{#N/A,#N/A,FALSE,"A"}</definedName>
    <definedName name="wrn.CONTRACT._.WIP._.1997." hidden="1">{#N/A,#N/A,FALSE,"A"}</definedName>
    <definedName name="wrn.contributory._.asset._.charges." localSheetId="6">{"contributory1",#N/A,FALSE,"Contributory Assets Detail";"contributory2",#N/A,FALSE,"Contributory Assets Detail"}</definedName>
    <definedName name="wrn.contributory._.asset._.charges." localSheetId="13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6">{#N/A,#N/A,TRUE,"Pro Forma";#N/A,#N/A,TRUE,"PF_Bal";#N/A,#N/A,TRUE,"PF_INC";#N/A,#N/A,TRUE,"CBE";#N/A,#N/A,TRUE,"SWK"}</definedName>
    <definedName name="wrn.cooper." localSheetId="13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sts." localSheetId="6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sts." localSheetId="13" hidden="1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sts." hidden="1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top." localSheetId="6">{"ReportTop",#N/A,FALSE,"report top"}</definedName>
    <definedName name="wrn.cotop." localSheetId="13" hidden="1">{"ReportTop",#N/A,FALSE,"report top"}</definedName>
    <definedName name="wrn.cotop." hidden="1">{"ReportTop",#N/A,FALSE,"report top"}</definedName>
    <definedName name="wrn.Credit." localSheetId="6">{"Total Credit",#N/A,FALSE,"Credit";"Appraisal",#N/A,FALSE,"Credit";"Customer Service",#N/A,FALSE,"Credit";"Home Office",#N/A,FALSE,"Credit";"Quality Control",#N/A,FALSE,"Credit";"Risk Mgmt",#N/A,FALSE,"Credit"}</definedName>
    <definedName name="wrn.Credit." localSheetId="13" hidden="1">{"Total Credit",#N/A,FALSE,"Credit";"Appraisal",#N/A,FALSE,"Credit";"Customer Service",#N/A,FALSE,"Credit";"Home Office",#N/A,FALSE,"Credit";"Quality Control",#N/A,FALSE,"Credit";"Risk Mgmt",#N/A,FALSE,"Credit"}</definedName>
    <definedName name="wrn.Credit." hidden="1">{"Total Credit",#N/A,FALSE,"Credit";"Appraisal",#N/A,FALSE,"Credit";"Customer Service",#N/A,FALSE,"Credit";"Home Office",#N/A,FALSE,"Credit";"Quality Control",#N/A,FALSE,"Credit";"Risk Mgmt",#N/A,FALSE,"Credit"}</definedName>
    <definedName name="wrn.crom._.4cast." localSheetId="6">{#N/A,#N/A,TRUE,"TOTAL Roll-up";#N/A,#N/A,TRUE,"Launch timing assumptions"}</definedName>
    <definedName name="wrn.crom._.4cast." localSheetId="13" hidden="1">{#N/A,#N/A,TRUE,"TOTAL Roll-up";#N/A,#N/A,TRUE,"Launch timing assumptions"}</definedName>
    <definedName name="wrn.crom._.4cast." hidden="1">{#N/A,#N/A,TRUE,"TOTAL Roll-up";#N/A,#N/A,TRUE,"Launch timing assumptions"}</definedName>
    <definedName name="wrn.croma._.forecast." localSheetId="6">{#N/A,#N/A,TRUE,"TOTAL Roll-up";#N/A,#N/A,TRUE,"Launch timing assumptions"}</definedName>
    <definedName name="wrn.croma._.forecast." localSheetId="13" hidden="1">{#N/A,#N/A,TRUE,"TOTAL Roll-up";#N/A,#N/A,TRUE,"Launch timing assumptions"}</definedName>
    <definedName name="wrn.croma._.forecast." hidden="1">{#N/A,#N/A,TRUE,"TOTAL Roll-up";#N/A,#N/A,TRUE,"Launch timing assumptions"}</definedName>
    <definedName name="wrn.Current._.View." localSheetId="6">{#N/A,#N/A,FALSE,"ACCS-XXX.XLS";#N/A,#N/A,FALSE,"ACCS-ADJ.XLS";#N/A,#N/A,FALSE,"ACCS-COR.XLS";#N/A,#N/A,FALSE,"LEGL-ACX.XLS";#N/A,#N/A,FALSE,"JNTV-PHX.XLS"}</definedName>
    <definedName name="wrn.Current._.View." localSheetId="13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CUTS." localSheetId="6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 localSheetId="13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CF." localSheetId="6">{"DCF1",#N/A,FALSE,"SIERRA DCF";"MATRIX1",#N/A,FALSE,"SIERRA DCF"}</definedName>
    <definedName name="wrn.DCF." localSheetId="13" hidden="1">{"DCF1",#N/A,FALSE,"SIERRA DCF";"MATRIX1",#N/A,FALSE,"SIERRA DCF"}</definedName>
    <definedName name="wrn.DCF." hidden="1">{"DCF1",#N/A,FALSE,"SIERRA DCF";"MATRIX1",#N/A,FALSE,"SIERRA DCF"}</definedName>
    <definedName name="wrn.dcf._.backup." localSheetId="6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" localSheetId="13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Valuation." localSheetId="6">{"value box",#N/A,TRUE,"DPL Inc. Fin Statements";"unlevered free cash flows",#N/A,TRUE,"DPL Inc. Fin Statements"}</definedName>
    <definedName name="wrn.DCF._.Valuation." localSheetId="13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_Terminal_Value_qchm." localSheetId="6">{"qchm_dcf",#N/A,FALSE,"QCHMDCF2";"qchm_terminal",#N/A,FALSE,"QCHMDCF2"}</definedName>
    <definedName name="wrn.DCF_Terminal_Value_qchm." localSheetId="13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Epervier." localSheetId="6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 localSheetId="6">{"BSDEB",#N/A,FALSE,"Jun 98";"ISDEB",#N/A,FALSE,"Jun 98";"CFDEB",#N/A,FALSE,"Jun 98";"WP1DEB",#N/A,FALSE,"Jun 98";"WP2DEB",#N/A,FALSE,"Jun 98";"WP3EB",#N/A,FALSE,"Jun 98";"EQUITYDEB",#N/A,FALSE,"Jun 98"}</definedName>
    <definedName name="wrn.DEB." localSheetId="13" hidden="1">{"BSDEB",#N/A,FALSE,"Jun 98";"ISDEB",#N/A,FALSE,"Jun 98";"CFDEB",#N/A,FALSE,"Jun 98";"WP1DEB",#N/A,FALSE,"Jun 98";"WP2DEB",#N/A,FALSE,"Jun 98";"WP3EB",#N/A,FALSE,"Jun 98";"EQUITYDEB",#N/A,FALSE,"Jun 98"}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localSheetId="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._.Schedules." localSheetId="13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lchamps." localSheetId="6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_All." localSheetId="6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All." localSheetId="13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vdeal." localSheetId="6">{"top",#N/A,TRUE,"Detail";"next",#N/A,TRUE,"Detail";"then",#N/A,TRUE,"Detail";"and",#N/A,TRUE,"Detail";"inaddition",#N/A,TRUE,"Detail";"finally",#N/A,TRUE,"Detail"}</definedName>
    <definedName name="wrn.devdeal." localSheetId="13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Hours." localSheetId="6">{#N/A,#N/A,FALSE,"July 95";#N/A,#N/A,FALSE,"Aug 95";#N/A,#N/A,FALSE,"Sep 95";#N/A,#N/A,FALSE,"October 95"}</definedName>
    <definedName name="wrn.Development._.Hours." localSheetId="13" hidden="1">{#N/A,#N/A,FALSE,"July 95";#N/A,#N/A,FALSE,"Aug 95";#N/A,#N/A,FALSE,"Sep 95";#N/A,#N/A,FALSE,"October 95"}</definedName>
    <definedName name="wrn.Development._.Hours." hidden="1">{#N/A,#N/A,FALSE,"July 95";#N/A,#N/A,FALSE,"Aug 95";#N/A,#N/A,FALSE,"Sep 95";#N/A,#N/A,FALSE,"October 95"}</definedName>
    <definedName name="wrn.dil_anal." localSheetId="6">{"hiden",#N/A,FALSE,"14";"hidden",#N/A,FALSE,"16";"hidden",#N/A,FALSE,"18";"hidden",#N/A,FALSE,"20"}</definedName>
    <definedName name="wrn.dil_anal." localSheetId="13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l_anal.1" localSheetId="6">{"hiden",#N/A,FALSE,"14";"hidden",#N/A,FALSE,"16";"hidden",#N/A,FALSE,"18";"hidden",#N/A,FALSE,"20"}</definedName>
    <definedName name="wrn.dil_anal.1" localSheetId="13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r." localSheetId="6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13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ocument." localSheetId="6">{"consolidated",#N/A,FALSE,"Sheet1";"cms",#N/A,FALSE,"Sheet1";"fse",#N/A,FALSE,"Sheet1"}</definedName>
    <definedName name="wrn.document." localSheetId="13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.1" localSheetId="6">{"comp",#N/A,FALSE,"SPEC";"footnotes",#N/A,FALSE,"SPEC"}</definedName>
    <definedName name="wrn.document.1" localSheetId="13" hidden="1">{"comp",#N/A,FALSE,"SPEC";"footnotes",#N/A,FALSE,"SPEC"}</definedName>
    <definedName name="wrn.document.1" hidden="1">{"comp",#N/A,FALSE,"SPEC";"footnotes",#N/A,FALSE,"SPEC"}</definedName>
    <definedName name="wrn.documentaero." localSheetId="6">{"comps2",#N/A,FALSE,"AERO";"footnotes",#N/A,FALSE,"AERO"}</definedName>
    <definedName name="wrn.documentaero." localSheetId="13" hidden="1">{"comps2",#N/A,FALSE,"AERO";"footnotes",#N/A,FALSE,"AERO"}</definedName>
    <definedName name="wrn.documentaero." hidden="1">{"comps2",#N/A,FALSE,"AERO";"footnotes",#N/A,FALSE,"AERO"}</definedName>
    <definedName name="wrn.documentaero.1" localSheetId="6">{"comps2",#N/A,FALSE,"AERO";"footnotes",#N/A,FALSE,"AERO"}</definedName>
    <definedName name="wrn.documentaero.1" localSheetId="13" hidden="1">{"comps2",#N/A,FALSE,"AERO";"footnotes",#N/A,FALSE,"AERO"}</definedName>
    <definedName name="wrn.documentaero.1" hidden="1">{"comps2",#N/A,FALSE,"AERO";"footnotes",#N/A,FALSE,"AERO"}</definedName>
    <definedName name="wrn.documentation." localSheetId="6">{"documentation1",#N/A,FALSE,"Documentation";"documentation2",#N/A,FALSE,"Documentation"}</definedName>
    <definedName name="wrn.documentation." localSheetId="13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hand." localSheetId="6">{"comps",#N/A,FALSE,"HANDPACK";"footnotes",#N/A,FALSE,"HANDPACK"}</definedName>
    <definedName name="wrn.documenthand." localSheetId="13" hidden="1">{"comps",#N/A,FALSE,"HANDPACK";"footnotes",#N/A,FALSE,"HANDPACK"}</definedName>
    <definedName name="wrn.documenthand." hidden="1">{"comps",#N/A,FALSE,"HANDPACK";"footnotes",#N/A,FALSE,"HANDPACK"}</definedName>
    <definedName name="wrn.documenthand.1" localSheetId="6">{"comps",#N/A,FALSE,"HANDPACK";"footnotes",#N/A,FALSE,"HANDPACK"}</definedName>
    <definedName name="wrn.documenthand.1" localSheetId="13" hidden="1">{"comps",#N/A,FALSE,"HANDPACK";"footnotes",#N/A,FALSE,"HANDPACK"}</definedName>
    <definedName name="wrn.documenthand.1" hidden="1">{"comps",#N/A,FALSE,"HANDPACK";"footnotes",#N/A,FALSE,"HANDPACK"}</definedName>
    <definedName name="wrn.DPI._.Summary." localSheetId="6">{#N/A,#N/A,TRUE,"Summary";#N/A,#N/A,TRUE,"Financials"}</definedName>
    <definedName name="wrn.DPI._.Summary." localSheetId="13" hidden="1">{#N/A,#N/A,TRUE,"Summary";#N/A,#N/A,TRUE,"Financials"}</definedName>
    <definedName name="wrn.DPI._.Summary." hidden="1">{#N/A,#N/A,TRUE,"Summary";#N/A,#N/A,TRUE,"Financials"}</definedName>
    <definedName name="wrn.Draft." localSheetId="6">{"Draft",#N/A,FALSE,"Feb-96"}</definedName>
    <definedName name="wrn.Draft." localSheetId="13" hidden="1">{"Draft",#N/A,FALSE,"Feb-96"}</definedName>
    <definedName name="wrn.Draft." hidden="1">{"Draft",#N/A,FALSE,"Feb-96"}</definedName>
    <definedName name="wrn.EAC._.Reports." localSheetId="6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 localSheetId="1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rnings._.Model." localSheetId="6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localSheetId="6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ast." localSheetId="13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ast.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bitda." localSheetId="6">{#N/A,#N/A,FALSE,"2003_Input - P&amp;L"}</definedName>
    <definedName name="wrn.ebitda." localSheetId="13" hidden="1">{#N/A,#N/A,FALSE,"2003_Input - P&amp;L"}</definedName>
    <definedName name="wrn.ebitda." hidden="1">{#N/A,#N/A,FALSE,"2003_Input - P&amp;L"}</definedName>
    <definedName name="wrn.ebitda2" localSheetId="6">{#N/A,#N/A,FALSE,"2003_Input - P&amp;L"}</definedName>
    <definedName name="wrn.ebitda2" localSheetId="13" hidden="1">{#N/A,#N/A,FALSE,"2003_Input - P&amp;L"}</definedName>
    <definedName name="wrn.ebitda2" hidden="1">{#N/A,#N/A,FALSE,"2003_Input - P&amp;L"}</definedName>
    <definedName name="wrn.Economic._.Value._.Added._.Analysis." localSheetId="6">{"EVA",#N/A,FALSE,"EVA";"WACC",#N/A,FALSE,"WACC"}</definedName>
    <definedName name="wrn.Economic._.Value._.Added._.Analysis." localSheetId="13" hidden="1">{"EVA",#N/A,FALSE,"EVA";"WACC",#N/A,FALSE,"WACC"}</definedName>
    <definedName name="wrn.Economic._.Value._.Added._.Analysis." hidden="1">{"EVA",#N/A,FALSE,"EVA";"WACC",#N/A,FALSE,"WACC"}</definedName>
    <definedName name="wrn.Entire._.Model." localSheetId="6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localSheetId="1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quity._.comps." localSheetId="6">{"equity comps",#N/A,FALSE,"CS Comps";"equity comps",#N/A,FALSE,"PS Comps";"equity comps",#N/A,FALSE,"GIC_Comps";"equity comps",#N/A,FALSE,"GIC2_Comps"}</definedName>
    <definedName name="wrn.equity._.comps." localSheetId="13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localSheetId="6">{"equity comps",#N/A,FALSE,"CS Comps";"equity comps",#N/A,FALSE,"PS Comps";"equity comps",#N/A,FALSE,"GIC_Comps";"equity comps",#N/A,FALSE,"GIC2_Comps"}</definedName>
    <definedName name="wrn.equity._.comps.1" localSheetId="13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verything." localSheetId="6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HIBITS." localSheetId="6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1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AndSalesAssumptions." localSheetId="6">{#N/A,#N/A,FALSE,"ExitStratigy"}</definedName>
    <definedName name="wrn.ExitAndSalesAssumptions." localSheetId="13" hidden="1">{#N/A,#N/A,FALSE,"ExitStratigy"}</definedName>
    <definedName name="wrn.ExitAndSalesAssumptions." hidden="1">{#N/A,#N/A,FALSE,"ExitStratigy"}</definedName>
    <definedName name="wrn.EXPENSES." localSheetId="6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13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acilities." localSheetId="6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ilities." localSheetId="13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ilities.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turation." localSheetId="6">{"Factures - projets en cours",#N/A,FALSE,"Juin 99";"Factures -DVMD",#N/A,FALSE,"Juin 99";"Factures - projets terminés",#N/A,FALSE,"Juin 99"}</definedName>
    <definedName name="wrn.Facturation." localSheetId="13" hidden="1">{"Factures - projets en cours",#N/A,FALSE,"Juin 99";"Factures -DVMD",#N/A,FALSE,"Juin 99";"Factures - projets terminés",#N/A,FALSE,"Juin 99"}</definedName>
    <definedName name="wrn.Facturation." hidden="1">{"Factures - projets en cours",#N/A,FALSE,"Juin 99";"Factures -DVMD",#N/A,FALSE,"Juin 99";"Factures - projets terminés",#N/A,FALSE,"Juin 99"}</definedName>
    <definedName name="wrn.Falcons._.Divisions." localSheetId="6">{#N/A,#N/A,TRUE,"Fiber_Optic_Cable_Input ";#N/A,#N/A,TRUE,"Specialty_Fiber_Devices_Input";#N/A,#N/A,TRUE,"Optical_Fiber_Apparatus_Input"}</definedName>
    <definedName name="wrn.Falcons._.Divisions." localSheetId="13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6">{#N/A,#N/A,TRUE,"Falcons_Standalone";#N/A,#N/A,TRUE,"Target_Input";#N/A,#N/A,TRUE,"Target_Calendarized"}</definedName>
    <definedName name="wrn.Falcons._.Standalone." localSheetId="13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CB." localSheetId="6">{"FCB_ALL",#N/A,FALSE,"FCB"}</definedName>
    <definedName name="wrn.FCB." localSheetId="13" hidden="1">{"FCB_ALL",#N/A,FALSE,"FCB"}</definedName>
    <definedName name="wrn.FCB." hidden="1">{"FCB_ALL",#N/A,FALSE,"FCB"}</definedName>
    <definedName name="wrn.fcb2" localSheetId="6">{"FCB_ALL",#N/A,FALSE,"FCB"}</definedName>
    <definedName name="wrn.fcb2" localSheetId="13" hidden="1">{"FCB_ALL",#N/A,FALSE,"FCB"}</definedName>
    <definedName name="wrn.fcb2" hidden="1">{"FCB_ALL",#N/A,FALSE,"FCB"}</definedName>
    <definedName name="wrn.FDII6_01PortReview." localSheetId="6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localSheetId="1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6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localSheetId="13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bruary." localSheetId="6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1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6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6">{#N/A,#N/A,FALSE,"Assump2";#N/A,#N/A,FALSE,"Income2";#N/A,#N/A,FALSE,"Balance2";#N/A,#N/A,FALSE,"DCF Filter";#N/A,#N/A,FALSE,"Trans Assump2";#N/A,#N/A,FALSE,"Combined Income2";#N/A,#N/A,FALSE,"Combined Balance2"}</definedName>
    <definedName name="wrn.Filter." localSheetId="13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localSheetId="6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localSheetId="1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localSheetId="6">{"bs",#N/A,FALSE,"BS-Consol";"con all",#N/A,FALSE,"CON-ALL";"cf",#N/A,FALSE,"BS-Consol";"debt sve",#N/A,FALSE,"BS-Consol"}</definedName>
    <definedName name="wrn.Fin._.Stmts_ALL." localSheetId="13" hidden="1">{"bs",#N/A,FALSE,"BS-Consol";"con all",#N/A,FALSE,"CON-ALL";"cf",#N/A,FALSE,"BS-Consol";"debt sve",#N/A,FALSE,"BS-Consol"}</definedName>
    <definedName name="wrn.Fin._.Stmts_ALL." hidden="1">{"bs",#N/A,FALSE,"BS-Consol";"con all",#N/A,FALSE,"CON-ALL";"cf",#N/A,FALSE,"BS-Consol";"debt sve",#N/A,FALSE,"BS-Consol"}</definedName>
    <definedName name="wrn.Final." localSheetId="6">{"Final",#N/A,FALSE,"Feb-96"}</definedName>
    <definedName name="wrn.Final." localSheetId="13" hidden="1">{"Final",#N/A,FALSE,"Feb-96"}</definedName>
    <definedName name="wrn.Final." hidden="1">{"Final",#N/A,FALSE,"Feb-96"}</definedName>
    <definedName name="wrn.Financial." localSheetId="6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localSheetId="13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Review._.February." localSheetId="6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1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6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localSheetId="13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 localSheetId="6">{#N/A,#N/A,FALSE,"Sep 98";"Bal Sheet CY - Legal",#N/A,FALSE,"Sep 98";"Bal Sheet PY - Legal",#N/A,FALSE,"Sep 98";"Inc Stmt - Legal",#N/A,FALSE,"Sep 98";"Cash Flow - Legal",#N/A,FALSE,"Sep 98"}</definedName>
    <definedName name="wrn.Financial._.Statements._.Wrk." localSheetId="13" hidden="1">{#N/A,#N/A,FALSE,"Sep 98";"Bal Sheet CY - Legal",#N/A,FALSE,"Sep 98";"Bal Sheet PY - Legal",#N/A,FALSE,"Sep 98";"Inc Stmt - Legal",#N/A,FALSE,"Sep 98";"Cash Flow - Legal",#N/A,FALSE,"Sep 98"}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mts." localSheetId="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tmts." localSheetId="1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s." localSheetId="6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localSheetId="13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localSheetId="6">{"IS",#N/A,FALSE,"Financials2 (Expanded)";"bsa",#N/A,FALSE,"Financials2 (Expanded)";"BS",#N/A,FALSE,"Financials2 (Expanded)";"CF",#N/A,FALSE,"Financials2 (Expanded)"}</definedName>
    <definedName name="wrn.Financials_long." localSheetId="13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rst2." localSheetId="6">{#N/A,#N/A,FALSE,"sum-don";#N/A,#N/A,FALSE,"inc-don"}</definedName>
    <definedName name="wrn.first2." localSheetId="13" hidden="1">{#N/A,#N/A,FALSE,"sum-don";#N/A,#N/A,FALSE,"inc-don"}</definedName>
    <definedName name="wrn.first2." hidden="1">{#N/A,#N/A,FALSE,"sum-don";#N/A,#N/A,FALSE,"inc-don"}</definedName>
    <definedName name="wrn.first3." localSheetId="6">{#N/A,#N/A,FALSE,"Summary";#N/A,#N/A,FALSE,"proj1";#N/A,#N/A,FALSE,"proj2"}</definedName>
    <definedName name="wrn.first3." localSheetId="13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6">{#N/A,#N/A,FALSE,"Summary";#N/A,#N/A,FALSE,"proj1";#N/A,#N/A,FALSE,"proj2";#N/A,#N/A,FALSE,"DCF"}</definedName>
    <definedName name="wrn.first4." localSheetId="13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ve._.Year._.Model." localSheetId="6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localSheetId="13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6">{"FIVEYEAR",#N/A,TRUE,"SUMMARY";"FIVEYEAR",#N/A,TRUE,"Ratios";"FIVEYEAR",#N/A,TRUE,"Revenue";"FIVEYEAR",#N/A,TRUE,"DETAIL";"FIVEYEAR",#N/A,TRUE,"Payroll"}</definedName>
    <definedName name="wrn.FIVE._.YEAR._.PROJECTION." localSheetId="13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la._.Cape._.Info._.Memo._.Reports." localSheetId="6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._.Cape._.Info._.Memo._.Reports." localSheetId="13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OC._.Detail." localSheetId="6">{#N/A,#N/A,TRUE,"FOC_Product_Assumptions"}</definedName>
    <definedName name="wrn.FOC._.Detail." localSheetId="13" hidden="1">{#N/A,#N/A,TRUE,"FOC_Product_Assumptions"}</definedName>
    <definedName name="wrn.FOC._.Detail." hidden="1">{#N/A,#N/A,TRUE,"FOC_Product_Assumptions"}</definedName>
    <definedName name="wrn.Forecast." localSheetId="6">{#N/A,#N/A,FALSE,"Quarterly BS 01";#N/A,#N/A,FALSE,"Cons Balsheet01";#N/A,#N/A,FALSE,"Quarterly CF 01";#N/A,#N/A,FALSE,"Cash Flow 01";#N/A,#N/A,FALSE,"EARNINGS 01"}</definedName>
    <definedName name="wrn.Forecast." localSheetId="13" hidden="1">{#N/A,#N/A,FALSE,"Quarterly BS 01";#N/A,#N/A,FALSE,"Cons Balsheet01";#N/A,#N/A,FALSE,"Quarterly CF 01";#N/A,#N/A,FALSE,"Cash Flow 01";#N/A,#N/A,FALSE,"EARNINGS 01"}</definedName>
    <definedName name="wrn.Forecast." hidden="1">{#N/A,#N/A,FALSE,"Quarterly BS 01";#N/A,#N/A,FALSE,"Cons Balsheet01";#N/A,#N/A,FALSE,"Quarterly CF 01";#N/A,#N/A,FALSE,"Cash Flow 01";#N/A,#N/A,FALSE,"EARNINGS 01"}</definedName>
    <definedName name="wrn.formula._.pages." localSheetId="6">{"field_exam_formula_summary",#N/A,FALSE,"Input";"multi_co_formula",#N/A,FALSE,"Input";"availability_comparison",#N/A,FALSE,"AR";"general_input_area",#N/A,FALSE,"Input";"ineligible_summary",#N/A,FALSE,"AR"}</definedName>
    <definedName name="wrn.formula._.pages." localSheetId="13" hidden="1">{"field_exam_formula_summary",#N/A,FALSE,"Input";"multi_co_formula",#N/A,FALSE,"Input";"availability_comparison",#N/A,FALSE,"AR";"general_input_area",#N/A,FALSE,"Input";"ineligible_summary",#N/A,FALSE,"AR"}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pkg." localSheetId="6">{#N/A,#N/A,FALSE,"Consolidated Shipley";#N/A,#N/A,FALSE,"Consolidated PWB";#N/A,#N/A,FALSE,"Consolidated Micro"}</definedName>
    <definedName name="wrn.fpkg." localSheetId="13" hidden="1">{#N/A,#N/A,FALSE,"Consolidated Shipley";#N/A,#N/A,FALSE,"Consolidated PWB";#N/A,#N/A,FALSE,"Consolidated Micro"}</definedName>
    <definedName name="wrn.fpkg." hidden="1">{#N/A,#N/A,FALSE,"Consolidated Shipley";#N/A,#N/A,FALSE,"Consolidated PWB";#N/A,#N/A,FALSE,"Consolidated Micro"}</definedName>
    <definedName name="wrn.fpkg1" localSheetId="6">{#N/A,#N/A,FALSE,"Consolidated Shipley";#N/A,#N/A,FALSE,"Consolidated PWB";#N/A,#N/A,FALSE,"Consolidated Micro"}</definedName>
    <definedName name="wrn.fpkg1" localSheetId="13" hidden="1">{#N/A,#N/A,FALSE,"Consolidated Shipley";#N/A,#N/A,FALSE,"Consolidated PWB";#N/A,#N/A,FALSE,"Consolidated Micro"}</definedName>
    <definedName name="wrn.fpkg1" hidden="1">{#N/A,#N/A,FALSE,"Consolidated Shipley";#N/A,#N/A,FALSE,"Consolidated PWB";#N/A,#N/A,FALSE,"Consolidated Micro"}</definedName>
    <definedName name="wrn.fpkg2" localSheetId="6">{#N/A,#N/A,FALSE,"Consolidated Shipley";#N/A,#N/A,FALSE,"Consolidated PWB";#N/A,#N/A,FALSE,"Consolidated Micro"}</definedName>
    <definedName name="wrn.fpkg2" localSheetId="13" hidden="1">{#N/A,#N/A,FALSE,"Consolidated Shipley";#N/A,#N/A,FALSE,"Consolidated PWB";#N/A,#N/A,FALSE,"Consolidated Micro"}</definedName>
    <definedName name="wrn.fpkg2" hidden="1">{#N/A,#N/A,FALSE,"Consolidated Shipley";#N/A,#N/A,FALSE,"Consolidated PWB";#N/A,#N/A,FALSE,"Consolidated Micro"}</definedName>
    <definedName name="wrn.fpkg3" localSheetId="6">{#N/A,#N/A,FALSE,"Consolidated Shipley";#N/A,#N/A,FALSE,"Consolidated PWB";#N/A,#N/A,FALSE,"Consolidated Micro"}</definedName>
    <definedName name="wrn.fpkg3" localSheetId="13" hidden="1">{#N/A,#N/A,FALSE,"Consolidated Shipley";#N/A,#N/A,FALSE,"Consolidated PWB";#N/A,#N/A,FALSE,"Consolidated Micro"}</definedName>
    <definedName name="wrn.fpkg3" hidden="1">{#N/A,#N/A,FALSE,"Consolidated Shipley";#N/A,#N/A,FALSE,"Consolidated PWB";#N/A,#N/A,FALSE,"Consolidated Micro"}</definedName>
    <definedName name="wrn.FSCT._.PCKG." localSheetId="6">{#N/A,#N/A,FALSE,"P&amp;L";#N/A,#N/A,FALSE,"Capital";#N/A,#N/A,FALSE,"Summary";#N/A,#N/A,FALSE,"VAR Rec";#N/A,#N/A,FALSE,"EBIT Rec"}</definedName>
    <definedName name="wrn.FSCT._.PCKG." localSheetId="13" hidden="1">{#N/A,#N/A,FALSE,"P&amp;L";#N/A,#N/A,FALSE,"Capital";#N/A,#N/A,FALSE,"Summary";#N/A,#N/A,FALSE,"VAR Rec";#N/A,#N/A,FALSE,"EBIT Rec"}</definedName>
    <definedName name="wrn.FSCT._.PCKG." hidden="1">{#N/A,#N/A,FALSE,"P&amp;L";#N/A,#N/A,FALSE,"Capital";#N/A,#N/A,FALSE,"Summary";#N/A,#N/A,FALSE,"VAR Rec";#N/A,#N/A,FALSE,"EBIT Rec"}</definedName>
    <definedName name="wrn.Full._.Model." localSheetId="6">{"Annual",#N/A,TRUE,"LPX";"Quarterly",#N/A,TRUE,"LPX"}</definedName>
    <definedName name="wrn.Full._.Model." localSheetId="13" hidden="1">{"Annual",#N/A,TRUE,"LPX";"Quarterly",#N/A,TRUE,"LPX"}</definedName>
    <definedName name="wrn.Full._.Model." hidden="1">{"Annual",#N/A,TRUE,"LPX";"Quarterly",#N/A,TRUE,"LPX"}</definedName>
    <definedName name="wrn.Full._.Monty." localSheetId="6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1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6">{#N/A,#N/A,TRUE,"Income Statement";#N/A,#N/A,TRUE,"Gas Assumptions";#N/A,#N/A,TRUE,"DCF";#N/A,#N/A,TRUE,"Depreciation Matrix";#N/A,#N/A,TRUE,"Matrix";#N/A,#N/A,TRUE,"Matrix_Perpetuity"}</definedName>
    <definedName name="wrn.Full._.Report." localSheetId="13" hidden="1">{#N/A,#N/A,TRUE,"Income Statement";#N/A,#N/A,TRUE,"Gas Assumptions";#N/A,#N/A,TRUE,"DCF";#N/A,#N/A,TRUE,"Depreciation Matrix";#N/A,#N/A,TRUE,"Matrix";#N/A,#N/A,TRUE,"Matrix_Perpetuity"}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ullFincls." localSheetId="6">{#N/A,#N/A,TRUE,"Income Statement";#N/A,#N/A,TRUE,"Balance Sheet";#N/A,#N/A,TRUE,"Cash Flows";#N/A,#N/A,TRUE,"Ratios";#N/A,#N/A,TRUE,"Revenues";#N/A,#N/A,TRUE,"Asset Calcs";#N/A,#N/A,TRUE,"Value"}</definedName>
    <definedName name="wrn.FullFincls." localSheetId="13" hidden="1">{#N/A,#N/A,TRUE,"Income Statement";#N/A,#N/A,TRUE,"Balance Sheet";#N/A,#N/A,TRUE,"Cash Flows";#N/A,#N/A,TRUE,"Ratios";#N/A,#N/A,TRUE,"Revenues";#N/A,#N/A,TRUE,"Asset Calcs";#N/A,#N/A,TRUE,"Value"}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Fund._.II." localSheetId="6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localSheetId="13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6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localSheetId="13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6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localSheetId="13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6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localSheetId="1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6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localSheetId="1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6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localSheetId="13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6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localSheetId="13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6">{#N/A,#N/A,TRUE,"FD IV Portfolio Summary ";#N/A,#N/A,TRUE,"Western";#N/A,#N/A,TRUE,"Kranson";#N/A,#N/A,TRUE,"ARC";#N/A,#N/A,TRUE,"Precise";#N/A,#N/A,TRUE,"WNA"}</definedName>
    <definedName name="wrn.Fund._.IV._.Adv.._.Brd.._.June._.2000." localSheetId="13" hidden="1">{#N/A,#N/A,TRUE,"FD IV Portfolio Summary ";#N/A,#N/A,TRUE,"Western";#N/A,#N/A,TRUE,"Kranson";#N/A,#N/A,TRUE,"ARC";#N/A,#N/A,TRUE,"Precise";#N/A,#N/A,TRUE,"WNA"}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Y97SBP." localSheetId="6">{#N/A,#N/A,FALSE,"FY97";#N/A,#N/A,FALSE,"FY98";#N/A,#N/A,FALSE,"FY99";#N/A,#N/A,FALSE,"FY00";#N/A,#N/A,FALSE,"FY01"}</definedName>
    <definedName name="wrn.FY97SBP." localSheetId="1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1" localSheetId="6">{#N/A,#N/A,FALSE,"FY97";#N/A,#N/A,FALSE,"FY98";#N/A,#N/A,FALSE,"FY99";#N/A,#N/A,FALSE,"FY00";#N/A,#N/A,FALSE,"FY01"}</definedName>
    <definedName name="wrn.FY97SBP.1" localSheetId="13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GRAPHS." localSheetId="6">{#N/A,#N/A,FALSE,"ACQ_GRAPHS";#N/A,#N/A,FALSE,"T_1 GRAPHS";#N/A,#N/A,FALSE,"T_2 GRAPHS";#N/A,#N/A,FALSE,"COMB_GRAPHS"}</definedName>
    <definedName name="wrn.GRAPHS." localSheetId="13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oss._.margin._.detail." localSheetId="6">{"gross_margin1",#N/A,FALSE,"Gross Margin Detail";"gross_margin2",#N/A,FALSE,"Gross Margin Detail"}</definedName>
    <definedName name="wrn.gross._.margin._.detail." localSheetId="13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ti._.qtrly._.stats." localSheetId="6">{"GTI monthly IS",#N/A,FALSE,"gti";#N/A,#N/A,FALSE,"gti"}</definedName>
    <definedName name="wrn.gti._.qtrly._.stats." localSheetId="13" hidden="1">{"GTI monthly IS",#N/A,FALSE,"gti";#N/A,#N/A,FALSE,"gti"}</definedName>
    <definedName name="wrn.gti._.qtrly._.stats." hidden="1">{"GTI monthly IS",#N/A,FALSE,"gti";#N/A,#N/A,FALSE,"gti"}</definedName>
    <definedName name="wrn.HEAT." localSheetId="6">{#N/A,#N/A,FALSE,"Heat";#N/A,#N/A,FALSE,"DCF";#N/A,#N/A,FALSE,"LBO";#N/A,#N/A,FALSE,"A";#N/A,#N/A,FALSE,"C";#N/A,#N/A,FALSE,"impd";#N/A,#N/A,FALSE,"Accr-Dilu"}</definedName>
    <definedName name="wrn.HEAT." localSheetId="13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istorical." localSheetId="6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" localSheetId="1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localSheetId="6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" localSheetId="13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performance." localSheetId="6">{"historical acquirer",#N/A,FALSE,"Historical Performance";"historical target",#N/A,FALSE,"Historical Performance"}</definedName>
    <definedName name="wrn.historical._.performance." localSheetId="13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ydraulic." localSheetId="6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1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6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1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_1._.thru._.I_6._.workpapers." localSheetId="6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" localSheetId="13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localSheetId="6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" localSheetId="13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I._.PortRev33102." localSheetId="6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localSheetId="13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mos._.2000." localSheetId="6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mos._.2000." localSheetId="13" hidden="1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mos._.2000." hidden="1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ncome._.statement." localSheetId="6">{"income statement",#N/A,FALSE,"ATLAS-A"}</definedName>
    <definedName name="wrn.income._.statement." localSheetId="13" hidden="1">{"income statement",#N/A,FALSE,"ATLAS-A"}</definedName>
    <definedName name="wrn.income._.statement." hidden="1">{"income statement",#N/A,FALSE,"ATLAS-A"}</definedName>
    <definedName name="wrn.IncStmt." localSheetId="6">{"IncStmt",#N/A,FALSE,"P&amp;L"}</definedName>
    <definedName name="wrn.IncStmt." localSheetId="13" hidden="1">{"IncStmt",#N/A,FALSE,"P&amp;L"}</definedName>
    <definedName name="wrn.IncStmt." hidden="1">{"IncStmt",#N/A,FALSE,"P&amp;L"}</definedName>
    <definedName name="wrn.info." localSheetId="6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13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MemoPhotosMapsPlans." localSheetId="6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MemoPhotosMapsPlans." localSheetId="13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put._.and._.output." localSheetId="6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1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ANGIBLES." localSheetId="6">{#N/A,#N/A,FALSE,"T-1 Intangibles"}</definedName>
    <definedName name="wrn.INTANGIBLES." localSheetId="13" hidden="1">{#N/A,#N/A,FALSE,"T-1 Intangibles"}</definedName>
    <definedName name="wrn.INTANGIBLES." hidden="1">{#N/A,#N/A,FALSE,"T-1 Intangibles"}</definedName>
    <definedName name="wrn.INTEREST." localSheetId="6">{#N/A,#N/A,FALSE,"0700 Interest Expense";#N/A,#N/A,FALSE,"0700-1 Summary of Interest Earn"}</definedName>
    <definedName name="wrn.INTEREST." localSheetId="13" hidden="1">{#N/A,#N/A,FALSE,"0700 Interest Expense";#N/A,#N/A,FALSE,"0700-1 Summary of Interest Earn"}</definedName>
    <definedName name="wrn.INTEREST." hidden="1">{#N/A,#N/A,FALSE,"0700 Interest Expense";#N/A,#N/A,FALSE,"0700-1 Summary of Interest Earn"}</definedName>
    <definedName name="wrn.Internal." localSheetId="6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" localSheetId="13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Report._.for._.Martha." localSheetId="6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localSheetId="13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NTORY." localSheetId="6">{#N/A,#N/A,FALSE,"F-1 Inventory Price Test-RM";#N/A,#N/A,FALSE,"F-2 Inventory-Test Count"}</definedName>
    <definedName name="wrn.INVENTORY." localSheetId="13" hidden="1">{#N/A,#N/A,FALSE,"F-1 Inventory Price Test-RM";#N/A,#N/A,FALSE,"F-2 Inventory-Test Count"}</definedName>
    <definedName name="wrn.INVENTORY." hidden="1">{#N/A,#N/A,FALSE,"F-1 Inventory Price Test-RM";#N/A,#N/A,FALSE,"F-2 Inventory-Test Count"}</definedName>
    <definedName name="wrn.Investment._.Summary." localSheetId="6">{#N/A,#N/A,TRUE,"Summary";#N/A,#N/A,TRUE,"Financials";#N/A,#N/A,TRUE,"Assumptions";#N/A,#N/A,TRUE,"Pro Forma";#N/A,#N/A,TRUE,"Debt";#N/A,#N/A,TRUE,"Amortization";#N/A,#N/A,TRUE,"GG Returns"}</definedName>
    <definedName name="wrn.Investment._.Summary." localSheetId="13" hidden="1">{#N/A,#N/A,TRUE,"Summary";#N/A,#N/A,TRUE,"Financials";#N/A,#N/A,TRUE,"Assumptions";#N/A,#N/A,TRUE,"Pro Forma";#N/A,#N/A,TRUE,"Debt";#N/A,#N/A,TRUE,"Amortization";#N/A,#N/A,TRUE,"GG Returns"}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or._.Cash._.Flows." localSheetId="6">{"CV_2",#N/A,TRUE,"Investor Cash Flows"}</definedName>
    <definedName name="wrn.Investor._.Cash._.Flows." localSheetId="13" hidden="1">{"CV_2",#N/A,TRUE,"Investor Cash Flows"}</definedName>
    <definedName name="wrn.Investor._.Cash._.Flows." hidden="1">{"CV_2",#N/A,TRUE,"Investor Cash Flows"}</definedName>
    <definedName name="wrn.IPO._.Valuation." localSheetId="6">{"assumptions",#N/A,FALSE,"Scenario 1";"valuation",#N/A,FALSE,"Scenario 1"}</definedName>
    <definedName name="wrn.IPO._.Valuation." localSheetId="13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6">{#N/A,#N/A,FALSE,"puboff";#N/A,#N/A,FALSE,"valuation";#N/A,#N/A,FALSE,"finanalsis";#N/A,#N/A,FALSE,"split";#N/A,#N/A,FALSE,"ownership"}</definedName>
    <definedName name="wrn.ipovalue." localSheetId="13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AnnualModel." localSheetId="6">{"AnnModel",#N/A,FALSE,"IS"}</definedName>
    <definedName name="wrn.ISAnnualModel." localSheetId="13" hidden="1">{"AnnModel",#N/A,FALSE,"IS"}</definedName>
    <definedName name="wrn.ISAnnualModel." hidden="1">{"AnnModel",#N/A,FALSE,"IS"}</definedName>
    <definedName name="wrn.ISCG._.model." localSheetId="6">{#N/A,#N/A,FALSE,"Second";#N/A,#N/A,FALSE,"ownership";#N/A,#N/A,FALSE,"Valuation";#N/A,#N/A,FALSE,"Eqiv";#N/A,#N/A,FALSE,"Mults";#N/A,#N/A,FALSE,"ISCG Graphics"}</definedName>
    <definedName name="wrn.ISCG._.model." localSheetId="13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localSheetId="6">{"QtrModel",#N/A,FALSE,"IS"}</definedName>
    <definedName name="wrn.ISQtrModel." localSheetId="13" hidden="1">{"QtrModel",#N/A,FALSE,"IS"}</definedName>
    <definedName name="wrn.ISQtrModel." hidden="1">{"QtrModel",#N/A,FALSE,"IS"}</definedName>
    <definedName name="wrn.JANUARY." localSheetId="6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1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bsum." localSheetId="6">{#N/A,#N/A,FALSE,"Finstmts";#N/A,#N/A,FALSE,"Lost Revenue";#N/A,#N/A,FALSE,"Ratios"}</definedName>
    <definedName name="wrn.jcbsum." localSheetId="13" hidden="1">{#N/A,#N/A,FALSE,"Finstmts";#N/A,#N/A,FALSE,"Lost Revenue";#N/A,#N/A,FALSE,"Ratios"}</definedName>
    <definedName name="wrn.jcbsum." hidden="1">{#N/A,#N/A,FALSE,"Finstmts";#N/A,#N/A,FALSE,"Lost Revenue";#N/A,#N/A,FALSE,"Ratios"}</definedName>
    <definedName name="wrn.Jeff._.Standalone." localSheetId="6">{#N/A,#N/A,TRUE,"Acquirer_Cases_Input";#N/A,#N/A,TRUE,"Acquirer_Input";#N/A,#N/A,TRUE,"Acquirer"}</definedName>
    <definedName name="wrn.Jeff._.Standalone." localSheetId="13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ODM._.Graphs." localSheetId="6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6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1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6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13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arge._.and._.Small._.on._.One._.Page." localSheetId="6">{"Large and Small on One Page",#N/A,FALSE,"Comparable companies"}</definedName>
    <definedName name="wrn.Large._.and._.Small._.on._.One._.Page." localSheetId="13" hidden="1">{"Large and Small on One Page",#N/A,FALSE,"Comparable companies"}</definedName>
    <definedName name="wrn.Large._.and._.Small._.on._.One._.Page." hidden="1">{"Large and Small on One Page",#N/A,FALSE,"Comparable companies"}</definedName>
    <definedName name="wrn.LBO._.Model._.Output." localSheetId="6">{#N/A,#N/A,FALSE,"Cover";#N/A,#N/A,FALSE,"Summary";#N/A,#N/A,FALSE,"IS";#N/A,#N/A,FALSE,"CF";#N/A,#N/A,FALSE,"BS";#N/A,#N/A,FALSE,"Detail";#N/A,#N/A,FALSE,"IRR"}</definedName>
    <definedName name="wrn.LBO._.Model._.Output." localSheetId="13" hidden="1">{#N/A,#N/A,FALSE,"Cover";#N/A,#N/A,FALSE,"Summary";#N/A,#N/A,FALSE,"IS";#N/A,#N/A,FALSE,"CF";#N/A,#N/A,FALSE,"BS";#N/A,#N/A,FALSE,"Detail";#N/A,#N/A,FALSE,"IRR"}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localSheetId="6">{"LBO Summary",#N/A,FALSE,"Summary"}</definedName>
    <definedName name="wrn.LBO._.Summary." localSheetId="13" hidden="1">{"LBO Summary",#N/A,FALSE,"Summary"}</definedName>
    <definedName name="wrn.LBO._.Summary." hidden="1">{"LBO Summary",#N/A,FALSE,"Summary"}</definedName>
    <definedName name="wrn.LBO_Recap_Model." localSheetId="6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localSheetId="13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hidden="1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localSheetId="6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" localSheetId="13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ead._.Sheet." localSheetId="6">{"PrintView",#N/A,FALSE,"Cash &amp; Equiv";"PrintView",#N/A,FALSE,"Investments";"Other Assets Print View",#N/A,FALSE,"Other Assets"}</definedName>
    <definedName name="wrn.Lead._.Sheet." localSheetId="13" hidden="1">{"PrintView",#N/A,FALSE,"Cash &amp; Equiv";"PrintView",#N/A,FALSE,"Investments";"Other Assets Print View",#N/A,FALSE,"Other Assets"}</definedName>
    <definedName name="wrn.Lead._.Sheet." hidden="1">{"PrintView",#N/A,FALSE,"Cash &amp; Equiv";"PrintView",#N/A,FALSE,"Investments";"Other Assets Print View",#N/A,FALSE,"Other Assets"}</definedName>
    <definedName name="wrn.lead._.sheet1." localSheetId="6">{"PrintView",#N/A,FALSE,"Cash &amp; Equiv";"PrintView",#N/A,FALSE,"Investments";"Other Assets Print View",#N/A,FALSE,"Other Assets"}</definedName>
    <definedName name="wrn.lead._.sheet1." localSheetId="13" hidden="1">{"PrintView",#N/A,FALSE,"Cash &amp; Equiv";"PrintView",#N/A,FALSE,"Investments";"Other Assets Print View",#N/A,FALSE,"Other Assets"}</definedName>
    <definedName name="wrn.lead._.sheet1." hidden="1">{"PrintView",#N/A,FALSE,"Cash &amp; Equiv";"PrintView",#N/A,FALSE,"Investments";"Other Assets Print View",#N/A,FALSE,"Other Assets"}</definedName>
    <definedName name="wrn.Lead._Sheet." localSheetId="6">{"PrintView",#N/A,FALSE,"Cash &amp; Equiv";"PrintView",#N/A,FALSE,"Investments";"Other Assets Print View",#N/A,FALSE,"Other Assets"}</definedName>
    <definedName name="wrn.Lead._Sheet." localSheetId="13" hidden="1">{"PrintView",#N/A,FALSE,"Cash &amp; Equiv";"PrintView",#N/A,FALSE,"Investments";"Other Assets Print View",#N/A,FALSE,"Other Assets"}</definedName>
    <definedName name="wrn.Lead._Sheet." hidden="1">{"PrintView",#N/A,FALSE,"Cash &amp; Equiv";"PrintView",#N/A,FALSE,"Investments";"Other Assets Print View",#N/A,FALSE,"Other Assets"}</definedName>
    <definedName name="wrn.Lead._Sheets." localSheetId="6">{"PrintView",#N/A,FALSE,"Cash &amp; Equiv";"PrintView",#N/A,FALSE,"Investments";"Other Assets Print View",#N/A,FALSE,"Other Assets"}</definedName>
    <definedName name="wrn.Lead._Sheets." localSheetId="13" hidden="1">{"PrintView",#N/A,FALSE,"Cash &amp; Equiv";"PrintView",#N/A,FALSE,"Investments";"Other Assets Print View",#N/A,FALSE,"Other Assets"}</definedName>
    <definedName name="wrn.Lead._Sheets." hidden="1">{"PrintView",#N/A,FALSE,"Cash &amp; Equiv";"PrintView",#N/A,FALSE,"Investments";"Other Assets Print View",#N/A,FALSE,"Other Assets"}</definedName>
    <definedName name="wrn.LIFE._.INS.._.LOANS." localSheetId="6">{#N/A,#N/A,FALSE,"TT-1 Officers' Life Insurance"}</definedName>
    <definedName name="wrn.LIFE._.INS.._.LOANS." localSheetId="13" hidden="1">{#N/A,#N/A,FALSE,"TT-1 Officers' Life Insurance"}</definedName>
    <definedName name="wrn.LIFE._.INS.._.LOANS." hidden="1">{#N/A,#N/A,FALSE,"TT-1 Officers' Life Insurance"}</definedName>
    <definedName name="wrn.LM._.Gear." localSheetId="6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 localSheetId="13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Information." localSheetId="6">{#N/A,#N/A,FALSE,"LoanAssumptions"}</definedName>
    <definedName name="wrn.LoanInformation." localSheetId="13" hidden="1">{#N/A,#N/A,FALSE,"LoanAssumptions"}</definedName>
    <definedName name="wrn.LoanInformation." hidden="1">{#N/A,#N/A,FALSE,"LoanAssumptions"}</definedName>
    <definedName name="wrn.LONG._.TERM._.DEBT." localSheetId="6">{#N/A,#N/A,FALSE,"MM-1 Long Term Debt"}</definedName>
    <definedName name="wrn.LONG._.TERM._.DEBT." localSheetId="13" hidden="1">{#N/A,#N/A,FALSE,"MM-1 Long Term Debt"}</definedName>
    <definedName name="wrn.LONG._.TERM._.DEBT." hidden="1">{#N/A,#N/A,FALSE,"MM-1 Long Term Debt"}</definedName>
    <definedName name="wrn.LP._.Committee._.Book." localSheetId="6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localSheetId="13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6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localSheetId="13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ain." localSheetId="6">{#N/A,#N/A,FALSE,"Finstmts";#N/A,#N/A,FALSE,"O&amp;M and Cap";#N/A,#N/A,FALSE,"Fuel";#N/A,#N/A,FALSE,"Gen Dat";#N/A,#N/A,FALSE,"Lost Revenue";#N/A,#N/A,FALSE,"Ratios"}</definedName>
    <definedName name="wrn.main." localSheetId="13" hidden="1">{#N/A,#N/A,FALSE,"Finstmts";#N/A,#N/A,FALSE,"O&amp;M and Cap";#N/A,#N/A,FALSE,"Fuel";#N/A,#N/A,FALSE,"Gen Dat";#N/A,#N/A,FALSE,"Lost Revenue";#N/A,#N/A,FALSE,"Ratios"}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localSheetId="6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1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localSheetId="6">{"Assumptions",#N/A,TRUE,"Assumptions";"Income",#N/A,TRUE,"Income";"Balance",#N/A,TRUE,"Balance"}</definedName>
    <definedName name="wrn.Maine." localSheetId="13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6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1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6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1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6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1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KETABLE._.SEC.." localSheetId="6">{#N/A,#N/A,FALSE,"B-1 Mkt. Sec. - Int.";#N/A,#N/A,FALSE,"B-2 Mkt. Sec. - Val.";#N/A,#N/A,FALSE,"B-3 Mkt. Sec. - Gain (Loss)"}</definedName>
    <definedName name="wrn.MARKETABLE._.SEC.." localSheetId="13" hidden="1">{#N/A,#N/A,FALSE,"B-1 Mkt. Sec. - Int.";#N/A,#N/A,FALSE,"B-2 Mkt. Sec. - Val.";#N/A,#N/A,FALSE,"B-3 Mkt. Sec. - Gain (Loss)"}</definedName>
    <definedName name="wrn.MARKETABLE._.SEC.." hidden="1">{#N/A,#N/A,FALSE,"B-1 Mkt. Sec. - Int.";#N/A,#N/A,FALSE,"B-2 Mkt. Sec. - Val.";#N/A,#N/A,FALSE,"B-3 Mkt. Sec. - Gain (Loss)"}</definedName>
    <definedName name="wrn.MAY." localSheetId="6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1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mo." localSheetId="6">{#N/A,#N/A,TRUE,"financial";#N/A,#N/A,TRUE,"plants"}</definedName>
    <definedName name="wrn.memo." localSheetId="13" hidden="1">{#N/A,#N/A,TRUE,"financial";#N/A,#N/A,TRUE,"plants"}</definedName>
    <definedName name="wrn.memo." hidden="1">{#N/A,#N/A,TRUE,"financial";#N/A,#N/A,TRUE,"plants"}</definedName>
    <definedName name="wrn.merge." localSheetId="6">{#N/A,#N/A,FALSE,"IPO";#N/A,#N/A,FALSE,"DCF";#N/A,#N/A,FALSE,"LBO";#N/A,#N/A,FALSE,"MULT_VAL";#N/A,#N/A,FALSE,"Status Quo";#N/A,#N/A,FALSE,"Recap"}</definedName>
    <definedName name="wrn.merge." localSheetId="13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r." localSheetId="6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13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localSheetId="6">{"page1",#N/A,FALSE,"GIRLBO";"page2",#N/A,FALSE,"GIRLBO";"page3",#N/A,FALSE,"GIRLBO";"page4",#N/A,FALSE,"GIRLBO";"page5",#N/A,FALSE,"GIRLBO"}</definedName>
    <definedName name="wrn.model." localSheetId="13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nth." localSheetId="6">{#N/A,#N/A,FALSE,"Comp Balance";#N/A,#N/A,FALSE,"Sum Balance ";#N/A,#N/A,FALSE,"Balance Trend";#N/A,#N/A,FALSE,"Comp PL";#N/A,#N/A,FALSE,"PL";#N/A,#N/A,FALSE,"Sum PL";#N/A,#N/A,FALSE,"PL Trend";#N/A,#N/A,FALSE,"Change"}</definedName>
    <definedName name="wrn.Month." localSheetId="13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LY." localSheetId="6">{"1999MONTHLY",#N/A,FALSE,"MONTHLY";"2000MONTHLY",#N/A,FALSE,"MONTHLY";"2001MONTHLY",#N/A,FALSE,"MONTHLY"}</definedName>
    <definedName name="wrn.MONTHLY." localSheetId="13" hidden="1">{"1999MONTHLY",#N/A,FALSE,"MONTHLY";"2000MONTHLY",#N/A,FALSE,"MONTHLY";"2001MONTHLY",#N/A,FALSE,"MONTHLY"}</definedName>
    <definedName name="wrn.MONTHLY." hidden="1">{"1999MONTHLY",#N/A,FALSE,"MONTHLY";"2000MONTHLY",#N/A,FALSE,"MONTHLY";"2001MONTHLY",#N/A,FALSE,"MONTHLY"}</definedName>
    <definedName name="wrn.Monthly._.and._.Quarterly." localSheetId="6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1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Financials." localSheetId="6">{#N/A,#N/A,FALSE,"PL OCT";#N/A,#N/A,FALSE,"YTD";#N/A,#N/A,FALSE,"Trend03";#N/A,#N/A,FALSE,"03 BalSheet";#N/A,#N/A,FALSE,"Cash Flow"}</definedName>
    <definedName name="wrn.Monthly._.Financials." localSheetId="13" hidden="1">{#N/A,#N/A,FALSE,"PL OCT";#N/A,#N/A,FALSE,"YTD";#N/A,#N/A,FALSE,"Trend03";#N/A,#N/A,FALSE,"03 BalSheet";#N/A,#N/A,FALSE,"Cash Flow"}</definedName>
    <definedName name="wrn.Monthly._.Financials." hidden="1">{#N/A,#N/A,FALSE,"PL OCT";#N/A,#N/A,FALSE,"YTD";#N/A,#N/A,FALSE,"Trend03";#N/A,#N/A,FALSE,"03 BalSheet";#N/A,#N/A,FALSE,"Cash Flow"}</definedName>
    <definedName name="wrn.Monthly._.MIFA._.Sheets." localSheetId="6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localSheetId="13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localSheetId="6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localSheetId="13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localSheetId="6">{#N/A,#N/A,FALSE,"Quarterly BS";#N/A,#N/A,FALSE,"Balance Sheet";#N/A,#N/A,FALSE,"Quarterly CF";#N/A,#N/A,FALSE,"Cash Flow";#N/A,#N/A,FALSE,"EARNINGS"}</definedName>
    <definedName name="wrn.Monthly._.Report." localSheetId="13" hidden="1">{#N/A,#N/A,FALSE,"Quarterly BS";#N/A,#N/A,FALSE,"Balance Sheet";#N/A,#N/A,FALSE,"Quarterly CF";#N/A,#N/A,FALSE,"Cash Flow";#N/A,#N/A,FALSE,"EARNINGS"}</definedName>
    <definedName name="wrn.Monthly._.Report." hidden="1">{#N/A,#N/A,FALSE,"Quarterly BS";#N/A,#N/A,FALSE,"Balance Sheet";#N/A,#N/A,FALSE,"Quarterly CF";#N/A,#N/A,FALSE,"Cash Flow";#N/A,#N/A,FALSE,"EARNINGS"}</definedName>
    <definedName name="wrn.MonthlyRentRoll." localSheetId="6">{"MonthlyRentRoll",#N/A,FALSE,"RentRoll"}</definedName>
    <definedName name="wrn.MonthlyRentRoll." localSheetId="13" hidden="1">{"MonthlyRentRoll",#N/A,FALSE,"RentRoll"}</definedName>
    <definedName name="wrn.MonthlyRentRoll." hidden="1">{"MonthlyRentRoll",#N/A,FALSE,"RentRoll"}</definedName>
    <definedName name="wrn.MRA." localSheetId="6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 localSheetId="13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6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localSheetId="13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localSheetId="6">{"MTD CONSOL IS",#N/A,FALSE,"CONSOL";"MTD CONSOL BS",#N/A,FALSE,"CONSOL";"MTD CONSOL CF",#N/A,FALSE,"CONSOL";"MTD CONSOL COGS",#N/A,FALSE,"CONSOL";"MTD CONSOL SGA",#N/A,FALSE,"CONSOL"}</definedName>
    <definedName name="wrn.MTD._.CONSOL._.STMTS." localSheetId="13" hidden="1">{"MTD CONSOL IS",#N/A,FALSE,"CONSOL";"MTD CONSOL BS",#N/A,FALSE,"CONSOL";"MTD CONSOL CF",#N/A,FALSE,"CONSOL";"MTD CONSOL COGS",#N/A,FALSE,"CONSOL";"MTD CONSOL SGA",#N/A,FALSE,"CONSOL"}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localSheetId="6">{"MTD CTT IS",#N/A,FALSE,"CTT";"MTD CTT BS",#N/A,FALSE,"CTT";"MTD CTT CF",#N/A,FALSE,"CTT";"MTD CTT COGS",#N/A,FALSE,"CTT";"MTD CTT SGA",#N/A,FALSE,"CTT"}</definedName>
    <definedName name="wrn.MTD._.CTT._.STMTS." localSheetId="13" hidden="1">{"MTD CTT IS",#N/A,FALSE,"CTT";"MTD CTT BS",#N/A,FALSE,"CTT";"MTD CTT CF",#N/A,FALSE,"CTT";"MTD CTT COGS",#N/A,FALSE,"CTT";"MTD CTT SGA",#N/A,FALSE,"CTT"}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localSheetId="6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localSheetId="13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localSheetId="6">{"MTD IS",#N/A,FALSE,"WLLC";"MTDBS",#N/A,FALSE,"WLLC";"MTDCF",#N/A,FALSE,"WLLC";"MTDCOGS",#N/A,FALSE,"WLLC";"MTDSGA",#N/A,FALSE,"WLLC"}</definedName>
    <definedName name="wrn.MTD._.WLLC._.STMTS." localSheetId="13" hidden="1">{"MTD IS",#N/A,FALSE,"WLLC";"MTDBS",#N/A,FALSE,"WLLC";"MTDCF",#N/A,FALSE,"WLLC";"MTDCOGS",#N/A,FALSE,"WLLC";"MTDSGA",#N/A,FALSE,"WLLC"}</definedName>
    <definedName name="wrn.MTD._.WLLC._.STMTS." hidden="1">{"MTD IS",#N/A,FALSE,"WLLC";"MTDBS",#N/A,FALSE,"WLLC";"MTDCF",#N/A,FALSE,"WLLC";"MTDCOGS",#N/A,FALSE,"WLLC";"MTDSGA",#N/A,FALSE,"WLLC"}</definedName>
    <definedName name="wrn.MTD._.WLLC._.VS._.BUD." localSheetId="6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localSheetId="13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EW." localSheetId="6">{"Total P&amp;L",#N/A,FALSE,"P&amp;LTECH";"SUMPIPELINE",#N/A,FALSE,"P&amp;LTECH";"REVENUE",#N/A,FALSE,"P&amp;LTECH";"r&amp;d",#N/A,FALSE,"P&amp;LTECH"}</definedName>
    <definedName name="wrn.NEW." localSheetId="13" hidden="1">{"Total P&amp;L",#N/A,FALSE,"P&amp;LTECH";"SUMPIPELINE",#N/A,FALSE,"P&amp;LTECH";"REVENUE",#N/A,FALSE,"P&amp;LTECH";"r&amp;d",#N/A,FALSE,"P&amp;LTECH"}</definedName>
    <definedName name="wrn.NEW." hidden="1">{"Total P&amp;L",#N/A,FALSE,"P&amp;LTECH";"SUMPIPELINE",#N/A,FALSE,"P&amp;LTECH";"REVENUE",#N/A,FALSE,"P&amp;LTECH";"r&amp;d",#N/A,FALSE,"P&amp;LTECH"}</definedName>
    <definedName name="wrn.newest." localSheetId="6">{#N/A,#N/A,TRUE,"TS";#N/A,#N/A,TRUE,"Combo";#N/A,#N/A,TRUE,"FAIR";#N/A,#N/A,TRUE,"RBC";#N/A,#N/A,TRUE,"xxxx"}</definedName>
    <definedName name="wrn.newest." localSheetId="13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HEC." localSheetId="6">{"NHEC",#N/A,FALSE,"NHEC"}</definedName>
    <definedName name="wrn.NHEC." localSheetId="13" hidden="1">{"NHEC",#N/A,FALSE,"NHEC"}</definedName>
    <definedName name="wrn.NHEC." hidden="1">{"NHEC",#N/A,FALSE,"NHEC"}</definedName>
    <definedName name="wrn.NOTES._.REC.." localSheetId="6">{#N/A,#N/A,FALSE,"H-1 Notes Receivable"}</definedName>
    <definedName name="wrn.NOTES._.REC.." localSheetId="13" hidden="1">{#N/A,#N/A,FALSE,"H-1 Notes Receivable"}</definedName>
    <definedName name="wrn.NOTES._.REC.." hidden="1">{#N/A,#N/A,FALSE,"H-1 Notes Receivable"}</definedName>
    <definedName name="wrn.November." localSheetId="6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1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RC._.Statements." localSheetId="6">{#N/A,#N/A,FALSE,"NRC Inc Stmnt";#N/A,#N/A,FALSE,"NRC Cash Flows"}</definedName>
    <definedName name="wrn.NRC._.Statements." localSheetId="13" hidden="1">{#N/A,#N/A,FALSE,"NRC Inc Stmnt";#N/A,#N/A,FALSE,"NRC Cash Flows"}</definedName>
    <definedName name="wrn.NRC._.Statements." hidden="1">{#N/A,#N/A,FALSE,"NRC Inc Stmnt";#N/A,#N/A,FALSE,"NRC Cash Flows"}</definedName>
    <definedName name="wrn.ntfinance." localSheetId="6">{"Rate",#N/A,TRUE,"SUMMARY";"Ratios",#N/A,TRUE,"Ratios";"BUDGETREVENUE",#N/A,TRUE,"Revenue";"TOTALS",#N/A,TRUE,"DETAIL"}</definedName>
    <definedName name="wrn.ntfinance." localSheetId="13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OCTOBER." localSheetId="6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1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ir." localSheetId="6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localSheetId="1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peratingAssumtions." localSheetId="6">{#N/A,#N/A,FALSE,"OperatingAssumptions"}</definedName>
    <definedName name="wrn.OperatingAssumtions." localSheetId="13" hidden="1">{#N/A,#N/A,FALSE,"OperatingAssumptions"}</definedName>
    <definedName name="wrn.OperatingAssumtions." hidden="1">{#N/A,#N/A,FALSE,"OperatingAssumptions"}</definedName>
    <definedName name="wrn.Opportunity._.Assessment." localSheetId="6">{#N/A,#N/A,TRUE,"Summary";#N/A,#N/A,TRUE,"Assumptions";#N/A,#N/A,TRUE,"Comparison";#N/A,#N/A,TRUE,"Financials";#N/A,#N/A,TRUE,"Plan v. Act"}</definedName>
    <definedName name="wrn.Opportunity._.Assessment." localSheetId="13" hidden="1">{#N/A,#N/A,TRUE,"Summary";#N/A,#N/A,TRUE,"Assumptions";#N/A,#N/A,TRUE,"Comparison";#N/A,#N/A,TRUE,"Financials";#N/A,#N/A,TRUE,"Plan v. Act"}</definedName>
    <definedName name="wrn.Opportunity._.Assessment." hidden="1">{#N/A,#N/A,TRUE,"Summary";#N/A,#N/A,TRUE,"Assumptions";#N/A,#N/A,TRUE,"Comparison";#N/A,#N/A,TRUE,"Financials";#N/A,#N/A,TRUE,"Plan v. Act"}</definedName>
    <definedName name="wrn.OTHER._.INCOME." localSheetId="6">{#N/A,#N/A,FALSE,"0600-1 Other Income (Expense)"}</definedName>
    <definedName name="wrn.OTHER._.INCOME." localSheetId="13" hidden="1">{#N/A,#N/A,FALSE,"0600-1 Other Income (Expense)"}</definedName>
    <definedName name="wrn.OTHER._.INCOME." hidden="1">{#N/A,#N/A,FALSE,"0600-1 Other Income (Expense)"}</definedName>
    <definedName name="wrn.Outlook." localSheetId="6">{#N/A,#N/A,FALSE,"Consol P&amp;L ";#N/A,#N/A,FALSE,"CP P&amp;L";#N/A,#N/A,FALSE,"ADS P&amp;L";#N/A,#N/A,FALSE,"Corp P&amp;L"}</definedName>
    <definedName name="wrn.Outlook." localSheetId="13" hidden="1">{#N/A,#N/A,FALSE,"Consol P&amp;L ";#N/A,#N/A,FALSE,"CP P&amp;L";#N/A,#N/A,FALSE,"ADS P&amp;L";#N/A,#N/A,FALSE,"Corp P&amp;L"}</definedName>
    <definedName name="wrn.Outlook." hidden="1">{#N/A,#N/A,FALSE,"Consol P&amp;L ";#N/A,#N/A,FALSE,"CP P&amp;L";#N/A,#N/A,FALSE,"ADS P&amp;L";#N/A,#N/A,FALSE,"Corp P&amp;L"}</definedName>
    <definedName name="wrn.OUTPUT." localSheetId="6">{"DCF","UPSIDE CASE",FALSE,"Sheet1";"DCF","BASE CASE",FALSE,"Sheet1";"DCF","DOWNSIDE CASE",FALSE,"Sheet1"}</definedName>
    <definedName name="wrn.OUTPUT." localSheetId="13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ackage." localSheetId="6">{#N/A,#N/A,FALSE,"PL NOV";#N/A,#N/A,FALSE,"Trend00";#N/A,#N/A,FALSE,"YTD";#N/A,#N/A,FALSE,"00 balSheet";#N/A,#N/A,FALSE,"Bank BalSh"}</definedName>
    <definedName name="wrn.Package." localSheetId="13" hidden="1">{#N/A,#N/A,FALSE,"PL NOV";#N/A,#N/A,FALSE,"Trend00";#N/A,#N/A,FALSE,"YTD";#N/A,#N/A,FALSE,"00 balSheet";#N/A,#N/A,FALSE,"Bank BalSh"}</definedName>
    <definedName name="wrn.Package." hidden="1">{#N/A,#N/A,FALSE,"PL NOV";#N/A,#N/A,FALSE,"Trend00";#N/A,#N/A,FALSE,"YTD";#N/A,#N/A,FALSE,"00 balSheet";#N/A,#N/A,FALSE,"Bank BalSh"}</definedName>
    <definedName name="wrn.packer._.1." localSheetId="6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1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localSheetId="6">{#N/A,#N/A,FALSE,"Job Sched"}</definedName>
    <definedName name="wrn.PAGE._.1." localSheetId="13" hidden="1">{#N/A,#N/A,FALSE,"Job Sched"}</definedName>
    <definedName name="wrn.PAGE._.1." hidden="1">{#N/A,#N/A,FALSE,"Job Sched"}</definedName>
    <definedName name="wrn.PAGE._.2." localSheetId="6">{"PAGE 2",#N/A,FALSE,"WEST_OT"}</definedName>
    <definedName name="wrn.PAGE._.2." localSheetId="13" hidden="1">{"PAGE 2",#N/A,FALSE,"WEST_OT"}</definedName>
    <definedName name="wrn.PAGE._.2." hidden="1">{"PAGE 2",#N/A,FALSE,"WEST_OT"}</definedName>
    <definedName name="wrn.PAGE._.3." localSheetId="6">{"PAGE 2",#N/A,FALSE,"WEST_OT"}</definedName>
    <definedName name="wrn.PAGE._.3." localSheetId="13" hidden="1">{"PAGE 2",#N/A,FALSE,"WEST_OT"}</definedName>
    <definedName name="wrn.PAGE._.3." hidden="1">{"PAGE 2",#N/A,FALSE,"WEST_OT"}</definedName>
    <definedName name="wrn.PandLs." localSheetId="6">{#N/A,#N/A,FALSE,"Q2 Forecast";#N/A,#N/A,FALSE,"P&amp;L Stds ";#N/A,#N/A,FALSE,"P&amp;L GQS ";#N/A,#N/A,FALSE,"P&amp;L PS ";#N/A,#N/A,FALSE,"P&amp;L Insp"}</definedName>
    <definedName name="wrn.PandLs." localSheetId="13" hidden="1">{#N/A,#N/A,FALSE,"Q2 Forecast";#N/A,#N/A,FALSE,"P&amp;L Stds ";#N/A,#N/A,FALSE,"P&amp;L GQS ";#N/A,#N/A,FALSE,"P&amp;L PS ";#N/A,#N/A,FALSE,"P&amp;L Insp"}</definedName>
    <definedName name="wrn.PandLs." hidden="1">{#N/A,#N/A,FALSE,"Q2 Forecast";#N/A,#N/A,FALSE,"P&amp;L Stds ";#N/A,#N/A,FALSE,"P&amp;L GQS ";#N/A,#N/A,FALSE,"P&amp;L PS ";#N/A,#N/A,FALSE,"P&amp;L Insp"}</definedName>
    <definedName name="wrn.Part._.1." localSheetId="6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 localSheetId="13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2." localSheetId="6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 localSheetId="1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ialFncls." localSheetId="6">{#N/A,#N/A,FALSE,"Income Statement";#N/A,#N/A,FALSE,"Balance Sheet";#N/A,#N/A,FALSE,"Cash Flows";#N/A,#N/A,FALSE,"Ratios"}</definedName>
    <definedName name="wrn.PartialFncls." localSheetId="13" hidden="1">{#N/A,#N/A,FALSE,"Income Statement";#N/A,#N/A,FALSE,"Balance Sheet";#N/A,#N/A,FALSE,"Cash Flows";#N/A,#N/A,FALSE,"Ratios"}</definedName>
    <definedName name="wrn.PartialFncls." hidden="1">{#N/A,#N/A,FALSE,"Income Statement";#N/A,#N/A,FALSE,"Balance Sheet";#N/A,#N/A,FALSE,"Cash Flows";#N/A,#N/A,FALSE,"Ratios"}</definedName>
    <definedName name="wrn.Passport._.Financials._.Individual._.Pages." localSheetId="6">{"Large Comps",#N/A,FALSE,"Comparable companies";"Small Comps",#N/A,FALSE,"Comparable companies"}</definedName>
    <definedName name="wrn.Passport._.Financials._.Individual._.Pages." localSheetId="13" hidden="1">{"Large Comps",#N/A,FALSE,"Comparable companies";"Small Comps",#N/A,FALSE,"Comparable companies"}</definedName>
    <definedName name="wrn.Passport._.Financials._.Individual._.Pages." hidden="1">{"Large Comps",#N/A,FALSE,"Comparable companies";"Small Comps",#N/A,FALSE,"Comparable companies"}</definedName>
    <definedName name="wrn.perimeter._.comp." localSheetId="6">{#N/A,#N/A,TRUE,"comp";#N/A,#N/A,TRUE,"notes"}</definedName>
    <definedName name="wrn.perimeter._.comp." localSheetId="13" hidden="1">{#N/A,#N/A,TRUE,"comp";#N/A,#N/A,TRUE,"notes"}</definedName>
    <definedName name="wrn.perimeter._.comp." hidden="1">{#N/A,#N/A,TRUE,"comp";#N/A,#N/A,TRUE,"notes"}</definedName>
    <definedName name="wrn.Period._.1._.Financial._.Statements." localSheetId="6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localSheetId="13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localSheetId="6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localSheetId="13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localSheetId="6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localSheetId="13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localSheetId="6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localSheetId="13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localSheetId="6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localSheetId="13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localSheetId="6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localSheetId="13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localSheetId="6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localSheetId="13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localSheetId="6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localSheetId="13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localSheetId="6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localSheetId="13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localSheetId="6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localSheetId="13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localSheetId="6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localSheetId="13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localSheetId="6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localSheetId="13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Only." localSheetId="6">{#N/A,#N/A,FALSE,"CONSOLIDATED";#N/A,#N/A,FALSE,"LANCE CO";#N/A,#N/A,FALSE,"VISTA"}</definedName>
    <definedName name="wrn.Period._.Only." localSheetId="13" hidden="1">{#N/A,#N/A,FALSE,"CONSOLIDATED";#N/A,#N/A,FALSE,"LANCE CO";#N/A,#N/A,FALSE,"VISTA"}</definedName>
    <definedName name="wrn.Period._.Only." hidden="1">{#N/A,#N/A,FALSE,"CONSOLIDATED";#N/A,#N/A,FALSE,"LANCE CO";#N/A,#N/A,FALSE,"VISTA"}</definedName>
    <definedName name="wrn.Pianocomp." localSheetId="6">{"page_1",#N/A,TRUE,"Sheet1";"page_2",#N/A,TRUE,"Sheet1";"page_notes",#N/A,TRUE,"Sheet1"}</definedName>
    <definedName name="wrn.Pianocomp." localSheetId="13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_All." localSheetId="6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All." localSheetId="13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1990." localSheetId="6">{"PL1990",#N/A,FALSE,"90-91"}</definedName>
    <definedName name="wrn.PL1990." localSheetId="13" hidden="1">{"PL1990",#N/A,FALSE,"90-91"}</definedName>
    <definedName name="wrn.PL1990." hidden="1">{"PL1990",#N/A,FALSE,"90-91"}</definedName>
    <definedName name="wrn.PL1991." localSheetId="6">{"PL1991",#N/A,FALSE,"90-91"}</definedName>
    <definedName name="wrn.PL1991." localSheetId="13" hidden="1">{"PL1991",#N/A,FALSE,"90-91"}</definedName>
    <definedName name="wrn.PL1991." hidden="1">{"PL1991",#N/A,FALSE,"90-91"}</definedName>
    <definedName name="wrn.PL1992." localSheetId="6">{"PL1992",#N/A,FALSE,"90-91"}</definedName>
    <definedName name="wrn.PL1992." localSheetId="13" hidden="1">{"PL1992",#N/A,FALSE,"90-91"}</definedName>
    <definedName name="wrn.PL1992." hidden="1">{"PL1992",#N/A,FALSE,"90-91"}</definedName>
    <definedName name="wrn.PL1993." localSheetId="6">{"PL1993",#N/A,FALSE,"90-91"}</definedName>
    <definedName name="wrn.PL1993." localSheetId="13" hidden="1">{"PL1993",#N/A,FALSE,"90-91"}</definedName>
    <definedName name="wrn.PL1993." hidden="1">{"PL1993",#N/A,FALSE,"90-91"}</definedName>
    <definedName name="wrn.PL1994." localSheetId="6">{"PL1994",#N/A,FALSE,"90-91"}</definedName>
    <definedName name="wrn.PL1994." localSheetId="13" hidden="1">{"PL1994",#N/A,FALSE,"90-91"}</definedName>
    <definedName name="wrn.PL1994." hidden="1">{"PL1994",#N/A,FALSE,"90-91"}</definedName>
    <definedName name="wrn.PLAN." localSheetId="6">{#N/A,#N/A,FALSE,"5YRPL";#N/A,#N/A,FALSE,"3YRPL"}</definedName>
    <definedName name="wrn.PLAN." localSheetId="13" hidden="1">{#N/A,#N/A,FALSE,"5YRPL";#N/A,#N/A,FALSE,"3YRPL"}</definedName>
    <definedName name="wrn.PLAN." hidden="1">{#N/A,#N/A,FALSE,"5YRPL";#N/A,#N/A,FALSE,"3YRPL"}</definedName>
    <definedName name="wrn.Plan._.Sheets." localSheetId="6">{#N/A,#N/A,TRUE,"95 Consolidated Forecast";#N/A,#N/A,TRUE,"95 Consolidated Frcst per Gal";#N/A,#N/A,TRUE,"96 Consolidated Plan";#N/A,#N/A,TRUE,"96 Consolidated per Gallon"}</definedName>
    <definedName name="wrn.Plan._.Sheets." localSheetId="13" hidden="1">{#N/A,#N/A,TRUE,"95 Consolidated Forecast";#N/A,#N/A,TRUE,"95 Consolidated Frcst per Gal";#N/A,#N/A,TRUE,"96 Consolidated Plan";#N/A,#N/A,TRUE,"96 Consolidated per Gallon"}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Var." localSheetId="6">{"PLVar",#N/A,FALSE,"P&amp;L"}</definedName>
    <definedName name="wrn.PLVar." localSheetId="13" hidden="1">{"PLVar",#N/A,FALSE,"P&amp;L"}</definedName>
    <definedName name="wrn.PLVar." hidden="1">{"PLVar",#N/A,FALSE,"P&amp;L"}</definedName>
    <definedName name="wrn.PLX." localSheetId="6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1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BFinancials.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PAIDS." localSheetId="6">{#N/A,#N/A,FALSE,"G-1 Prepaid Expenses-Other";#N/A,#N/A,FALSE,"G-2 Prepaid Property Taxes";#N/A,#N/A,FALSE,"G-3 Prepaid Insurance "}</definedName>
    <definedName name="wrn.PREPAIDS." localSheetId="13" hidden="1">{#N/A,#N/A,FALSE,"G-1 Prepaid Expenses-Other";#N/A,#N/A,FALSE,"G-2 Prepaid Property Taxes";#N/A,#N/A,FALSE,"G-3 Prepaid Insurance "}</definedName>
    <definedName name="wrn.PREPAIDS." hidden="1">{#N/A,#N/A,FALSE,"G-1 Prepaid Expenses-Other";#N/A,#N/A,FALSE,"G-2 Prepaid Property Taxes";#N/A,#N/A,FALSE,"G-3 Prepaid Insurance "}</definedName>
    <definedName name="wrn.PRES_OUT." localSheetId="6">{"page1",#N/A,FALSE,"PRESENTATION";"page2",#N/A,FALSE,"PRESENTATION";#N/A,#N/A,FALSE,"Valuation Summary"}</definedName>
    <definedName name="wrn.PRES_OUT." localSheetId="13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6">{"page1",#N/A,FALSE,"PRESENTATION";"page2",#N/A,FALSE,"PRESENTATION";#N/A,#N/A,FALSE,"Valuation Summary"}</definedName>
    <definedName name="wrn.PRES_OUT2" localSheetId="13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6">{"page1",#N/A,FALSE,"PRESENTATION";"page2",#N/A,FALSE,"PRESENTATION";#N/A,#N/A,FALSE,"Valuation Summary"}</definedName>
    <definedName name="wrn.Pres_OUT3" localSheetId="13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6">{"page1",#N/A,FALSE,"PRESENTATION";"page2",#N/A,FALSE,"PRESENTATION";#N/A,#N/A,FALSE,"Valuation Summary"}</definedName>
    <definedName name="wrn.PRES_OUT4" localSheetId="1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6">{"page1",#N/A,FALSE,"PRESENTATION";"page2",#N/A,FALSE,"PRESENTATION";#N/A,#N/A,FALSE,"Valuation Summary"}</definedName>
    <definedName name="wrn.PRES_OUT5" localSheetId="13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6">{"page1",#N/A,FALSE,"PRESENTATION";"page2",#N/A,FALSE,"PRESENTATION";#N/A,#N/A,FALSE,"Valuation Summary"}</definedName>
    <definedName name="wrn.PRES_OUT6" localSheetId="13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6">{"page1",#N/A,FALSE,"PRESENTATION";"page2",#N/A,FALSE,"PRESENTATION";#N/A,#N/A,FALSE,"Valuation Summary"}</definedName>
    <definedName name="wrn.PRES_OUT8" localSheetId="13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localSheetId="6">{#N/A,#N/A,TRUE,"Summary";"AnnualRentRoll",#N/A,TRUE,"RentRoll";#N/A,#N/A,TRUE,"ExitStratigy";#N/A,#N/A,TRUE,"OperatingAssumptions"}</definedName>
    <definedName name="wrn.Presentation." localSheetId="13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6">{#N/A,#N/A,FALSE,"Japan 2003";#N/A,#N/A,FALSE,"Sheet2"}</definedName>
    <definedName name="wrn.print." localSheetId="13" hidden="1">{#N/A,#N/A,FALSE,"Japan 2003";#N/A,#N/A,FALSE,"Sheet2"}</definedName>
    <definedName name="wrn.print." hidden="1">{#N/A,#N/A,FALSE,"Japan 2003";#N/A,#N/A,FALSE,"Sheet2"}</definedName>
    <definedName name="wrn.Print._.4." localSheetId="6">{"Outflow 1",#N/A,FALSE,"Outflows-Inflows";"Outflow 2",#N/A,FALSE,"Outflows-Inflows";"Inflow 1",#N/A,FALSE,"Outflows-Inflows";"Inflow 2",#N/A,FALSE,"Outflows-Inflows"}</definedName>
    <definedName name="wrn.Print._.4." localSheetId="13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6">{"print 1.6",#N/A,FALSE,"Sheet1";"print 2.6",#N/A,FALSE,"Sheet1";"print 3.6",#N/A,FALSE,"Sheet1";"print 4.6",#N/A,FALSE,"Sheet1";"print 5.6",#N/A,FALSE,"Sheet1";"print 6.6",#N/A,FALSE,"Sheet1"}</definedName>
    <definedName name="wrn.Print._.6." localSheetId="13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6">{#N/A,#N/A,FALSE,"Land";#N/A,#N/A,FALSE,"Cost Analysis";"Summary",#N/A,FALSE,"Equipment"}</definedName>
    <definedName name="wrn.Print._.All." localSheetId="13" hidden="1">{#N/A,#N/A,FALSE,"Land";#N/A,#N/A,FALSE,"Cost Analysis";"Summary",#N/A,FALSE,"Equipment"}</definedName>
    <definedName name="wrn.Print._.All." hidden="1">{#N/A,#N/A,FALSE,"Land";#N/A,#N/A,FALSE,"Cost Analysis";"Summary",#N/A,FALSE,"Equipment"}</definedName>
    <definedName name="wrn.Print._.all._.GLI._.Reports." localSheetId="6">{"GLI-Income Statement",#N/A,FALSE,"gli";"GLI - Balance Sheet Wksht",#N/A,FALSE,"gli";"GLI-Cash Flow",#N/A,FALSE,"gli";"GLI Qtrly Stats",#N/A,FALSE,"gli"}</definedName>
    <definedName name="wrn.Print._.all._.GLI._.Reports." localSheetId="13" hidden="1">{"GLI-Income Statement",#N/A,FALSE,"gli";"GLI - Balance Sheet Wksht",#N/A,FALSE,"gli";"GLI-Cash Flow",#N/A,FALSE,"gli";"GLI Qtrly Stats",#N/A,FALSE,"gli"}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Pages." localSheetId="6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1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6">{"summary",#N/A,FALSE,"Valuation Analysis";"assumptions1",#N/A,FALSE,"Valuation Analysis";"assumptions2",#N/A,FALSE,"Valuation Analysis"}</definedName>
    <definedName name="wrn.print._.all._.sheets." localSheetId="13" hidden="1">{"summary",#N/A,FALSE,"Valuation Analysis";"assumptions1",#N/A,FALSE,"Valuation Analysis";"assumptions2",#N/A,FALSE,"Valuation Analysis"}</definedName>
    <definedName name="wrn.print._.all._.sheets." hidden="1">{"summary",#N/A,FALSE,"Valuation Analysis";"assumptions1",#N/A,FALSE,"Valuation Analysis";"assumptions2",#N/A,FALSE,"Valuation Analysis"}</definedName>
    <definedName name="wrn.Print._.Documents." localSheetId="6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cuments." localSheetId="13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graphs." localSheetId="6">{"cap_structure",#N/A,FALSE,"Graph-Mkt Cap";"price",#N/A,FALSE,"Graph-Price";"ebit",#N/A,FALSE,"Graph-EBITDA";"ebitda",#N/A,FALSE,"Graph-EBITDA"}</definedName>
    <definedName name="wrn.print._.graphs." localSheetId="1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6">{"inputs raw data",#N/A,TRUE,"INPUT"}</definedName>
    <definedName name="wrn.print._.raw._.data._.entry." localSheetId="13" hidden="1">{"inputs raw data",#N/A,TRUE,"INPUT"}</definedName>
    <definedName name="wrn.print._.raw._.data._.entry." hidden="1">{"inputs raw data",#N/A,TRUE,"INPUT"}</definedName>
    <definedName name="wrn.Print._.Report." localSheetId="6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13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tandalone." localSheetId="6">{"standalone1",#N/A,FALSE,"DCFBase";"standalone2",#N/A,FALSE,"DCFBase"}</definedName>
    <definedName name="wrn.print._.standalone." localSheetId="13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6">{"summary1",#N/A,TRUE,"Comps";"summary2",#N/A,TRUE,"Comps";"summary3",#N/A,TRUE,"Comps"}</definedName>
    <definedName name="wrn.print._.summary._.sheets." localSheetId="1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All." localSheetId="6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1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Earnings_template." localSheetId="6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13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localSheetId="6">{"Index",#N/A,FALSE,"Index"}</definedName>
    <definedName name="wrn.Print_Index." localSheetId="13" hidden="1">{"Index",#N/A,FALSE,"Index"}</definedName>
    <definedName name="wrn.Print_Index." hidden="1">{"Index",#N/A,FALSE,"Index"}</definedName>
    <definedName name="wrn.Print_model." localSheetId="6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1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6">{"var_page",#N/A,FALSE,"template"}</definedName>
    <definedName name="wrn.Print_Var_page." localSheetId="13" hidden="1">{"var_page",#N/A,FALSE,"template"}</definedName>
    <definedName name="wrn.Print_Var_page." hidden="1">{"var_page",#N/A,FALSE,"template"}</definedName>
    <definedName name="wrn.PRINT2." localSheetId="6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localSheetId="1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localSheetId="6">{#N/A,#N/A,FALSE,"Op-BS";#N/A,#N/A,FALSE,"Assum";#N/A,#N/A,FALSE,"IS";#N/A,#N/A,FALSE,"Syn+Elim";#N/A,#N/A,FALSE,"BSCF";#N/A,#N/A,FALSE,"Blue_IS";#N/A,#N/A,FALSE,"Blue_BSCF";#N/A,#N/A,FALSE,"Ratings"}</definedName>
    <definedName name="wrn.printac." localSheetId="13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6">{"PA1",#N/A,TRUE,"BORDMW";"pa2",#N/A,TRUE,"BORDMW";"PA3",#N/A,TRUE,"BORDMW";"PA4",#N/A,TRUE,"BORDMW"}</definedName>
    <definedName name="wrn.PrintAll." localSheetId="13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financialsmth." localSheetId="6">{"incomemth",#N/A,TRUE,"forecast00";"incomepercentmth",#N/A,TRUE,"forecast00";"balancemth",#N/A,TRUE,"forecast00";"cashmth",#N/A,TRUE,"forecast00";"covenantmth",#N/A,TRUE,"forecast00"}</definedName>
    <definedName name="wrn.Printfinancialsmth." localSheetId="13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ing." localSheetId="6">{"pg1",#N/A,FALSE,"round2";"pg2",#N/A,FALSE,"round2"}</definedName>
    <definedName name="wrn.printing." localSheetId="13" hidden="1">{"pg1",#N/A,FALSE,"round2";"pg2",#N/A,FALSE,"round2"}</definedName>
    <definedName name="wrn.printing." hidden="1">{"pg1",#N/A,FALSE,"round2";"pg2",#N/A,FALSE,"round2"}</definedName>
    <definedName name="wrn.PROFIT_LOSS." localSheetId="6">{"רווה_מסכם",#N/A,FALSE,"p&amp;l";"באור_תפעול",#N/A,FALSE,"operation";"באור_מופ",#N/A,FALSE,"R&amp;D";"באור_שיווק",#N/A,FALSE,"M&amp;S";"באור_הנהלה",#N/A,FALSE,"g&amp;a"}</definedName>
    <definedName name="wrn.PROFIT_LOSS." localSheetId="13" hidden="1">{"רווה_מסכם",#N/A,FALSE,"p&amp;l";"באור_תפעול",#N/A,FALSE,"operation";"באור_מופ",#N/A,FALSE,"R&amp;D";"באור_שיווק",#N/A,FALSE,"M&amp;S";"באור_הנהלה",#N/A,FALSE,"g&amp;a"}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jections." localSheetId="6">{"Volume",#N/A,FALSE,"volume";"revenue",#N/A,FALSE,"revenue"}</definedName>
    <definedName name="wrn.Projections." localSheetId="13" hidden="1">{"Volume",#N/A,FALSE,"volume";"revenue",#N/A,FALSE,"revenue"}</definedName>
    <definedName name="wrn.Projections." hidden="1">{"Volume",#N/A,FALSE,"volume";"revenue",#N/A,FALSE,"revenue"}</definedName>
    <definedName name="wrn.PROPERTY._.AND._.EQUIP.." localSheetId="6">{#N/A,#N/A,FALSE,"M-1 Property and Equipment";#N/A,#N/A,FALSE,"M-2 Asset Additions";#N/A,#N/A,FALSE,"M-3 Property Disposals"}</definedName>
    <definedName name="wrn.PROPERTY._.AND._.EQUIP.." localSheetId="13" hidden="1">{#N/A,#N/A,FALSE,"M-1 Property and Equipment";#N/A,#N/A,FALSE,"M-2 Asset Additions";#N/A,#N/A,FALSE,"M-3 Property Disposals"}</definedName>
    <definedName name="wrn.PROPERTY._.AND._.EQUIP.." hidden="1">{#N/A,#N/A,FALSE,"M-1 Property and Equipment";#N/A,#N/A,FALSE,"M-2 Asset Additions";#N/A,#N/A,FALSE,"M-3 Property Disposals"}</definedName>
    <definedName name="wrn.PropertyInformation." localSheetId="6">{#N/A,#N/A,FALSE,"PropertyInfo"}</definedName>
    <definedName name="wrn.PropertyInformation." localSheetId="13" hidden="1">{#N/A,#N/A,FALSE,"PropertyInfo"}</definedName>
    <definedName name="wrn.PropertyInformation." hidden="1">{#N/A,#N/A,FALSE,"PropertyInfo"}</definedName>
    <definedName name="wrn.Pulp." localSheetId="6">{"Pulp Production",#N/A,FALSE,"Pulp";"Pulp Earnings",#N/A,FALSE,"Pulp"}</definedName>
    <definedName name="wrn.Pulp." localSheetId="13" hidden="1">{"Pulp Production",#N/A,FALSE,"Pulp";"Pulp Earnings",#N/A,FALSE,"Pulp"}</definedName>
    <definedName name="wrn.Pulp." hidden="1">{"Pulp Production",#N/A,FALSE,"Pulp";"Pulp Earnings",#N/A,FALSE,"Pulp"}</definedName>
    <definedName name="wrn.Pulp.2" localSheetId="6">{"Pulp Production",#N/A,FALSE,"Pulp";"Pulp Earnings",#N/A,FALSE,"Pulp"}</definedName>
    <definedName name="wrn.Pulp.2" localSheetId="13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6">{"Pulp Production",#N/A,FALSE,"Pulp";"Pulp Earnings",#N/A,FALSE,"Pulp"}</definedName>
    <definedName name="wrn.Pulp.3" localSheetId="13" hidden="1">{"Pulp Production",#N/A,FALSE,"Pulp";"Pulp Earnings",#N/A,FALSE,"Pulp"}</definedName>
    <definedName name="wrn.Pulp.3" hidden="1">{"Pulp Production",#N/A,FALSE,"Pulp";"Pulp Earnings",#N/A,FALSE,"Pulp"}</definedName>
    <definedName name="wrn.Pump." localSheetId="6">{#N/A,#N/A,FALSE,"Assump";#N/A,#N/A,FALSE,"Income";#N/A,#N/A,FALSE,"Balance";#N/A,#N/A,FALSE,"DCF Pump";#N/A,#N/A,FALSE,"Trans Assump";#N/A,#N/A,FALSE,"Combined Income";#N/A,#N/A,FALSE,"Combined Balance"}</definedName>
    <definedName name="wrn.Pump." localSheetId="13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rchase._.Macro." localSheetId="6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localSheetId="13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tr._.3." localSheetId="6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" localSheetId="13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localSheetId="6">{"QTR1PGIBS",#N/A,FALSE,"Qtr 1 PGI";"QTR1PGIPL",#N/A,FALSE,"Qtr 1 PGI";"QTR1PGICF",#N/A,FALSE,"Qtr 1 PGI";"QTR1BS",#N/A,FALSE,"Qtr 1 ";"QTR1PL",#N/A,FALSE,"Qtr 1 ";"QTR1CF",#N/A,FALSE,"Qtr 1 "}</definedName>
    <definedName name="wrn.QTR1." localSheetId="13" hidden="1">{"QTR1PGIBS",#N/A,FALSE,"Qtr 1 PGI";"QTR1PGIPL",#N/A,FALSE,"Qtr 1 PGI";"QTR1PGICF",#N/A,FALSE,"Qtr 1 PGI";"QTR1BS",#N/A,FALSE,"Qtr 1 ";"QTR1PL",#N/A,FALSE,"Qtr 1 ";"QTR1CF",#N/A,FALSE,"Qtr 1 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localSheetId="6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" localSheetId="13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localSheetId="6">{"QTRLY1999",#N/A,FALSE,"QTRLY";"QTRLY2000",#N/A,FALSE,"QTRLY";"QTRLY2001",#N/A,FALSE,"QTRLY"}</definedName>
    <definedName name="wrn.QTRLY." localSheetId="13" hidden="1">{"QTRLY1999",#N/A,FALSE,"QTRLY";"QTRLY2000",#N/A,FALSE,"QTRLY";"QTRLY2001",#N/A,FALSE,"QTRLY"}</definedName>
    <definedName name="wrn.QTRLY." hidden="1">{"QTRLY1999",#N/A,FALSE,"QTRLY";"QTRLY2000",#N/A,FALSE,"QTRLY";"QTRLY2001",#N/A,FALSE,"QTRLY"}</definedName>
    <definedName name="wrn.QUARTERLY." localSheetId="6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1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MIFA._.Sheets." localSheetId="6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localSheetId="13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localSheetId="6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localSheetId="13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ick_pool." localSheetId="6">{"pool1",#N/A,FALSE,"tcb-spbc";"pool2",#N/A,FALSE,"tcb-spbc";"pool3",#N/A,FALSE,"tcb-spbc";"pool4",#N/A,FALSE,"tcb-spbc";"pool5",#N/A,FALSE,"tcb-spbc"}</definedName>
    <definedName name="wrn.Quick_pool." localSheetId="13" hidden="1">{"pool1",#N/A,FALSE,"tcb-spbc";"pool2",#N/A,FALSE,"tcb-spbc";"pool3",#N/A,FALSE,"tcb-spbc";"pool4",#N/A,FALSE,"tcb-spbc";"pool5",#N/A,FALSE,"tcb-spbc"}</definedName>
    <definedName name="wrn.Quick_pool." hidden="1">{"pool1",#N/A,FALSE,"tcb-spbc";"pool2",#N/A,FALSE,"tcb-spbc";"pool3",#N/A,FALSE,"tcb-spbc";"pool4",#N/A,FALSE,"tcb-spbc";"pool5",#N/A,FALSE,"tcb-spbc"}</definedName>
    <definedName name="wrn.Quick_purchase." localSheetId="6">{"purchase1",#N/A,FALSE,"tcb-spbc";"purchase2",#N/A,FALSE,"tcb-spbc";"purchase3",#N/A,FALSE,"tcb-spbc";"purchase4",#N/A,FALSE,"tcb-spbc";"purchase5",#N/A,FALSE,"tcb-spbc";"BS_restructure",#N/A,FALSE,"tcb-spbc"}</definedName>
    <definedName name="wrn.Quick_purchase." localSheetId="13" hidden="1">{"purchase1",#N/A,FALSE,"tcb-spbc";"purchase2",#N/A,FALSE,"tcb-spbc";"purchase3",#N/A,FALSE,"tcb-spbc";"purchase4",#N/A,FALSE,"tcb-spbc";"purchase5",#N/A,FALSE,"tcb-spbc";"BS_restructure",#N/A,FALSE,"tcb-spbc"}</definedName>
    <definedName name="wrn.Quick_purchase." hidden="1">{"purchase1",#N/A,FALSE,"tcb-spbc";"purchase2",#N/A,FALSE,"tcb-spbc";"purchase3",#N/A,FALSE,"tcb-spbc";"purchase4",#N/A,FALSE,"tcb-spbc";"purchase5",#N/A,FALSE,"tcb-spbc";"BS_restructure",#N/A,FALSE,"tcb-spbc"}</definedName>
    <definedName name="wrn.reagan." localSheetId="6">{"reagan is",#N/A,FALSE,"CONS IS";"reagan na",#N/A,FALSE,"NOTE PAYMENTS";"reagan bs",#N/A,FALSE,"CONS BS";"reagan cf",#N/A,FALSE,"CONS BS";"reagan ds",#N/A,FALSE,"CONS BS"}</definedName>
    <definedName name="wrn.reagan." localSheetId="13" hidden="1">{"reagan is",#N/A,FALSE,"CONS IS";"reagan na",#N/A,FALSE,"NOTE PAYMENTS";"reagan bs",#N/A,FALSE,"CONS BS";"reagan cf",#N/A,FALSE,"CONS BS";"reagan ds",#N/A,FALSE,"CONS BS"}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localSheetId="6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13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levant." localSheetId="6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6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6">{#N/A,#N/A,FALSE,"AD_Purch";#N/A,#N/A,FALSE,"Projections";#N/A,#N/A,FALSE,"DCF";#N/A,#N/A,FALSE,"Mkt Val"}</definedName>
    <definedName name="wrn.RELEVANTSHEETS." localSheetId="13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port." localSheetId="6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" localSheetId="13" hidden="1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" hidden="1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_.1." localSheetId="6">{"All Years",#N/A,FALSE,"All Years";"1998",#N/A,FALSE,"1998 Roney";"1999",#N/A,FALSE,"1999 Roney";"Q3 99",#N/A,FALSE,"YTDQ3-1999 Roney";"Q4 99",#N/A,FALSE,"Q4 1999 Forecast";"2000",#N/A,FALSE,"2000 Roney"}</definedName>
    <definedName name="wrn.Report._.1." localSheetId="13" hidden="1">{"All Years",#N/A,FALSE,"All Years";"1998",#N/A,FALSE,"1998 Roney";"1999",#N/A,FALSE,"1999 Roney";"Q3 99",#N/A,FALSE,"YTDQ3-1999 Roney";"Q4 99",#N/A,FALSE,"Q4 1999 Forecast";"2000",#N/A,FALSE,"2000 Roney"}</definedName>
    <definedName name="wrn.Report._.1." hidden="1">{"All Years",#N/A,FALSE,"All Years";"1998",#N/A,FALSE,"1998 Roney";"1999",#N/A,FALSE,"1999 Roney";"Q3 99",#N/A,FALSE,"YTDQ3-1999 Roney";"Q4 99",#N/A,FALSE,"Q4 1999 Forecast";"2000",#N/A,FALSE,"2000 Roney"}</definedName>
    <definedName name="wrn.Report._.2." localSheetId="6">{#N/A,#N/A,TRUE,"Pivots-Employee";#N/A,"Scenerio2",TRUE,"Assumptions Summary"}</definedName>
    <definedName name="wrn.Report._.2." localSheetId="13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Detail." localSheetId="6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13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6">{#N/A,#N/A,TRUE,"Pivots-Employee";#N/A,"Scenario1",TRUE,"Assumptions Summary"}</definedName>
    <definedName name="wrn.Report1." localSheetId="13" hidden="1">{#N/A,#N/A,TRUE,"Pivots-Employee";#N/A,"Scenario1",TRUE,"Assumptions Summary"}</definedName>
    <definedName name="wrn.Report1." hidden="1">{#N/A,#N/A,TRUE,"Pivots-Employee";#N/A,"Scenario1",TRUE,"Assumptions Summary"}</definedName>
    <definedName name="wrn.Reports2." localSheetId="6">{"NI2",#N/A,FALSE,"Sum - Exp";"Revenue2",#N/A,FALSE,"Sum - Exp";"Headcount2",#N/A,FALSE,"Sum - Exp";"Pipeline2",#N/A,FALSE,"Sum - Exp";"expenses",#N/A,FALSE,"Sum - Exp"}</definedName>
    <definedName name="wrn.Reports2." localSheetId="13" hidden="1">{"NI2",#N/A,FALSE,"Sum - Exp";"Revenue2",#N/A,FALSE,"Sum - Exp";"Headcount2",#N/A,FALSE,"Sum - Exp";"Pipeline2",#N/A,FALSE,"Sum - Exp";"expenses",#N/A,FALSE,"Sum - Exp"}</definedName>
    <definedName name="wrn.Reports2." hidden="1">{"NI2",#N/A,FALSE,"Sum - Exp";"Revenue2",#N/A,FALSE,"Sum - Exp";"Headcount2",#N/A,FALSE,"Sum - Exp";"Pipeline2",#N/A,FALSE,"Sum - Exp";"expenses",#N/A,FALSE,"Sum - Exp"}</definedName>
    <definedName name="wrn.revenue._.detail." localSheetId="6">{"revenue detail 1",#N/A,FALSE,"Revenue Detail";"revenue detail 2",#N/A,FALSE,"Revenue Detail";"revenue detail 3",#N/A,FALSE,"Revenue Detail";"revenue detail 4",#N/A,FALSE,"Revenue Detail"}</definedName>
    <definedName name="wrn.revenue._.detail." localSheetId="13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localSheetId="6">{"revenue graph",#N/A,FALSE,"Revenue Graph"}</definedName>
    <definedName name="wrn.revenue._.graph." localSheetId="13" hidden="1">{"revenue graph",#N/A,FALSE,"Revenue Graph"}</definedName>
    <definedName name="wrn.revenue._.graph." hidden="1">{"revenue graph",#N/A,FALSE,"Revenue Graph"}</definedName>
    <definedName name="wrn.review." localSheetId="6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localSheetId="13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Pack." localSheetId="6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" localSheetId="13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localSheetId="6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" localSheetId="13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 localSheetId="6">{"Base_rev",#N/A,FALSE,"Proj_IS_Base";"Projrev",#N/A,FALSE,"Proj_IS_wOTLC";"Delta",#N/A,FALSE,"Delta Rev_PV"}</definedName>
    <definedName name="wrn.Revs." localSheetId="13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6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localSheetId="6">{"Total",#N/A,FALSE,"Six Fields";"PDP",#N/A,FALSE,"Six Fields";"PNP",#N/A,FALSE,"Six Fields";"PUD",#N/A,FALSE,"Six Fields";"Prob",#N/A,FALSE,"Six Fields"}</definedName>
    <definedName name="wrn.Roll._.Up._.Fields." localSheetId="13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localSheetId="6">{"sales",#N/A,FALSE,"Sales";"sales existing",#N/A,FALSE,"Sales";"sales rd1",#N/A,FALSE,"Sales";"sales rd2",#N/A,FALSE,"Sales"}</definedName>
    <definedName name="wrn.sales." localSheetId="1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MarginPages." localSheetId="6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localSheetId="13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localSheetId="6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localSheetId="13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localSheetId="6">{"sample",#N/A,FALSE,"Client Input Sheet"}</definedName>
    <definedName name="wrn.sample." localSheetId="13" hidden="1">{"sample",#N/A,FALSE,"Client Input Sheet"}</definedName>
    <definedName name="wrn.sample." hidden="1">{"sample",#N/A,FALSE,"Client Input Sheet"}</definedName>
    <definedName name="wrn.SANDSQUARTERLY.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hedule_1A." localSheetId="6">{"Schedule_IA",#N/A,FALSE,"I-A"}</definedName>
    <definedName name="wrn.Schedule_1A." localSheetId="13" hidden="1">{"Schedule_IA",#N/A,FALSE,"I-A"}</definedName>
    <definedName name="wrn.Schedule_1A." hidden="1">{"Schedule_IA",#N/A,FALSE,"I-A"}</definedName>
    <definedName name="wrn.Schedule_1B." localSheetId="6">{"Schedule_1B",#N/A,FALSE,"I-B"}</definedName>
    <definedName name="wrn.Schedule_1B." localSheetId="13" hidden="1">{"Schedule_1B",#N/A,FALSE,"I-B"}</definedName>
    <definedName name="wrn.Schedule_1B." hidden="1">{"Schedule_1B",#N/A,FALSE,"I-B"}</definedName>
    <definedName name="wrn.Schedule_1C." localSheetId="6">{"Schedule_1C",#N/A,FALSE,"I-C"}</definedName>
    <definedName name="wrn.Schedule_1C." localSheetId="13" hidden="1">{"Schedule_1C",#N/A,FALSE,"I-C"}</definedName>
    <definedName name="wrn.Schedule_1C." hidden="1">{"Schedule_1C",#N/A,FALSE,"I-C"}</definedName>
    <definedName name="wrn.Schedule_1D." localSheetId="6">{"Schedule_1D",#N/A,FALSE,"I-D"}</definedName>
    <definedName name="wrn.Schedule_1D." localSheetId="13" hidden="1">{"Schedule_1D",#N/A,FALSE,"I-D"}</definedName>
    <definedName name="wrn.Schedule_1D." hidden="1">{"Schedule_1D",#N/A,FALSE,"I-D"}</definedName>
    <definedName name="wrn.Schedule_I." localSheetId="6">{"Schedule_I",#N/A,FALSE,"I"}</definedName>
    <definedName name="wrn.Schedule_I." localSheetId="13" hidden="1">{"Schedule_I",#N/A,FALSE,"I"}</definedName>
    <definedName name="wrn.Schedule_I." hidden="1">{"Schedule_I",#N/A,FALSE,"I"}</definedName>
    <definedName name="wrn.sensitivity._.analyses." localSheetId="6">{"general",#N/A,FALSE,"Assumptions"}</definedName>
    <definedName name="wrn.sensitivity._.analyses." localSheetId="13" hidden="1">{"general",#N/A,FALSE,"Assumptions"}</definedName>
    <definedName name="wrn.sensitivity._.analyses." hidden="1">{"general",#N/A,FALSE,"Assumptions"}</definedName>
    <definedName name="wrn.SHORT." localSheetId="6">{"CREDIT STATISTICS",#N/A,FALSE,"STATS";"CF_AND_IS",#N/A,FALSE,"PLAN";"BALSHEET",#N/A,FALSE,"BALANCE SHEET"}</definedName>
    <definedName name="wrn.SHORT." localSheetId="13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Print." localSheetId="6">{#N/A,#N/A,FALSE,"Cover";#N/A,#N/A,FALSE,"Stack";#N/A,#N/A,FALSE,"Cost S";#N/A,#N/A,FALSE," CF";#N/A,#N/A,FALSE,"Investor"}</definedName>
    <definedName name="wrn.Short._.Print." localSheetId="13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KSCS1." localSheetId="6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3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ff._.Costs." localSheetId="6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._.Costs." localSheetId="13" hidden="1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._.Costs." hidden="1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ing." localSheetId="6">{#N/A,#N/A,FALSE,"Assessment";#N/A,#N/A,FALSE,"Staffing";#N/A,#N/A,FALSE,"Hires";#N/A,#N/A,FALSE,"Assumptions"}</definedName>
    <definedName name="wrn.Staffing." localSheetId="13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1" localSheetId="6">{#N/A,#N/A,FALSE,"Assessment";#N/A,#N/A,FALSE,"Staffing";#N/A,#N/A,FALSE,"Hires";#N/A,#N/A,FALSE,"Assumptions"}</definedName>
    <definedName name="wrn.Staffing1" localSheetId="13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." localSheetId="6">{#N/A,#N/A,FALSE,"CBE";#N/A,#N/A,FALSE,"SWK"}</definedName>
    <definedName name="wrn.stand_alone." localSheetId="13" hidden="1">{#N/A,#N/A,FALSE,"CBE";#N/A,#N/A,FALSE,"SWK"}</definedName>
    <definedName name="wrn.stand_alone." hidden="1">{#N/A,#N/A,FALSE,"CBE";#N/A,#N/A,FALSE,"SWK"}</definedName>
    <definedName name="wrn.STAND_ALONE_BOTH." localSheetId="6">{"FCB_ALL",#N/A,FALSE,"FCB";"GREY_ALL",#N/A,FALSE,"GREY"}</definedName>
    <definedName name="wrn.STAND_ALONE_BOTH." localSheetId="13" hidden="1">{"FCB_ALL",#N/A,FALSE,"FCB";"GREY_ALL",#N/A,FALSE,"GREY"}</definedName>
    <definedName name="wrn.STAND_ALONE_BOTH." hidden="1">{"FCB_ALL",#N/A,FALSE,"FCB";"GREY_ALL",#N/A,FALSE,"GREY"}</definedName>
    <definedName name="wrn.Standard._.Exhibit." localSheetId="6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 localSheetId="13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6">{"Co1statements",#N/A,FALSE,"Cmpy1";"Co2statement",#N/A,FALSE,"Cmpy2";"co1pm",#N/A,FALSE,"Co1PM";"co2PM",#N/A,FALSE,"Co2PM";"value",#N/A,FALSE,"value";"opco",#N/A,FALSE,"NewSparkle";"adjusts",#N/A,FALSE,"Adjustments"}</definedName>
    <definedName name="wrn.Statements." localSheetId="13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OCKHOLDERS._.EQUITY." localSheetId="6">{#N/A,#N/A,FALSE,"WW-1 Stockholders' Equity"}</definedName>
    <definedName name="wrn.STOCKHOLDERS._.EQUITY." localSheetId="13" hidden="1">{#N/A,#N/A,FALSE,"WW-1 Stockholders' Equity"}</definedName>
    <definedName name="wrn.STOCKHOLDERS._.EQUITY." hidden="1">{#N/A,#N/A,FALSE,"WW-1 Stockholders' Equity"}</definedName>
    <definedName name="wrn.sum." localSheetId="6">{"Opsys",#N/A,FALSE,"NPV_OPsys";"NT",#N/A,FALSE,"NPV_NT";"DevP",#N/A,FALSE,"NPV_DevPdt";"Office",#N/A,FALSE,"NPV_Office"}</definedName>
    <definedName name="wrn.sum." localSheetId="13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IncBalRat." localSheetId="6">{#N/A,#N/A,FALSE,"Summary";#N/A,#N/A,FALSE,"Income Statement";#N/A,#N/A,FALSE,"Balance Sheet";#N/A,#N/A,FALSE,"Ratios"}</definedName>
    <definedName name="wrn.SumIncBalRat." localSheetId="13" hidden="1">{#N/A,#N/A,FALSE,"Summary";#N/A,#N/A,FALSE,"Income Statement";#N/A,#N/A,FALSE,"Balance Sheet";#N/A,#N/A,FALSE,"Ratios"}</definedName>
    <definedName name="wrn.SumIncBalRat." hidden="1">{#N/A,#N/A,FALSE,"Summary";#N/A,#N/A,FALSE,"Income Statement";#N/A,#N/A,FALSE,"Balance Sheet";#N/A,#N/A,FALSE,"Ratios"}</definedName>
    <definedName name="wrn.Summary." localSheetId="6">{"Sum1",#N/A,FALSE,"Reserve Report";"Sum2",#N/A,FALSE,"Reserve Report";"Sum3",#N/A,FALSE,"Reserve Report";"Sum4",#N/A,FALSE,"Reserve Report"}</definedName>
    <definedName name="wrn.Summary." localSheetId="13" hidden="1">{"Sum1",#N/A,FALSE,"Reserve Report";"Sum2",#N/A,FALSE,"Reserve Report";"Sum3",#N/A,FALSE,"Reserve Report";"Sum4",#N/A,FALSE,"Reserve Report"}</definedName>
    <definedName name="wrn.Summary." hidden="1">{"Sum1",#N/A,FALSE,"Reserve Report";"Sum2",#N/A,FALSE,"Reserve Report";"Sum3",#N/A,FALSE,"Reserve Report";"Sum4",#N/A,FALSE,"Reserve Report"}</definedName>
    <definedName name="wrn.summary.." localSheetId="6">{#N/A,#N/A,TRUE,"KEY DATA";#N/A,#N/A,TRUE,"KEY DATA Base Case";#N/A,#N/A,TRUE,"JULY";#N/A,#N/A,TRUE,"AUG";#N/A,#N/A,TRUE,"SEPT";#N/A,#N/A,TRUE,"3Q"}</definedName>
    <definedName name="wrn.summary.." localSheetId="13" hidden="1">{#N/A,#N/A,TRUE,"KEY DATA";#N/A,#N/A,TRUE,"KEY DATA Base Case";#N/A,#N/A,TRUE,"JULY";#N/A,#N/A,TRUE,"AUG";#N/A,#N/A,TRUE,"SEPT";#N/A,#N/A,TRUE,"3Q"}</definedName>
    <definedName name="wrn.summary.." hidden="1">{#N/A,#N/A,TRUE,"KEY DATA";#N/A,#N/A,TRUE,"KEY DATA Base Case";#N/A,#N/A,TRUE,"JULY";#N/A,#N/A,TRUE,"AUG";#N/A,#N/A,TRUE,"SEPT";#N/A,#N/A,TRUE,"3Q"}</definedName>
    <definedName name="wrn.Summary._.2." localSheetId="6">{#N/A,#N/A,TRUE,"Model"}</definedName>
    <definedName name="wrn.Summary._.2." localSheetId="13" hidden="1">{#N/A,#N/A,TRUE,"Model"}</definedName>
    <definedName name="wrn.Summary._.2." hidden="1">{#N/A,#N/A,TRUE,"Model"}</definedName>
    <definedName name="wrn.Summary._.reports." localSheetId="6">{#N/A,#N/A,FALSE,"Commentary";#N/A,#N/A,FALSE,"Executive P &amp; L Summary";#N/A,#N/A,FALSE,"Executive BS Summary &amp; Key Figs";#N/A,#N/A,FALSE,"Head count";#N/A,#N/A,FALSE,"AFE's"}</definedName>
    <definedName name="wrn.Summary._.reports." localSheetId="13" hidden="1">{#N/A,#N/A,FALSE,"Commentary";#N/A,#N/A,FALSE,"Executive P &amp; L Summary";#N/A,#N/A,FALSE,"Executive BS Summary &amp; Key Figs";#N/A,#N/A,FALSE,"Head count";#N/A,#N/A,FALSE,"AFE's"}</definedName>
    <definedName name="wrn.Summary._.reports." hidden="1">{#N/A,#N/A,FALSE,"Commentary";#N/A,#N/A,FALSE,"Executive P &amp; L Summary";#N/A,#N/A,FALSE,"Executive BS Summary &amp; Key Figs";#N/A,#N/A,FALSE,"Head count";#N/A,#N/A,FALSE,"AFE's"}</definedName>
    <definedName name="wrn.summary._.schedules." localSheetId="6">{"summary1",#N/A,FALSE,"Summary of Values";"summary2",#N/A,FALSE,"Summary of Values"}</definedName>
    <definedName name="wrn.summary._.schedules." localSheetId="13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Decom" localSheetId="6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Decom" localSheetId="13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localSheetId="6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localSheetId="13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ANDbackup." localSheetId="6">{#N/A,#N/A,FALSE,"Prem_Sum";#N/A,#N/A,FALSE,"Prem"}</definedName>
    <definedName name="wrn.summaryANDbackup." localSheetId="13" hidden="1">{#N/A,#N/A,FALSE,"Prem_Sum";#N/A,#N/A,FALSE,"Prem"}</definedName>
    <definedName name="wrn.summaryANDbackup." hidden="1">{#N/A,#N/A,FALSE,"Prem_Sum";#N/A,#N/A,FALSE,"Prem"}</definedName>
    <definedName name="wrn.SummaryPgs." localSheetId="6">{#N/A,#N/A,FALSE,"CreditStat";#N/A,#N/A,FALSE,"SPbrkup";#N/A,#N/A,FALSE,"MerSPsyn";#N/A,#N/A,FALSE,"MerSPwKCsyn";#N/A,#N/A,FALSE,"MerSPwKCsyn (2)";#N/A,#N/A,FALSE,"CreditStat (2)"}</definedName>
    <definedName name="wrn.SummaryPgs." localSheetId="13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localSheetId="6">{#N/A,#N/A,FALSE,"Report Data";#N/A,#N/A,FALSE,"COMP POOL";#N/A,#N/A,FALSE,"COMP POOL NB95";#N/A,#N/A,FALSE,"COMP POOL NB94"}</definedName>
    <definedName name="wrn.Supplemental_Reports." localSheetId="13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Target." localSheetId="6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1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6">{"targetdcf",#N/A,FALSE,"Merger consequences";"TARGETASSU",#N/A,FALSE,"Merger consequences";"TERMINAL VALUE",#N/A,FALSE,"Merger consequences"}</definedName>
    <definedName name="wrn.TARGET._.DCF." localSheetId="13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LBO." localSheetId="6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1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6">{#N/A,#N/A,FALSE,"Tar-Ass";#N/A,#N/A,FALSE,"Tar-IS";#N/A,#N/A,FALSE,"Tar-BS";#N/A,#N/A,FALSE,"Tar-Adg BS";#N/A,#N/A,FALSE,"Tar-CF"}</definedName>
    <definedName name="wrn.TargetState." localSheetId="13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6">{#N/A,#N/A,TRUE,"Val - sum";#N/A,#N/A,TRUE,"Val - Sum1";#N/A,#N/A,TRUE,"Val - sum2";#N/A,#N/A,TRUE,"Val - Sum3";#N/A,#N/A,TRUE,"Tar-DCF";#N/A,#N/A,TRUE,"Tar-Val LBO";#N/A,#N/A,TRUE,"Tar-Mult Val"}</definedName>
    <definedName name="wrn.TargetVal." localSheetId="13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ATION." localSheetId="6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13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C." localSheetId="6">{"TEC - DVMD",#N/A,FALSE,"Aout_2000";"TEC - projets en cours",#N/A,FALSE,"Aout_2000";"TEC - projets terminés",#N/A,FALSE,"Aout_2000"}</definedName>
    <definedName name="wrn.TEC." localSheetId="13" hidden="1">{"TEC - DVMD",#N/A,FALSE,"Aout_2000";"TEC - projets en cours",#N/A,FALSE,"Aout_2000";"TEC - projets terminés",#N/A,FALSE,"Aout_2000"}</definedName>
    <definedName name="wrn.TEC." hidden="1">{"TEC - DVMD",#N/A,FALSE,"Aout_2000";"TEC - projets en cours",#N/A,FALSE,"Aout_2000";"TEC - projets terminés",#N/A,FALSE,"Aout_2000"}</definedName>
    <definedName name="wrn.technology." localSheetId="6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1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6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13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6">{#N/A,#N/A,FALSE,"FS_Summary";#N/A,#N/A,FALSE,"Tomahawk";#N/A,#N/A,FALSE,"Medical Marketing";#N/A,#N/A,FALSE,"Epsilon";#N/A,#N/A,FALSE,"DIMAC";#N/A,#N/A,FALSE,"Direct";#N/A,#N/A,FALSE,"DIMAC(2)"}</definedName>
    <definedName name="wrn.telem." localSheetId="13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L." localSheetId="6">{#N/A,#N/A,FALSE,"TESTING";#N/A,#N/A,FALSE,"TESTING"}</definedName>
    <definedName name="wrn.TestL." localSheetId="13" hidden="1">{#N/A,#N/A,FALSE,"TESTING";#N/A,#N/A,FALSE,"TESTING"}</definedName>
    <definedName name="wrn.TestL." hidden="1">{#N/A,#N/A,FALSE,"TESTING";#N/A,#N/A,FALSE,"TESTING"}</definedName>
    <definedName name="wrn.TestP." localSheetId="6">{#N/A,#N/A,FALSE,"TESTING";#N/A,#N/A,FALSE,"TESTING"}</definedName>
    <definedName name="wrn.TestP." localSheetId="13" hidden="1">{#N/A,#N/A,FALSE,"TESTING";#N/A,#N/A,FALSE,"TESTING"}</definedName>
    <definedName name="wrn.TestP." hidden="1">{#N/A,#N/A,FALSE,"TESTING";#N/A,#N/A,FALSE,"TESTING"}</definedName>
    <definedName name="wrn.TheWholeEnchilada." localSheetId="6">{"CSheet",#N/A,FALSE,"C";"SmCap",#N/A,FALSE,"VAL1";"GulfCoast",#N/A,FALSE,"VAL1";"nav",#N/A,FALSE,"NAV";"Summary",#N/A,FALSE,"NAV"}</definedName>
    <definedName name="wrn.TheWholeEnchilada." localSheetId="13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odo." localSheetId="6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1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6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1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6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1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localSheetId="6">{"Total",#N/A,FALSE,"Total Proved";"PDP",#N/A,FALSE,"Total Proved";"PNP",#N/A,FALSE,"Total Proved";"PUD",#N/A,FALSE,"Total Proved"}</definedName>
    <definedName name="wrn.Total._.Proved." localSheetId="13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6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1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localSheetId="6">{#N/A,#N/A,FALSE,"2003_Input - P&amp;L"}</definedName>
    <definedName name="wrn.total._.year." localSheetId="13" hidden="1">{#N/A,#N/A,FALSE,"2003_Input - P&amp;L"}</definedName>
    <definedName name="wrn.total._.year." hidden="1">{#N/A,#N/A,FALSE,"2003_Input - P&amp;L"}</definedName>
    <definedName name="wrn.totalcomp." localSheetId="6">{"comp1",#N/A,FALSE,"COMPS";"footnotes",#N/A,FALSE,"COMPS"}</definedName>
    <definedName name="wrn.totalcomp." localSheetId="13" hidden="1">{"comp1",#N/A,FALSE,"COMPS";"footnotes",#N/A,FALSE,"COMPS"}</definedName>
    <definedName name="wrn.totalcomp." hidden="1">{"comp1",#N/A,FALSE,"COMPS";"footnotes",#N/A,FALSE,"COMPS"}</definedName>
    <definedName name="wrn.totalcomp.1" localSheetId="6">{"comp1",#N/A,FALSE,"COMPS";"footnotes",#N/A,FALSE,"COMPS"}</definedName>
    <definedName name="wrn.totalcomp.1" localSheetId="13" hidden="1">{"comp1",#N/A,FALSE,"COMPS";"footnotes",#N/A,FALSE,"COMPS"}</definedName>
    <definedName name="wrn.totalcomp.1" hidden="1">{"comp1",#N/A,FALSE,"COMPS";"footnotes",#N/A,FALSE,"COMPS"}</definedName>
    <definedName name="wrn.trademark._.and._.trade._.name." localSheetId="6">{"trademark1",#N/A,FALSE,"Trademark(s) and Trade Name(s)"}</definedName>
    <definedName name="wrn.trademark._.and._.trade._.name." localSheetId="13" hidden="1">{"trademark1",#N/A,FALSE,"Trademark(s) and Trade Name(s)"}</definedName>
    <definedName name="wrn.trademark._.and._.trade._.name." hidden="1">{"trademark1",#N/A,FALSE,"Trademark(s) and Trade Name(s)"}</definedName>
    <definedName name="wrn.trans._.sum." localSheetId="6">{"trans assumptions",#N/A,FALSE,"Merger";"trans accretion",#N/A,FALSE,"Merger"}</definedName>
    <definedName name="wrn.trans._.sum." localSheetId="13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Prcd_123." localSheetId="6">{#N/A,#N/A,TRUE,"TransPrcd 1";#N/A,#N/A,TRUE,"TransPrcd 2";#N/A,#N/A,TRUE,"TransPrcd 3"}</definedName>
    <definedName name="wrn.TransPrcd_123." localSheetId="13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weety." localSheetId="6">{#N/A,#N/A,FALSE,"A&amp;E";#N/A,#N/A,FALSE,"HighTop";#N/A,#N/A,FALSE,"JG";#N/A,#N/A,FALSE,"RI";#N/A,#N/A,FALSE,"woHT";#N/A,#N/A,FALSE,"woHT&amp;JG"}</definedName>
    <definedName name="wrn.Tweety." localSheetId="13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con._.Model." localSheetId="6">{"rtn",#N/A,FALSE,"RTN";"tables",#N/A,FALSE,"RTN";"cf",#N/A,FALSE,"CF";"stats",#N/A,FALSE,"Stats";"prop",#N/A,FALSE,"Prop"}</definedName>
    <definedName name="wrn.Tycon._.Model." localSheetId="13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phoon." localSheetId="6">{"Agg Output",#N/A,FALSE,"Operational Drivers Output";"NW Output",#N/A,FALSE,"Operational Drivers Output";"South Output",#N/A,FALSE,"Operational Drivers Output";"Central Output",#N/A,FALSE,"Operational Drivers Output"}</definedName>
    <definedName name="wrn.Typhoon." localSheetId="13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." localSheetId="6">{"up stand alones",#N/A,FALSE,"Acquiror"}</definedName>
    <definedName name="wrn.up." localSheetId="13" hidden="1">{"up stand alones",#N/A,FALSE,"Acquiror"}</definedName>
    <definedName name="wrn.up." hidden="1">{"up stand alones",#N/A,FALSE,"Acquiror"}</definedName>
    <definedName name="wrn.upstairs." localSheetId="6">{"histincome",#N/A,FALSE,"hyfins";"closing balance",#N/A,FALSE,"hyfins"}</definedName>
    <definedName name="wrn.upstairs." localSheetId="13" hidden="1">{"histincome",#N/A,FALSE,"hyfins";"closing balance",#N/A,FALSE,"hyfins"}</definedName>
    <definedName name="wrn.upstairs." hidden="1">{"histincome",#N/A,FALSE,"hyfins";"closing balance",#N/A,FALSE,"hyfins"}</definedName>
    <definedName name="wrn.VALUATION." localSheetId="6">{#N/A,#N/A,FALSE,"Valuation Assumptions";#N/A,#N/A,FALSE,"Summary";#N/A,#N/A,FALSE,"DCF";#N/A,#N/A,FALSE,"Valuation";#N/A,#N/A,FALSE,"WACC";#N/A,#N/A,FALSE,"UBVH";#N/A,#N/A,FALSE,"Free Cash Flow"}</definedName>
    <definedName name="wrn.VALUATION." localSheetId="13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acc." localSheetId="6">{"Area1",#N/A,FALSE,"OREWACC";"Area2",#N/A,FALSE,"OREWACC"}</definedName>
    <definedName name="wrn.Wacc." localSheetId="13" hidden="1">{"Area1",#N/A,FALSE,"OREWACC";"Area2",#N/A,FALSE,"OREWACC"}</definedName>
    <definedName name="wrn.Wacc." hidden="1">{"Area1",#N/A,FALSE,"OREWACC";"Area2",#N/A,FALSE,"OREWACC"}</definedName>
    <definedName name="wrn.WATERTOWN._.BUDGET." localSheetId="6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localSheetId="13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6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 localSheetId="13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_.Scrap._.Report." localSheetId="6">{#N/A,#N/A,TRUE,"GEM Total";#N/A,#N/A,TRUE,"Final Assembly";#N/A,#N/A,TRUE,"Cleaning";#N/A,#N/A,TRUE,"Schooping,Clearing";#N/A,#N/A,TRUE,"Winding"}</definedName>
    <definedName name="wrn.Weekly._.Scrap._.Report." localSheetId="13" hidden="1">{#N/A,#N/A,TRUE,"GEM Total";#N/A,#N/A,TRUE,"Final Assembly";#N/A,#N/A,TRUE,"Cleaning";#N/A,#N/A,TRUE,"Schooping,Clearing";#N/A,#N/A,TRUE,"Winding"}</definedName>
    <definedName name="wrn.Weekly._.Scrap._.Report." hidden="1">{#N/A,#N/A,TRUE,"GEM Total";#N/A,#N/A,TRUE,"Final Assembly";#N/A,#N/A,TRUE,"Cleaning";#N/A,#N/A,TRUE,"Schooping,Clearing";#N/A,#N/A,TRUE,"Winding"}</definedName>
    <definedName name="wrn.weekly._.scrap._.report..." localSheetId="6">{#N/A,#N/A,TRUE,"GEM Total";#N/A,#N/A,TRUE,"Final Assembly";#N/A,#N/A,TRUE,"Cleaning";#N/A,#N/A,TRUE,"Schooping,Clearing";#N/A,#N/A,TRUE,"Winding"}</definedName>
    <definedName name="wrn.weekly._.scrap._.report..." localSheetId="13" hidden="1">{#N/A,#N/A,TRUE,"GEM Total";#N/A,#N/A,TRUE,"Final Assembly";#N/A,#N/A,TRUE,"Cleaning";#N/A,#N/A,TRUE,"Schooping,Clearing";#N/A,#N/A,TRUE,"Winding"}</definedName>
    <definedName name="wrn.weekly._.scrap._.report..." hidden="1">{#N/A,#N/A,TRUE,"GEM Total";#N/A,#N/A,TRUE,"Final Assembly";#N/A,#N/A,TRUE,"Cleaning";#N/A,#N/A,TRUE,"Schooping,Clearing";#N/A,#N/A,TRUE,"Winding"}</definedName>
    <definedName name="wrn.West." localSheetId="6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." localSheetId="13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.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ern._.Metal." localSheetId="6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localSheetId="13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 localSheetId="6">{#N/A,#N/A,FALSE,"assumptions";#N/A,#N/A,FALSE,"contrib_annual";#N/A,#N/A,FALSE,"historic";#N/A,#N/A,FALSE,"Proforma";#N/A,#N/A,FALSE,"CALENDARIZED";#N/A,#N/A,FALSE,"Has_gets";#N/A,#N/A,FALSE,"DILUTION"}</definedName>
    <definedName name="wrn.WHOLE." localSheetId="13" hidden="1">{#N/A,#N/A,FALSE,"assumptions";#N/A,#N/A,FALSE,"contrib_annual";#N/A,#N/A,FALSE,"historic";#N/A,#N/A,FALSE,"Proforma";#N/A,#N/A,FALSE,"CALENDARIZED";#N/A,#N/A,FALSE,"Has_gets";#N/A,#N/A,FALSE,"DILUTION"}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sale." localSheetId="6">{"Total Wholesale",#N/A,FALSE,"Wholesale";"Whsle_Admin",#N/A,FALSE,"Wholesale";"Whsle_Lombard",#N/A,FALSE,"Wholesale";"Whsle_Marlton",#N/A,FALSE,"Wholesale";"Whsle_Pleasanton",#N/A,FALSE,"Wholesale"}</definedName>
    <definedName name="wrn.Wholesale." localSheetId="13" hidden="1">{"Total Wholesale",#N/A,FALSE,"Wholesale";"Whsle_Admin",#N/A,FALSE,"Wholesale";"Whsle_Lombard",#N/A,FALSE,"Wholesale";"Whsle_Marlton",#N/A,FALSE,"Wholesale";"Whsle_Pleasanton",#N/A,FALSE,"Wholesale"}</definedName>
    <definedName name="wrn.Wholesale." hidden="1">{"Total Wholesale",#N/A,FALSE,"Wholesale";"Whsle_Admin",#N/A,FALSE,"Wholesale";"Whsle_Lombard",#N/A,FALSE,"Wholesale";"Whsle_Marlton",#N/A,FALSE,"Wholesale";"Whsle_Pleasanton",#N/A,FALSE,"Wholesale"}</definedName>
    <definedName name="wrn.wicor." localSheetId="6">{#N/A,#N/A,FALSE,"FACTSHEETS";#N/A,#N/A,FALSE,"pump";#N/A,#N/A,FALSE,"filter"}</definedName>
    <definedName name="wrn.wicor." localSheetId="13" hidden="1">{#N/A,#N/A,FALSE,"FACTSHEETS";#N/A,#N/A,FALSE,"pump";#N/A,#N/A,FALSE,"filter"}</definedName>
    <definedName name="wrn.wicor." hidden="1">{#N/A,#N/A,FALSE,"FACTSHEETS";#N/A,#N/A,FALSE,"pump";#N/A,#N/A,FALSE,"filter"}</definedName>
    <definedName name="wrn.work._.paper._.shcedules." localSheetId="6">{"summary1",#N/A,FALSE,"Summary of Values";"summary2",#N/A,FALSE,"Summary of Values";"weighted average returns",#N/A,FALSE,"WACC and WARA";"fixed asset detail",#N/A,FALSE,"Fixed Asset Detail"}</definedName>
    <definedName name="wrn.work._.paper._.shcedules." localSheetId="13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Cap." localSheetId="6">{"WorkCap",#N/A,FALSE,"cashflw"}</definedName>
    <definedName name="wrn.WorkCap." localSheetId="13" hidden="1">{"WorkCap",#N/A,FALSE,"cashflw"}</definedName>
    <definedName name="wrn.WorkCap." hidden="1">{"WorkCap",#N/A,FALSE,"cashflw"}</definedName>
    <definedName name="wrn.Workpapers." localSheetId="6">{"Cash Flow Input - Legal",#N/A,FALSE,"Sep 98";"Net Income Adj - Legal",#N/A,FALSE,"Sep 98";"Working Cap Adj - Legal",#N/A,FALSE,"Sep 98";"Equity - Legal",#N/A,FALSE,"Sep 98"}</definedName>
    <definedName name="wrn.Workpapers." localSheetId="13" hidden="1">{"Cash Flow Input - Legal",#N/A,FALSE,"Sep 98";"Net Income Adj - Legal",#N/A,FALSE,"Sep 98";"Working Cap Adj - Legal",#N/A,FALSE,"Sep 98";"Equity - Legal",#N/A,FALSE,"Sep 98"}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Y95current." localSheetId="6">{"Y95current",#N/A,FALSE,"Sheet4"}</definedName>
    <definedName name="wrn.Y95current." localSheetId="13" hidden="1">{"Y95current",#N/A,FALSE,"Sheet4"}</definedName>
    <definedName name="wrn.Y95current." hidden="1">{"Y95current",#N/A,FALSE,"Sheet4"}</definedName>
    <definedName name="wrn.Y95qtrs." localSheetId="6">{"Y95qtrs",#N/A,FALSE,"Sheet4"}</definedName>
    <definedName name="wrn.Y95qtrs." localSheetId="13" hidden="1">{"Y95qtrs",#N/A,FALSE,"Sheet4"}</definedName>
    <definedName name="wrn.Y95qtrs." hidden="1">{"Y95qtrs",#N/A,FALSE,"Sheet4"}</definedName>
    <definedName name="wrn.YTD._.CON._.VS._.BUD." localSheetId="6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localSheetId="13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localSheetId="6">{"YTD CONSOL IS",#N/A,FALSE,"CONSOL";"MTD CONSOL BS",#N/A,FALSE,"CONSOL";"YTD CONSOL CF",#N/A,FALSE,"CONSOL";"YTD CONSOL COGS",#N/A,FALSE,"CONSOL";"YTD CONSOL SGA",#N/A,FALSE,"CONSOL"}</definedName>
    <definedName name="wrn.YTD._.CONSOL._.STMTS." localSheetId="13" hidden="1">{"YTD CONSOL IS",#N/A,FALSE,"CONSOL";"MTD CONSOL BS",#N/A,FALSE,"CONSOL";"YTD CONSOL CF",#N/A,FALSE,"CONSOL";"YTD CONSOL COGS",#N/A,FALSE,"CONSOL";"YTD CONSOL SGA",#N/A,FALSE,"CONSOL"}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localSheetId="6">{"YTD CTT IS",#N/A,FALSE,"CTT";"MTD CTT BS",#N/A,FALSE,"CTT";"YTD CTT CF",#N/A,FALSE,"CTT";"YTD CTT COGS",#N/A,FALSE,"CTT";"YTD CTT SGA",#N/A,FALSE,"CTT"}</definedName>
    <definedName name="wrn.YTD._.CTT._.STMTS." localSheetId="13" hidden="1">{"YTD CTT IS",#N/A,FALSE,"CTT";"MTD CTT BS",#N/A,FALSE,"CTT";"YTD CTT CF",#N/A,FALSE,"CTT";"YTD CTT COGS",#N/A,FALSE,"CTT";"YTD CTT SGA",#N/A,FALSE,"CTT"}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localSheetId="6">{"YTD CTT IS",#N/A,FALSE,"CTT VS BUDGET";"MTD CTT VS BUD BS",#N/A,FALSE,"CTT VS BUDGET";"YTD CTT CF",#N/A,FALSE,"CTT VS BUDGET";"YTD CTT COGS",#N/A,FALSE,"CTT VS BUDGET";"YTD CTT SGA",#N/A,FALSE,"CTT VS BUDGET"}</definedName>
    <definedName name="wrn.YTD._.CTT._.VS._.BUD." localSheetId="13" hidden="1">{"YTD CTT IS",#N/A,FALSE,"CTT VS BUDGET";"MTD CTT VS BUD BS",#N/A,FALSE,"CTT VS BUDGET";"YTD CTT CF",#N/A,FALSE,"CTT VS BUDGET";"YTD CTT COGS",#N/A,FALSE,"CTT VS BUDGET";"YTD CTT SGA",#N/A,FALSE,"CTT VS BUDGET"}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WLLC._.STMTS." localSheetId="6">{"YTDIS",#N/A,FALSE,"WLLC";"MTDBS",#N/A,FALSE,"WLLC";"YTDCF",#N/A,FALSE,"WLLC";"YTDCOGS",#N/A,FALSE,"WLLC";"YTDSGA",#N/A,FALSE,"WLLC"}</definedName>
    <definedName name="wrn.YTD._.WLLC._.STMTS." localSheetId="13" hidden="1">{"YTDIS",#N/A,FALSE,"WLLC";"MTDBS",#N/A,FALSE,"WLLC";"YTDCF",#N/A,FALSE,"WLLC";"YTDCOGS",#N/A,FALSE,"WLLC";"YTDSGA",#N/A,FALSE,"WLLC"}</definedName>
    <definedName name="wrn.YTD._.WLLC._.STMTS." hidden="1">{"YTDIS",#N/A,FALSE,"WLLC";"MTDBS",#N/A,FALSE,"WLLC";"YTDCF",#N/A,FALSE,"WLLC";"YTDCOGS",#N/A,FALSE,"WLLC";"YTDSGA",#N/A,FALSE,"WLLC"}</definedName>
    <definedName name="wrn.YTD._.WLLC._.VS._.BUDG." localSheetId="6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localSheetId="13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דוח_מרכז." localSheetId="6">{"רווח והפסד",#N/A,FALSE,"תכנית לבנק (2)";"באור_ראשון",#N/A,FALSE,"תכנית לבנק (2)";"באור_שני",#N/A,FALSE,"תכנית לבנק (2)";"מכירות",#N/A,FALSE,"SALES"}</definedName>
    <definedName name="wrn.דוח_מרכז." localSheetId="13" hidden="1">{"רווח והפסד",#N/A,FALSE,"תכנית לבנק (2)";"באור_ראשון",#N/A,FALSE,"תכנית לבנק (2)";"באור_שני",#N/A,FALSE,"תכנית לבנק (2)";"מכירות",#N/A,FALSE,"SALES"}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localSheetId="6">{"הערות",#N/A,FALSE,"תקציב מול ביצוע (2)"}</definedName>
    <definedName name="wrn.הערות._.רבעון._.3." localSheetId="13" hidden="1">{"הערות",#N/A,FALSE,"תקציב מול ביצוע (2)"}</definedName>
    <definedName name="wrn.הערות._.רבעון._.3." hidden="1">{"הערות",#N/A,FALSE,"תקציב מול ביצוע (2)"}</definedName>
    <definedName name="wrn.השקעות." localSheetId="6">{"השקעות",#N/A,FALSE,"investments";"מפעל חדש",#N/A,FALSE,"nf"}</definedName>
    <definedName name="wrn.השקעות." localSheetId="13" hidden="1">{"השקעות",#N/A,FALSE,"investments";"מפעל חדש",#N/A,FALSE,"nf"}</definedName>
    <definedName name="wrn.השקעות." hidden="1">{"השקעות",#N/A,FALSE,"investments";"מפעל חדש",#N/A,FALSE,"nf"}</definedName>
    <definedName name="wrn.טבלאות_עזר." localSheetId="6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localSheetId="13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localSheetId="6">{"מאזן",#N/A,FALSE,"מאזן בוחן"}</definedName>
    <definedName name="wrn.מאזן." localSheetId="13" hidden="1">{"מאזן",#N/A,FALSE,"מאזן בוחן"}</definedName>
    <definedName name="wrn.מאזן." hidden="1">{"מאזן",#N/A,FALSE,"מאזן בוחן"}</definedName>
    <definedName name="wrn.מאזן_בוחן_כללי." localSheetId="6">{#N/A,#N/A,FALSE,"מאזן בוחן";"כל_מאזן_בוחן",#N/A,FALSE,"מאזן בוחן"}</definedName>
    <definedName name="wrn.מאזן_בוחן_כללי." localSheetId="13" hidden="1">{#N/A,#N/A,FALSE,"מאזן בוחן";"כל_מאזן_בוחן",#N/A,FALSE,"מאזן בוחן"}</definedName>
    <definedName name="wrn.מאזן_בוחן_כללי." hidden="1">{#N/A,#N/A,FALSE,"מאזן בוחן";"כל_מאזן_בוחן",#N/A,FALSE,"מאזן בוחן"}</definedName>
    <definedName name="wrn.מופ." localSheetId="6">{"באור_מופ",#N/A,FALSE,"R&amp;D";"מופ_לפי_מוצרים",#N/A,FALSE,"R&amp;D"}</definedName>
    <definedName name="wrn.מופ." localSheetId="13" hidden="1">{"באור_מופ",#N/A,FALSE,"R&amp;D";"מופ_לפי_מוצרים",#N/A,FALSE,"R&amp;D"}</definedName>
    <definedName name="wrn.מופ." hidden="1">{"באור_מופ",#N/A,FALSE,"R&amp;D";"מופ_לפי_מוצרים",#N/A,FALSE,"R&amp;D"}</definedName>
    <definedName name="wrn.סעיפי_מאזן_בוחן." localSheetId="6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1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localSheetId="6">{"רווה",#N/A,FALSE,"מאזן בוחן"}</definedName>
    <definedName name="wrn.רווה." localSheetId="13" hidden="1">{"רווה",#N/A,FALSE,"מאזן בוחן"}</definedName>
    <definedName name="wrn.רווה." hidden="1">{"רווה",#N/A,FALSE,"מאזן בוחן"}</definedName>
    <definedName name="wrn.רווה_לפי_מוצרים." localSheetId="6">{"ossix",#N/A,FALSE,"ossix";"דרמיקול",#N/A,FALSE,"dermicol";"reflux",#N/A,FALSE,"reflux";"מופ_לפי_מוצרים",#N/A,FALSE,"R&amp;D"}</definedName>
    <definedName name="wrn.רווה_לפי_מוצרים." localSheetId="13" hidden="1">{"ossix",#N/A,FALSE,"ossix";"דרמיקול",#N/A,FALSE,"dermicol";"reflux",#N/A,FALSE,"reflux";"מופ_לפי_מוצרים",#N/A,FALSE,"R&amp;D"}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localSheetId="6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localSheetId="13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localSheetId="6">{"תזרים",#N/A,FALSE,"cf"}</definedName>
    <definedName name="wrn.תזרים." localSheetId="13" hidden="1">{"תזרים",#N/A,FALSE,"cf"}</definedName>
    <definedName name="wrn.תזרים." hidden="1">{"תזרים",#N/A,FALSE,"cf"}</definedName>
    <definedName name="wrn1.1.1" localSheetId="6">{#N/A,#N/A,FALSE,"Calc";#N/A,#N/A,FALSE,"Sensitivity";#N/A,#N/A,FALSE,"LT Earn.Dil.";#N/A,#N/A,FALSE,"Dil. AVP"}</definedName>
    <definedName name="wrn1.1.1" localSheetId="13" hidden="1">{#N/A,#N/A,FALSE,"Calc";#N/A,#N/A,FALSE,"Sensitivity";#N/A,#N/A,FALSE,"LT Earn.Dil.";#N/A,#N/A,FALSE,"Dil. AVP"}</definedName>
    <definedName name="wrn1.1.1" hidden="1">{#N/A,#N/A,FALSE,"Calc";#N/A,#N/A,FALSE,"Sensitivity";#N/A,#N/A,FALSE,"LT Earn.Dil.";#N/A,#N/A,FALSE,"Dil. AVP"}</definedName>
    <definedName name="wrn1.summary" localSheetId="6">{#N/A,#N/A,TRUE,"KEY DATA";#N/A,#N/A,TRUE,"KEY DATA Base Case";#N/A,#N/A,TRUE,"JULY";#N/A,#N/A,TRUE,"AUG";#N/A,#N/A,TRUE,"SEPT";#N/A,#N/A,TRUE,"3Q"}</definedName>
    <definedName name="wrn1.summary" localSheetId="13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.summary.." localSheetId="6">{#N/A,#N/A,TRUE,"KEY DATA";#N/A,#N/A,TRUE,"KEY DATA Base Case";#N/A,#N/A,TRUE,"JULY";#N/A,#N/A,TRUE,"AUG";#N/A,#N/A,TRUE,"SEPT";#N/A,#N/A,TRUE,"3Q"}</definedName>
    <definedName name="wrn1.summary.." localSheetId="13" hidden="1">{#N/A,#N/A,TRUE,"KEY DATA";#N/A,#N/A,TRUE,"KEY DATA Base Case";#N/A,#N/A,TRUE,"JULY";#N/A,#N/A,TRUE,"AUG";#N/A,#N/A,TRUE,"SEPT";#N/A,#N/A,TRUE,"3Q"}</definedName>
    <definedName name="wrn1.summary.." hidden="1">{#N/A,#N/A,TRUE,"KEY DATA";#N/A,#N/A,TRUE,"KEY DATA Base Case";#N/A,#N/A,TRUE,"JULY";#N/A,#N/A,TRUE,"AUG";#N/A,#N/A,TRUE,"SEPT";#N/A,#N/A,TRUE,"3Q"}</definedName>
    <definedName name="WRN2.Document" localSheetId="6">{"consolidated",#N/A,FALSE,"Sheet1";"cms",#N/A,FALSE,"Sheet1";"fse",#N/A,FALSE,"Sheet1"}</definedName>
    <definedName name="WRN2.Document" localSheetId="13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summary" localSheetId="6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 localSheetId="1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6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13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n" localSheetId="6">{"comps",#N/A,FALSE,"public comps";"backup",#N/A,FALSE,"public comps"}</definedName>
    <definedName name="wrnn" localSheetId="13" hidden="1">{"comps",#N/A,FALSE,"public comps";"backup",#N/A,FALSE,"public comps"}</definedName>
    <definedName name="wrnn" hidden="1">{"comps",#N/A,FALSE,"public comps";"backup",#N/A,FALSE,"public comps"}</definedName>
    <definedName name="wvu.cash." localSheetId="6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localSheetId="1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6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6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localSheetId="13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6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6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6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6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localSheetId="1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6">{"assumption 50 50",#N/A,TRUE,"Merger";"has gets cash",#N/A,TRUE,"Merger";"accretion dilution",#N/A,TRUE,"Merger";"comparison credit stats",#N/A,TRUE,"Merger";"pf credit stats",#N/A,TRUE,"Merger";"pf sheets",#N/A,TRUE,"Merger"}</definedName>
    <definedName name="ww" localSheetId="13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.Rele" localSheetId="6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w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" localSheetId="6">{#N/A,#N/A,FALSE,"Aging Summary";#N/A,#N/A,FALSE,"Ratio Analysis";#N/A,#N/A,FALSE,"Test 120 Day Accts";#N/A,#N/A,FALSE,"Tickmarks"}</definedName>
    <definedName name="x" localSheetId="13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  <definedName name="xcxzc" localSheetId="6">{#N/A,#N/A,FALSE,"AD_Purchase";#N/A,#N/A,FALSE,"Credit";#N/A,#N/A,FALSE,"PF Acquisition";#N/A,#N/A,FALSE,"PF Offering"}</definedName>
    <definedName name="xcxzc" localSheetId="13" hidden="1">{#N/A,#N/A,FALSE,"AD_Purchase";#N/A,#N/A,FALSE,"Credit";#N/A,#N/A,FALSE,"PF Acquisition";#N/A,#N/A,FALSE,"PF Offering"}</definedName>
    <definedName name="xcxzc" hidden="1">{#N/A,#N/A,FALSE,"AD_Purchase";#N/A,#N/A,FALSE,"Credit";#N/A,#N/A,FALSE,"PF Acquisition";#N/A,#N/A,FALSE,"PF Offering"}</definedName>
    <definedName name="xdfsd" localSheetId="6">{#N/A,#N/A,TRUE,"Acquirer_Cases_Input";#N/A,#N/A,TRUE,"Acquirer_Input";#N/A,#N/A,TRUE,"Acquirer"}</definedName>
    <definedName name="xdfsd" localSheetId="13" hidden="1">{#N/A,#N/A,TRUE,"Acquirer_Cases_Input";#N/A,#N/A,TRUE,"Acquirer_Input";#N/A,#N/A,TRUE,"Acquirer"}</definedName>
    <definedName name="xdfsd" hidden="1">{#N/A,#N/A,TRUE,"Acquirer_Cases_Input";#N/A,#N/A,TRUE,"Acquirer_Input";#N/A,#N/A,TRUE,"Acquirer"}</definedName>
    <definedName name="XRefColumnsCount" hidden="1">1</definedName>
    <definedName name="XRefCopyRangeCount" hidden="1">2</definedName>
    <definedName name="XRefPasteRangeCount" hidden="1">1</definedName>
    <definedName name="xvcb" localSheetId="6">{"bs",#N/A,FALSE,"SCF"}</definedName>
    <definedName name="xvcb" localSheetId="13" hidden="1">{"bs",#N/A,FALSE,"SCF"}</definedName>
    <definedName name="xvcb" hidden="1">{"bs",#N/A,FALSE,"SCF"}</definedName>
    <definedName name="xx" localSheetId="6">{"summary1",#N/A,FALSE,"Summary of Values";"summary2",#N/A,FALSE,"Summary of Values"}</definedName>
    <definedName name="xx" localSheetId="13" hidden="1">{"summary1",#N/A,FALSE,"Summary of Values";"summary2",#N/A,FALSE,"Summary of Values"}</definedName>
    <definedName name="xx" hidden="1">{"summary1",#N/A,FALSE,"Summary of Values";"summary2",#N/A,FALSE,"Summary of Values"}</definedName>
    <definedName name="xxx" localSheetId="6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 localSheetId="1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x" localSheetId="6">{"CSheet",#N/A,FALSE,"C";"SmCap",#N/A,FALSE,"VAL1";"GulfCoast",#N/A,FALSE,"VAL1";"nav",#N/A,FALSE,"NAV";"Summary",#N/A,FALSE,"NAV"}</definedName>
    <definedName name="xxxx" localSheetId="13" hidden="1">{"CSheet",#N/A,FALSE,"C";"SmCap",#N/A,FALSE,"VAL1";"GulfCoast",#N/A,FALSE,"VAL1";"nav",#N/A,FALSE,"NAV";"Summary",#N/A,FALSE,"NAV"}</definedName>
    <definedName name="xxxx" hidden="1">{"CSheet",#N/A,FALSE,"C";"SmCap",#N/A,FALSE,"VAL1";"GulfCoast",#N/A,FALSE,"VAL1";"nav",#N/A,FALSE,"NAV";"Summary",#N/A,FALSE,"NAV"}</definedName>
    <definedName name="xxxxx" localSheetId="6">{"Total",#N/A,FALSE,"Total Proved";"PDP",#N/A,FALSE,"Total Proved";"PNP",#N/A,FALSE,"Total Proved";"PUD",#N/A,FALSE,"Total Proved"}</definedName>
    <definedName name="xxxxx" localSheetId="13" hidden="1">{"Total",#N/A,FALSE,"Total Proved";"PDP",#N/A,FALSE,"Total Proved";"PNP",#N/A,FALSE,"Total Proved";"PUD",#N/A,FALSE,"Total Proved"}</definedName>
    <definedName name="xxxxx" hidden="1">{"Total",#N/A,FALSE,"Total Proved";"PDP",#N/A,FALSE,"Total Proved";"PNP",#N/A,FALSE,"Total Proved";"PUD",#N/A,FALSE,"Total Proved"}</definedName>
    <definedName name="xxxxxx" localSheetId="6">{"Total",#N/A,FALSE,"Total Proved + Probable";"PDP",#N/A,FALSE,"Total Proved + Probable";"PNP",#N/A,FALSE,"Total Proved + Probable";"PUD",#N/A,FALSE,"Total Proved + Probable";"Prob",#N/A,FALSE,"Total Proved + Probable"}</definedName>
    <definedName name="xxxxxx" localSheetId="13" hidden="1">{"Total",#N/A,FALSE,"Total Proved + Probable";"PDP",#N/A,FALSE,"Total Proved + Probable";"PNP",#N/A,FALSE,"Total Proved + Probable";"PUD",#N/A,FALSE,"Total Proved + Probable";"Prob",#N/A,FALSE,"Total Proved + Probable"}</definedName>
    <definedName name="xxxxxx" hidden="1">{"Total",#N/A,FALSE,"Total Proved + Probable";"PDP",#N/A,FALSE,"Total Proved + Probable";"PNP",#N/A,FALSE,"Total Proved + Probable";"PUD",#N/A,FALSE,"Total Proved + Probable";"Prob",#N/A,FALSE,"Total Proved + Probable"}</definedName>
    <definedName name="xxxxxxx" localSheetId="6">{"trademark1",#N/A,FALSE,"Trademark(s) and Trade Name(s)"}</definedName>
    <definedName name="xxxxxxx" localSheetId="13" hidden="1">{"trademark1",#N/A,FALSE,"Trademark(s) and Trade Name(s)"}</definedName>
    <definedName name="xxxxxxx" hidden="1">{"trademark1",#N/A,FALSE,"Trademark(s) and Trade Name(s)"}</definedName>
    <definedName name="xxxxxxxx" localSheetId="6">{"histincome",#N/A,FALSE,"hyfins";"closing balance",#N/A,FALSE,"hyfins"}</definedName>
    <definedName name="xxxxxxxx" localSheetId="13" hidden="1">{"histincome",#N/A,FALSE,"hyfins";"closing balance",#N/A,FALSE,"hyfins"}</definedName>
    <definedName name="xxxxxxxx" hidden="1">{"histincome",#N/A,FALSE,"hyfins";"closing balance",#N/A,FALSE,"hyfins"}</definedName>
    <definedName name="xyz" localSheetId="6">{"histincome",#N/A,FALSE,"hyfins";"closing balance",#N/A,FALSE,"hyfins"}</definedName>
    <definedName name="xyz" localSheetId="13" hidden="1">{"histincome",#N/A,FALSE,"hyfins";"closing balance",#N/A,FALSE,"hyfins"}</definedName>
    <definedName name="xyz" hidden="1">{"histincome",#N/A,FALSE,"hyfins";"closing balance",#N/A,FALSE,"hyfins"}</definedName>
    <definedName name="xzf" localSheetId="6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1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EAH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6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1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s" localSheetId="6">{"PAGE 1",#N/A,FALSE,"WEST_OT"}</definedName>
    <definedName name="yes" localSheetId="13" hidden="1">{"PAGE 1",#N/A,FALSE,"WEST_OT"}</definedName>
    <definedName name="yes" hidden="1">{"PAGE 1",#N/A,FALSE,"WEST_OT"}</definedName>
    <definedName name="yhn" localSheetId="6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1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ouh" localSheetId="6">{#N/A,#N/A,FALSE,"AD_Purchase";#N/A,#N/A,FALSE,"Credit";#N/A,#N/A,FALSE,"PF Acquisition";#N/A,#N/A,FALSE,"PF Offering"}</definedName>
    <definedName name="youh" localSheetId="13" hidden="1">{#N/A,#N/A,FALSE,"AD_Purchase";#N/A,#N/A,FALSE,"Credit";#N/A,#N/A,FALSE,"PF Acquisition";#N/A,#N/A,FALSE,"PF Offering"}</definedName>
    <definedName name="youh" hidden="1">{#N/A,#N/A,FALSE,"AD_Purchase";#N/A,#N/A,FALSE,"Credit";#N/A,#N/A,FALSE,"PF Acquisition";#N/A,#N/A,FALSE,"PF Offering"}</definedName>
    <definedName name="yrd" localSheetId="6">{"PAGE 1",#N/A,FALSE,"WEST_OT"}</definedName>
    <definedName name="yrd" localSheetId="13" hidden="1">{"PAGE 1",#N/A,FALSE,"WEST_OT"}</definedName>
    <definedName name="yrd" hidden="1">{"PAGE 1",#N/A,FALSE,"WEST_OT"}</definedName>
    <definedName name="yu" localSheetId="6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localSheetId="1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y" localSheetId="6">{#N/A,#N/A,TRUE,"Acquirer_Cases_Input";#N/A,#N/A,TRUE,"Acquirer_Input";#N/A,#N/A,TRUE,"Acquirer"}</definedName>
    <definedName name="yy" localSheetId="13" hidden="1">{#N/A,#N/A,TRUE,"Acquirer_Cases_Input";#N/A,#N/A,TRUE,"Acquirer_Input";#N/A,#N/A,TRUE,"Acquirer"}</definedName>
    <definedName name="yy" hidden="1">{#N/A,#N/A,TRUE,"Acquirer_Cases_Input";#N/A,#N/A,TRUE,"Acquirer_Input";#N/A,#N/A,TRUE,"Acquirer"}</definedName>
    <definedName name="yyy" localSheetId="6">{#N/A,#N/A,TRUE,"Fiber_Optic_Cable_Input ";#N/A,#N/A,TRUE,"Specialty_Fiber_Devices_Input";#N/A,#N/A,TRUE,"Optical_Fiber_Apparatus_Input"}</definedName>
    <definedName name="yyy" localSheetId="13" hidden="1">{#N/A,#N/A,TRUE,"Fiber_Optic_Cable_Input ";#N/A,#N/A,TRUE,"Specialty_Fiber_Devices_Input";#N/A,#N/A,TRUE,"Optical_Fiber_Apparatus_Input"}</definedName>
    <definedName name="yyy" hidden="1">{#N/A,#N/A,TRUE,"Fiber_Optic_Cable_Input ";#N/A,#N/A,TRUE,"Specialty_Fiber_Devices_Input";#N/A,#N/A,TRUE,"Optical_Fiber_Apparatus_Input"}</definedName>
    <definedName name="yyyyy" localSheetId="6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 localSheetId="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z" localSheetId="6">{"CSheet",#N/A,FALSE,"C";"SmCap",#N/A,FALSE,"VAL1";"GulfCoast",#N/A,FALSE,"VAL1";"nav",#N/A,FALSE,"NAV";"Summary",#N/A,FALSE,"NAV"}</definedName>
    <definedName name="z" localSheetId="13" hidden="1">{"CSheet",#N/A,FALSE,"C";"SmCap",#N/A,FALSE,"VAL1";"GulfCoast",#N/A,FALSE,"VAL1";"nav",#N/A,FALSE,"NAV";"Summary",#N/A,FALSE,"NAV"}</definedName>
    <definedName name="z" hidden="1">{"CSheet",#N/A,FALSE,"C";"SmCap",#N/A,FALSE,"VAL1";"GulfCoast",#N/A,FALSE,"VAL1";"nav",#N/A,FALSE,"NAV";"Summary",#N/A,FALSE,"NAV"}</definedName>
    <definedName name="ｚ" localSheetId="6">{"'下期集計（10.27迄・速報値）'!$Q$16"}</definedName>
    <definedName name="ｚ" localSheetId="13" hidden="1">{"'下期集計（10.27迄・速報値）'!$Q$16"}</definedName>
    <definedName name="ｚ" hidden="1">{"'下期集計（10.27迄・速報値）'!$Q$16"}</definedName>
    <definedName name="Z_108943D4_F1C1_11D2_806D_00105A0ACAB3_.wvu.Cols" hidden="1">#REF!,#REF!</definedName>
    <definedName name="Z_108943D4_F1C1_11D2_806D_00105A0ACAB3_.wvu.Rows" hidden="1">#REF!,#REF!,#REF!,#REF!,#REF!,#REF!,#REF!,#REF!,#REF!,#REF!</definedName>
    <definedName name="Z_2E7403B0_7396_11D2_8061_00105A03258D_.wvu.Cols" hidden="1">#REF!,#REF!</definedName>
    <definedName name="Z_5C525311_F45E_11D3_A510_64E98A000000_.wvu.Cols" hidden="1">#REF!</definedName>
    <definedName name="Z_5C525311_F45E_11D3_A510_64E98A000000_.wvu.Rows" hidden="1">#REF!</definedName>
    <definedName name="Z_7C4D4874_67AD_11D4_B818_0050DA5BC25B_.wvu.Cols" hidden="1">#REF!</definedName>
    <definedName name="Z_7C4D4874_67AD_11D4_B818_0050DA5BC25B_.wvu.Rows" hidden="1">#REF!,#REF!,#REF!,#REF!,#REF!,#REF!,#REF!,#REF!,#REF!,#REF!,#REF!,#REF!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D638BD64_F476_11D3_9808_00902750E8D4_.wvu.Rows" hidden="1">#REF!,#REF!,#REF!,#REF!,#REF!,#REF!,#REF!,#REF!,#REF!,#REF!</definedName>
    <definedName name="zcvqa" localSheetId="6">{#N/A,#N/A,FALSE,"AD_Purchase";#N/A,#N/A,FALSE,"Credit";#N/A,#N/A,FALSE,"PF Acquisition";#N/A,#N/A,FALSE,"PF Offering"}</definedName>
    <definedName name="zcvqa" localSheetId="13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zaa" localSheetId="6">{#N/A,#N/A,FALSE,"Debt Accr";#N/A,#N/A,FALSE,"Stock Accr";#N/A,#N/A,FALSE,"Debt Stock Accr"}</definedName>
    <definedName name="zcvzaa" localSheetId="13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xzxva" localSheetId="6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1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" localSheetId="6">{#N/A,#N/A,TRUE,"Falcons_Standalone";#N/A,#N/A,TRUE,"Target_Input";#N/A,#N/A,TRUE,"Target_Calendarized"}</definedName>
    <definedName name="zdf" localSheetId="13" hidden="1">{#N/A,#N/A,TRUE,"Falcons_Standalone";#N/A,#N/A,TRUE,"Target_Input";#N/A,#N/A,TRUE,"Target_Calendarized"}</definedName>
    <definedName name="zdf" hidden="1">{#N/A,#N/A,TRUE,"Falcons_Standalone";#N/A,#N/A,TRUE,"Target_Input";#N/A,#N/A,TRUE,"Target_Calendarized"}</definedName>
    <definedName name="zfill" hidden="1">#REF!</definedName>
    <definedName name="zscz" localSheetId="6">{#N/A,#N/A,FALSE,"Pooling";#N/A,#N/A,FALSE,"income";#N/A,#N/A,FALSE,"valuation"}</definedName>
    <definedName name="zscz" localSheetId="13" hidden="1">{#N/A,#N/A,FALSE,"Pooling";#N/A,#N/A,FALSE,"income";#N/A,#N/A,FALSE,"valuation"}</definedName>
    <definedName name="zscz" hidden="1">{#N/A,#N/A,FALSE,"Pooling";#N/A,#N/A,FALSE,"income";#N/A,#N/A,FALSE,"valuation"}</definedName>
    <definedName name="zx" localSheetId="6">{#N/A,#N/A,FALSE,"AD_Purchase";#N/A,#N/A,FALSE,"Credit";#N/A,#N/A,FALSE,"PF Acquisition";#N/A,#N/A,FALSE,"PF Offering"}</definedName>
    <definedName name="zx" localSheetId="13" hidden="1">{#N/A,#N/A,FALSE,"AD_Purchase";#N/A,#N/A,FALSE,"Credit";#N/A,#N/A,FALSE,"PF Acquisition";#N/A,#N/A,FALSE,"PF Offering"}</definedName>
    <definedName name="zx" hidden="1">{#N/A,#N/A,FALSE,"AD_Purchase";#N/A,#N/A,FALSE,"Credit";#N/A,#N/A,FALSE,"PF Acquisition";#N/A,#N/A,FALSE,"PF Offering"}</definedName>
    <definedName name="zxcc" localSheetId="6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13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z" localSheetId="6">{"summary1",#N/A,FALSE,"Summary of Values";"summary2",#N/A,FALSE,"Summary of Values";"weighted average returns",#N/A,FALSE,"WACC and WARA";"fixed asset detail",#N/A,FALSE,"Fixed Asset Detail"}</definedName>
    <definedName name="zz" localSheetId="13" hidden="1">{"summary1",#N/A,FALSE,"Summary of Values";"summary2",#N/A,FALSE,"Summary of Values";"weighted average returns",#N/A,FALSE,"WACC and WARA";"fixed asset detail",#N/A,FALSE,"Fixed Asset Detail"}</definedName>
    <definedName name="zz" hidden="1">{"summary1",#N/A,FALSE,"Summary of Values";"summary2",#N/A,FALSE,"Summary of Values";"weighted average returns",#N/A,FALSE,"WACC and WARA";"fixed asset detail",#N/A,FALSE,"Fixed Asset Detail"}</definedName>
    <definedName name="zzz" localSheetId="6">{#N/A,#N/A,TRUE,"GEM Total";#N/A,#N/A,TRUE,"Final Assembly";#N/A,#N/A,TRUE,"Cleaning";#N/A,#N/A,TRUE,"Schooping,Clearing";#N/A,#N/A,TRUE,"Winding"}</definedName>
    <definedName name="zzz" localSheetId="13" hidden="1">{#N/A,#N/A,TRUE,"GEM Total";#N/A,#N/A,TRUE,"Final Assembly";#N/A,#N/A,TRUE,"Cleaning";#N/A,#N/A,TRUE,"Schooping,Clearing";#N/A,#N/A,TRUE,"Winding"}</definedName>
    <definedName name="zzz" hidden="1">{#N/A,#N/A,TRUE,"GEM Total";#N/A,#N/A,TRUE,"Final Assembly";#N/A,#N/A,TRUE,"Cleaning";#N/A,#N/A,TRUE,"Schooping,Clearing";#N/A,#N/A,TRUE,"Winding"}</definedName>
    <definedName name="zzz.." localSheetId="6">{#N/A,#N/A,TRUE,"GEM Total";#N/A,#N/A,TRUE,"Final Assembly";#N/A,#N/A,TRUE,"Cleaning";#N/A,#N/A,TRUE,"Schooping,Clearing";#N/A,#N/A,TRUE,"Winding"}</definedName>
    <definedName name="zzz.." localSheetId="13" hidden="1">{#N/A,#N/A,TRUE,"GEM Total";#N/A,#N/A,TRUE,"Final Assembly";#N/A,#N/A,TRUE,"Cleaning";#N/A,#N/A,TRUE,"Schooping,Clearing";#N/A,#N/A,TRUE,"Winding"}</definedName>
    <definedName name="zzz.." hidden="1">{#N/A,#N/A,TRUE,"GEM Total";#N/A,#N/A,TRUE,"Final Assembly";#N/A,#N/A,TRUE,"Cleaning";#N/A,#N/A,TRUE,"Schooping,Clearing";#N/A,#N/A,TRUE,"Winding"}</definedName>
    <definedName name="zzz.com" localSheetId="6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z" localSheetId="6">{"var_page",#N/A,FALSE,"template"}</definedName>
    <definedName name="zzzzzz" localSheetId="13" hidden="1">{"var_page",#N/A,FALSE,"template"}</definedName>
    <definedName name="zzzzzz" hidden="1">{"var_page",#N/A,FALSE,"template"}</definedName>
    <definedName name="ぁ" localSheetId="6">{"'下期集計（10.27迄・速報値）'!$Q$16"}</definedName>
    <definedName name="ぁ" localSheetId="13" hidden="1">{"'下期集計（10.27迄・速報値）'!$Q$16"}</definedName>
    <definedName name="ぁ" hidden="1">{"'下期集計（10.27迄・速報値）'!$Q$16"}</definedName>
    <definedName name="あ" localSheetId="6">{"'下期集計（10.27迄・速報値）'!$Q$16"}</definedName>
    <definedName name="あ" localSheetId="13" hidden="1">{"'下期集計（10.27迄・速報値）'!$Q$16"}</definedName>
    <definedName name="あ" hidden="1">{"'下期集計（10.27迄・速報値）'!$Q$16"}</definedName>
    <definedName name="あああ" localSheetId="6">{"'下期集計（10.27迄・速報値）'!$Q$16"}</definedName>
    <definedName name="あああ" localSheetId="13" hidden="1">{"'下期集計（10.27迄・速報値）'!$Q$16"}</definedName>
    <definedName name="あああ" hidden="1">{"'下期集計（10.27迄・速報値）'!$Q$16"}</definedName>
    <definedName name="なんで" localSheetId="6">{"'下期集計（10.27迄・速報値）'!$Q$16"}</definedName>
    <definedName name="なんで" localSheetId="13" hidden="1">{"'下期集計（10.27迄・速報値）'!$Q$16"}</definedName>
    <definedName name="なんで" hidden="1">{"'下期集計（10.27迄・速報値）'!$Q$16"}</definedName>
    <definedName name="なんなの" localSheetId="6">{"'下期集計（10.27迄・速報値）'!$Q$16"}</definedName>
    <definedName name="なんなの" localSheetId="13" hidden="1">{"'下期集計（10.27迄・速報値）'!$Q$16"}</definedName>
    <definedName name="なんなの" hidden="1">{"'下期集計（10.27迄・速報値）'!$Q$16"}</definedName>
    <definedName name="אאא" localSheetId="6">{#N/A,#N/A,FALSE,"מאזן בוחן";"כל_מאזן_בוחן",#N/A,FALSE,"מאזן בוחן"}</definedName>
    <definedName name="אאא" localSheetId="13" hidden="1">{#N/A,#N/A,FALSE,"מאזן בוחן";"כל_מאזן_בוחן",#N/A,FALSE,"מאזן בוחן"}</definedName>
    <definedName name="אאא" hidden="1">{#N/A,#N/A,FALSE,"מאזן בוחן";"כל_מאזן_בוחן",#N/A,FALSE,"מאזן בוחן"}</definedName>
    <definedName name="בככ" localSheetId="6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13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年間収支買掛" localSheetId="6">{"'下期集計（10.27迄・速報値）'!$Q$16"}</definedName>
    <definedName name="年間収支買掛" localSheetId="13" hidden="1">{"'下期集計（10.27迄・速報値）'!$Q$16"}</definedName>
    <definedName name="年間収支買掛" hidden="1">{"'下期集計（10.27迄・速報値）'!$Q$16"}</definedName>
    <definedName name="年間資金収支あ" localSheetId="6">{"'下期集計（10.27迄・速報値）'!$Q$16"}</definedName>
    <definedName name="年間資金収支あ" localSheetId="13" hidden="1">{"'下期集計（10.27迄・速報値）'!$Q$16"}</definedName>
    <definedName name="年間資金収支あ" hidden="1">{"'下期集計（10.27迄・速報値）'!$Q$16"}</definedName>
    <definedName name="日繰06" localSheetId="6">{"'下期集計（10.27迄・速報値）'!$Q$16"}</definedName>
    <definedName name="日繰06" localSheetId="13" hidden="1">{"'下期集計（10.27迄・速報値）'!$Q$16"}</definedName>
    <definedName name="日繰06" hidden="1">{"'下期集計（10.27迄・速報値）'!$Q$16"}</definedName>
    <definedName name="要処理資産②" localSheetId="13" hidden="1">{"'下期集計（10.27迄・速報値）'!$Q$16"}</definedName>
    <definedName name="要処理資産②" hidden="1">{"'下期集計（10.27迄・速報値）'!$Q$16"}</definedName>
    <definedName name="資金" localSheetId="6">{"'下期集計（10.27迄・速報値）'!$Q$16"}</definedName>
    <definedName name="資金" localSheetId="13" hidden="1">{"'下期集計（10.27迄・速報値）'!$Q$16"}</definedName>
    <definedName name="資金" hidden="1">{"'下期集計（10.27迄・速報値）'!$Q$16"}</definedName>
    <definedName name="金利体系" localSheetId="6">{"'下期集計（10.27迄・速報値）'!$Q$16"}</definedName>
    <definedName name="金利体系" localSheetId="13" hidden="1">{"'下期集計（10.27迄・速報値）'!$Q$16"}</definedName>
    <definedName name="金利体系" hidden="1">{"'下期集計（10.27迄・速報値）'!$Q$16"}</definedName>
    <definedName name="関連" localSheetId="6">{"'下期集計（10.27迄・速報値）'!$Q$16"}</definedName>
    <definedName name="関連" localSheetId="13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1" i="1" l="1"/>
  <c r="AQ11" i="1"/>
  <c r="AR11" i="1"/>
  <c r="AS11" i="1"/>
  <c r="AT11" i="1"/>
  <c r="AU11" i="1"/>
  <c r="AV11" i="1"/>
  <c r="AX91" i="1"/>
  <c r="AY91" i="1"/>
  <c r="AZ91" i="1"/>
  <c r="BL91" i="1" s="1"/>
  <c r="BX91" i="1" s="1"/>
  <c r="BA91" i="1"/>
  <c r="BB91" i="1"/>
  <c r="BC91" i="1"/>
  <c r="BD91" i="1"/>
  <c r="BE91" i="1"/>
  <c r="BF91" i="1"/>
  <c r="BG91" i="1"/>
  <c r="BH91" i="1"/>
  <c r="BJ91" i="1"/>
  <c r="BK91" i="1"/>
  <c r="BM91" i="1"/>
  <c r="BN91" i="1"/>
  <c r="BO91" i="1"/>
  <c r="BP91" i="1"/>
  <c r="BQ91" i="1"/>
  <c r="BR91" i="1"/>
  <c r="BS91" i="1"/>
  <c r="BT91" i="1"/>
  <c r="BV91" i="1"/>
  <c r="BW91" i="1"/>
  <c r="AW91" i="1"/>
  <c r="BI91" i="1" s="1"/>
  <c r="BU91" i="1" s="1"/>
  <c r="T19" i="46"/>
  <c r="CM64" i="1"/>
  <c r="CC64" i="1" s="1"/>
  <c r="CD64" i="1" s="1"/>
  <c r="CE64" i="1" s="1"/>
  <c r="K75" i="15"/>
  <c r="L77" i="15"/>
  <c r="M77" i="15"/>
  <c r="K77" i="15"/>
  <c r="M47" i="15"/>
  <c r="K48" i="15"/>
  <c r="K49" i="15"/>
  <c r="K83" i="15"/>
  <c r="K82" i="15"/>
  <c r="K81" i="15"/>
  <c r="K80" i="15"/>
  <c r="K79" i="15"/>
  <c r="E9" i="50"/>
  <c r="H76" i="15"/>
  <c r="H79" i="15"/>
  <c r="H80" i="15"/>
  <c r="H81" i="15"/>
  <c r="H82" i="15"/>
  <c r="H83" i="15"/>
  <c r="H84" i="15"/>
  <c r="M50" i="15"/>
  <c r="L50" i="15"/>
  <c r="K50" i="15"/>
  <c r="K47" i="15"/>
  <c r="K51" i="15"/>
  <c r="K63" i="15"/>
  <c r="L78" i="15"/>
  <c r="M78" i="15"/>
  <c r="K78" i="15"/>
  <c r="AX84" i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J84" i="1"/>
  <c r="BK84" i="1"/>
  <c r="BL84" i="1"/>
  <c r="BM84" i="1"/>
  <c r="BN84" i="1"/>
  <c r="BO84" i="1"/>
  <c r="BP84" i="1"/>
  <c r="BQ84" i="1"/>
  <c r="BR84" i="1"/>
  <c r="BS84" i="1"/>
  <c r="BT84" i="1"/>
  <c r="BV84" i="1"/>
  <c r="BW84" i="1"/>
  <c r="BX84" i="1"/>
  <c r="AL84" i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CM75" i="1"/>
  <c r="CD75" i="1"/>
  <c r="CE75" i="1"/>
  <c r="CC75" i="1"/>
  <c r="CM23" i="1"/>
  <c r="E41" i="41"/>
  <c r="F41" i="41"/>
  <c r="G41" i="41"/>
  <c r="H41" i="41"/>
  <c r="I41" i="41"/>
  <c r="D41" i="41"/>
  <c r="E34" i="41"/>
  <c r="F34" i="41"/>
  <c r="G34" i="41"/>
  <c r="H34" i="41"/>
  <c r="I34" i="41"/>
  <c r="D34" i="41"/>
  <c r="E27" i="41"/>
  <c r="F27" i="41"/>
  <c r="G27" i="41"/>
  <c r="H27" i="41"/>
  <c r="I27" i="41"/>
  <c r="D27" i="41"/>
  <c r="E24" i="41"/>
  <c r="D24" i="41"/>
  <c r="E31" i="41"/>
  <c r="D31" i="41"/>
  <c r="E38" i="41"/>
  <c r="D38" i="41"/>
  <c r="CG52" i="1"/>
  <c r="M83" i="15"/>
  <c r="L83" i="15"/>
  <c r="M82" i="15"/>
  <c r="L82" i="15"/>
  <c r="M81" i="15"/>
  <c r="L81" i="15"/>
  <c r="M80" i="15"/>
  <c r="L80" i="15"/>
  <c r="M79" i="15"/>
  <c r="L79" i="15"/>
  <c r="M76" i="15"/>
  <c r="L76" i="15"/>
  <c r="E8" i="50"/>
  <c r="C3" i="50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D36" i="1"/>
  <c r="CB36" i="1"/>
  <c r="CC36" i="1" s="1"/>
  <c r="CD36" i="1" s="1"/>
  <c r="CE36" i="1" s="1"/>
  <c r="CB35" i="1"/>
  <c r="CB34" i="1"/>
  <c r="CB33" i="1"/>
  <c r="CB32" i="1"/>
  <c r="CB29" i="1"/>
  <c r="CB28" i="1"/>
  <c r="D31" i="1"/>
  <c r="D30" i="1"/>
  <c r="D27" i="1"/>
  <c r="L75" i="15"/>
  <c r="O69" i="15"/>
  <c r="M69" i="15"/>
  <c r="M84" i="15" s="1"/>
  <c r="L69" i="15"/>
  <c r="L84" i="15" s="1"/>
  <c r="K69" i="15"/>
  <c r="K84" i="15" s="1"/>
  <c r="O84" i="15"/>
  <c r="M52" i="15"/>
  <c r="L52" i="15"/>
  <c r="K52" i="15"/>
  <c r="CM77" i="1"/>
  <c r="CM57" i="1"/>
  <c r="O52" i="15"/>
  <c r="O46" i="15"/>
  <c r="L38" i="15"/>
  <c r="K38" i="15"/>
  <c r="L32" i="15"/>
  <c r="K32" i="15"/>
  <c r="O38" i="15"/>
  <c r="O32" i="15"/>
  <c r="I38" i="15"/>
  <c r="H38" i="15"/>
  <c r="G38" i="15"/>
  <c r="F38" i="15"/>
  <c r="I32" i="15"/>
  <c r="H32" i="15"/>
  <c r="G32" i="15"/>
  <c r="F32" i="15"/>
  <c r="I29" i="15"/>
  <c r="H29" i="15"/>
  <c r="G29" i="15"/>
  <c r="F29" i="15"/>
  <c r="I69" i="15"/>
  <c r="H69" i="15"/>
  <c r="G69" i="15"/>
  <c r="F69" i="15"/>
  <c r="I63" i="15"/>
  <c r="H63" i="15"/>
  <c r="G63" i="15"/>
  <c r="F63" i="15"/>
  <c r="AK17" i="1"/>
  <c r="I58" i="46"/>
  <c r="I12" i="47"/>
  <c r="L55" i="46"/>
  <c r="K55" i="46"/>
  <c r="J55" i="46"/>
  <c r="L54" i="46"/>
  <c r="K54" i="46"/>
  <c r="J54" i="46"/>
  <c r="L53" i="46"/>
  <c r="K53" i="46"/>
  <c r="J53" i="46"/>
  <c r="L52" i="46"/>
  <c r="K52" i="46"/>
  <c r="J52" i="46"/>
  <c r="G58" i="46"/>
  <c r="H58" i="46"/>
  <c r="F58" i="46"/>
  <c r="I3" i="49"/>
  <c r="H3" i="49"/>
  <c r="D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2" i="49"/>
  <c r="F4" i="49"/>
  <c r="G3" i="49"/>
  <c r="K4" i="47"/>
  <c r="J4" i="47"/>
  <c r="I5" i="47"/>
  <c r="I6" i="47"/>
  <c r="I7" i="47"/>
  <c r="I8" i="47"/>
  <c r="I9" i="47"/>
  <c r="I10" i="47"/>
  <c r="I4" i="47"/>
  <c r="H5" i="47"/>
  <c r="H6" i="47" s="1"/>
  <c r="H7" i="47" s="1"/>
  <c r="H8" i="47" s="1"/>
  <c r="H9" i="47" s="1"/>
  <c r="H10" i="47" s="1"/>
  <c r="F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90" i="47"/>
  <c r="F91" i="47"/>
  <c r="F92" i="47"/>
  <c r="F93" i="47"/>
  <c r="F94" i="47"/>
  <c r="F95" i="47"/>
  <c r="F96" i="47"/>
  <c r="F97" i="47"/>
  <c r="F98" i="47"/>
  <c r="F99" i="47"/>
  <c r="F100" i="47"/>
  <c r="F101" i="47"/>
  <c r="F102" i="47"/>
  <c r="F103" i="47"/>
  <c r="F104" i="47"/>
  <c r="F105" i="47"/>
  <c r="F106" i="47"/>
  <c r="F107" i="47"/>
  <c r="F108" i="47"/>
  <c r="F109" i="47"/>
  <c r="F110" i="47"/>
  <c r="F111" i="47"/>
  <c r="F112" i="47"/>
  <c r="F113" i="47"/>
  <c r="F114" i="47"/>
  <c r="F115" i="47"/>
  <c r="F116" i="47"/>
  <c r="F117" i="47"/>
  <c r="F118" i="47"/>
  <c r="F119" i="47"/>
  <c r="F120" i="47"/>
  <c r="F121" i="47"/>
  <c r="F122" i="47"/>
  <c r="F123" i="47"/>
  <c r="F124" i="47"/>
  <c r="F125" i="47"/>
  <c r="F126" i="47"/>
  <c r="F127" i="47"/>
  <c r="F128" i="47"/>
  <c r="F129" i="47"/>
  <c r="F130" i="47"/>
  <c r="F131" i="47"/>
  <c r="F132" i="47"/>
  <c r="F133" i="47"/>
  <c r="F134" i="47"/>
  <c r="F135" i="47"/>
  <c r="F136" i="47"/>
  <c r="F137" i="47"/>
  <c r="F138" i="47"/>
  <c r="F139" i="47"/>
  <c r="F140" i="47"/>
  <c r="F141" i="47"/>
  <c r="F142" i="47"/>
  <c r="F143" i="47"/>
  <c r="F144" i="47"/>
  <c r="F145" i="47"/>
  <c r="F146" i="47"/>
  <c r="F147" i="47"/>
  <c r="F148" i="47"/>
  <c r="F149" i="47"/>
  <c r="F150" i="47"/>
  <c r="F151" i="47"/>
  <c r="F152" i="47"/>
  <c r="F153" i="47"/>
  <c r="F154" i="47"/>
  <c r="F155" i="47"/>
  <c r="F156" i="47"/>
  <c r="F157" i="47"/>
  <c r="F158" i="47"/>
  <c r="F159" i="47"/>
  <c r="F160" i="47"/>
  <c r="F161" i="47"/>
  <c r="F162" i="47"/>
  <c r="F163" i="47"/>
  <c r="F164" i="47"/>
  <c r="F165" i="47"/>
  <c r="F166" i="47"/>
  <c r="F167" i="47"/>
  <c r="F168" i="47"/>
  <c r="F169" i="47"/>
  <c r="F170" i="47"/>
  <c r="F171" i="47"/>
  <c r="F172" i="47"/>
  <c r="F173" i="47"/>
  <c r="F174" i="47"/>
  <c r="F175" i="47"/>
  <c r="F176" i="47"/>
  <c r="F177" i="47"/>
  <c r="F178" i="47"/>
  <c r="F179" i="47"/>
  <c r="F180" i="47"/>
  <c r="F181" i="47"/>
  <c r="F182" i="47"/>
  <c r="F183" i="47"/>
  <c r="F184" i="47"/>
  <c r="F185" i="47"/>
  <c r="F186" i="47"/>
  <c r="F187" i="47"/>
  <c r="F188" i="47"/>
  <c r="F189" i="47"/>
  <c r="F190" i="47"/>
  <c r="F191" i="47"/>
  <c r="F192" i="47"/>
  <c r="F193" i="47"/>
  <c r="F194" i="47"/>
  <c r="F195" i="47"/>
  <c r="F196" i="47"/>
  <c r="F197" i="47"/>
  <c r="F198" i="47"/>
  <c r="F199" i="47"/>
  <c r="F200" i="47"/>
  <c r="F201" i="47"/>
  <c r="F202" i="47"/>
  <c r="F203" i="47"/>
  <c r="F204" i="47"/>
  <c r="F205" i="47"/>
  <c r="F206" i="47"/>
  <c r="F207" i="47"/>
  <c r="F208" i="47"/>
  <c r="F209" i="47"/>
  <c r="F210" i="47"/>
  <c r="F211" i="47"/>
  <c r="F212" i="47"/>
  <c r="F213" i="47"/>
  <c r="F214" i="47"/>
  <c r="F215" i="47"/>
  <c r="F216" i="47"/>
  <c r="F217" i="47"/>
  <c r="F218" i="47"/>
  <c r="F219" i="47"/>
  <c r="F220" i="47"/>
  <c r="F221" i="47"/>
  <c r="F222" i="47"/>
  <c r="F223" i="47"/>
  <c r="F224" i="47"/>
  <c r="F225" i="47"/>
  <c r="F226" i="47"/>
  <c r="F227" i="47"/>
  <c r="F228" i="47"/>
  <c r="F229" i="47"/>
  <c r="F230" i="47"/>
  <c r="F231" i="47"/>
  <c r="F232" i="47"/>
  <c r="F233" i="47"/>
  <c r="F234" i="47"/>
  <c r="F235" i="47"/>
  <c r="F236" i="47"/>
  <c r="F237" i="47"/>
  <c r="F238" i="47"/>
  <c r="F239" i="47"/>
  <c r="F240" i="47"/>
  <c r="F241" i="47"/>
  <c r="F242" i="47"/>
  <c r="F243" i="47"/>
  <c r="F244" i="47"/>
  <c r="F245" i="47"/>
  <c r="F246" i="47"/>
  <c r="F247" i="47"/>
  <c r="F248" i="47"/>
  <c r="F249" i="47"/>
  <c r="F250" i="47"/>
  <c r="F251" i="47"/>
  <c r="F252" i="47"/>
  <c r="F253" i="47"/>
  <c r="F254" i="47"/>
  <c r="F255" i="47"/>
  <c r="F256" i="47"/>
  <c r="F257" i="47"/>
  <c r="F258" i="47"/>
  <c r="F259" i="47"/>
  <c r="F260" i="47"/>
  <c r="F261" i="47"/>
  <c r="F262" i="47"/>
  <c r="F263" i="47"/>
  <c r="F264" i="47"/>
  <c r="F265" i="47"/>
  <c r="F266" i="47"/>
  <c r="F267" i="47"/>
  <c r="F268" i="47"/>
  <c r="F269" i="47"/>
  <c r="F270" i="47"/>
  <c r="F271" i="47"/>
  <c r="F272" i="47"/>
  <c r="F273" i="47"/>
  <c r="F274" i="47"/>
  <c r="F275" i="47"/>
  <c r="F276" i="47"/>
  <c r="F277" i="47"/>
  <c r="F278" i="47"/>
  <c r="F279" i="47"/>
  <c r="F280" i="47"/>
  <c r="F281" i="47"/>
  <c r="F282" i="47"/>
  <c r="F283" i="47"/>
  <c r="F284" i="47"/>
  <c r="F285" i="47"/>
  <c r="F286" i="47"/>
  <c r="F287" i="47"/>
  <c r="F288" i="47"/>
  <c r="F289" i="47"/>
  <c r="F290" i="47"/>
  <c r="F291" i="47"/>
  <c r="F292" i="47"/>
  <c r="F293" i="47"/>
  <c r="F294" i="47"/>
  <c r="F295" i="47"/>
  <c r="F296" i="47"/>
  <c r="F297" i="47"/>
  <c r="F298" i="47"/>
  <c r="F299" i="47"/>
  <c r="F300" i="47"/>
  <c r="F301" i="47"/>
  <c r="F302" i="47"/>
  <c r="F303" i="47"/>
  <c r="F304" i="47"/>
  <c r="F305" i="47"/>
  <c r="F306" i="47"/>
  <c r="F307" i="47"/>
  <c r="F308" i="47"/>
  <c r="F309" i="47"/>
  <c r="F310" i="47"/>
  <c r="F311" i="47"/>
  <c r="F312" i="47"/>
  <c r="F313" i="47"/>
  <c r="F314" i="47"/>
  <c r="F315" i="47"/>
  <c r="F316" i="47"/>
  <c r="F317" i="47"/>
  <c r="F318" i="47"/>
  <c r="F319" i="47"/>
  <c r="F2" i="47"/>
  <c r="G55" i="46"/>
  <c r="H55" i="46"/>
  <c r="I55" i="46"/>
  <c r="F55" i="46"/>
  <c r="G57" i="46"/>
  <c r="H57" i="46"/>
  <c r="I57" i="46"/>
  <c r="F57" i="46"/>
  <c r="J44" i="46"/>
  <c r="K44" i="46"/>
  <c r="L44" i="46"/>
  <c r="J45" i="46"/>
  <c r="K45" i="46"/>
  <c r="L45" i="46"/>
  <c r="J46" i="46"/>
  <c r="K46" i="46"/>
  <c r="L46" i="46"/>
  <c r="J47" i="46"/>
  <c r="K47" i="46"/>
  <c r="L47" i="46"/>
  <c r="J48" i="46"/>
  <c r="K48" i="46"/>
  <c r="L48" i="46"/>
  <c r="J49" i="46"/>
  <c r="K49" i="46"/>
  <c r="L49" i="46"/>
  <c r="J50" i="46"/>
  <c r="K50" i="46"/>
  <c r="L50" i="46"/>
  <c r="J9" i="46"/>
  <c r="K9" i="46"/>
  <c r="L9" i="46"/>
  <c r="J10" i="46"/>
  <c r="K10" i="46"/>
  <c r="L10" i="46"/>
  <c r="J11" i="46"/>
  <c r="K11" i="46"/>
  <c r="L11" i="46"/>
  <c r="J12" i="46"/>
  <c r="K12" i="46"/>
  <c r="L12" i="46"/>
  <c r="J13" i="46"/>
  <c r="K13" i="46"/>
  <c r="L13" i="46"/>
  <c r="J14" i="46"/>
  <c r="K14" i="46"/>
  <c r="L14" i="46"/>
  <c r="J15" i="46"/>
  <c r="K15" i="46"/>
  <c r="L15" i="46"/>
  <c r="J16" i="46"/>
  <c r="K16" i="46"/>
  <c r="L16" i="46"/>
  <c r="J17" i="46"/>
  <c r="K17" i="46"/>
  <c r="L17" i="46"/>
  <c r="J18" i="46"/>
  <c r="K18" i="46"/>
  <c r="L18" i="46"/>
  <c r="J19" i="46"/>
  <c r="K19" i="46"/>
  <c r="L19" i="46"/>
  <c r="J20" i="46"/>
  <c r="K20" i="46"/>
  <c r="L20" i="46"/>
  <c r="J21" i="46"/>
  <c r="K21" i="46"/>
  <c r="L21" i="46"/>
  <c r="J22" i="46"/>
  <c r="K22" i="46"/>
  <c r="L22" i="46"/>
  <c r="J23" i="46"/>
  <c r="K23" i="46"/>
  <c r="L23" i="46"/>
  <c r="J24" i="46"/>
  <c r="K24" i="46"/>
  <c r="L24" i="46"/>
  <c r="J25" i="46"/>
  <c r="K25" i="46"/>
  <c r="L25" i="46"/>
  <c r="J26" i="46"/>
  <c r="K26" i="46"/>
  <c r="L26" i="46"/>
  <c r="J27" i="46"/>
  <c r="K27" i="46"/>
  <c r="L27" i="46"/>
  <c r="J28" i="46"/>
  <c r="K28" i="46"/>
  <c r="L28" i="46"/>
  <c r="J29" i="46"/>
  <c r="K29" i="46"/>
  <c r="L29" i="46"/>
  <c r="J30" i="46"/>
  <c r="K30" i="46"/>
  <c r="L30" i="46"/>
  <c r="J31" i="46"/>
  <c r="K31" i="46"/>
  <c r="L31" i="46"/>
  <c r="J32" i="46"/>
  <c r="K32" i="46"/>
  <c r="L32" i="46"/>
  <c r="J33" i="46"/>
  <c r="K33" i="46"/>
  <c r="L33" i="46"/>
  <c r="J34" i="46"/>
  <c r="K34" i="46"/>
  <c r="L34" i="46"/>
  <c r="J35" i="46"/>
  <c r="K35" i="46"/>
  <c r="L35" i="46"/>
  <c r="J36" i="46"/>
  <c r="K36" i="46"/>
  <c r="L36" i="46"/>
  <c r="J37" i="46"/>
  <c r="K37" i="46"/>
  <c r="L37" i="46"/>
  <c r="J38" i="46"/>
  <c r="K38" i="46"/>
  <c r="L38" i="46"/>
  <c r="J39" i="46"/>
  <c r="K39" i="46"/>
  <c r="L39" i="46"/>
  <c r="J40" i="46"/>
  <c r="K40" i="46"/>
  <c r="L40" i="46"/>
  <c r="J41" i="46"/>
  <c r="K41" i="46"/>
  <c r="L41" i="46"/>
  <c r="J42" i="46"/>
  <c r="K42" i="46"/>
  <c r="L42" i="46"/>
  <c r="J43" i="46"/>
  <c r="K43" i="46"/>
  <c r="L43" i="46"/>
  <c r="L8" i="46"/>
  <c r="L57" i="46" s="1"/>
  <c r="K8" i="46"/>
  <c r="K57" i="46" s="1"/>
  <c r="J8" i="46"/>
  <c r="J57" i="46" s="1"/>
  <c r="S9" i="46"/>
  <c r="E8" i="46"/>
  <c r="D8" i="46"/>
  <c r="C9" i="46"/>
  <c r="E9" i="46" s="1"/>
  <c r="C3" i="46"/>
  <c r="CE13" i="1"/>
  <c r="CD13" i="1"/>
  <c r="CC13" i="1"/>
  <c r="CD17" i="1"/>
  <c r="CE17" i="1"/>
  <c r="CC17" i="1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19" i="9"/>
  <c r="D20" i="9"/>
  <c r="E20" i="9"/>
  <c r="D21" i="9"/>
  <c r="E21" i="9"/>
  <c r="D22" i="9"/>
  <c r="E22" i="9"/>
  <c r="D23" i="9"/>
  <c r="E23" i="9"/>
  <c r="D24" i="9"/>
  <c r="E24" i="9"/>
  <c r="F24" i="9" s="1"/>
  <c r="D25" i="9"/>
  <c r="E25" i="9"/>
  <c r="F25" i="9" s="1"/>
  <c r="D26" i="9"/>
  <c r="E26" i="9"/>
  <c r="F26" i="9" s="1"/>
  <c r="D27" i="9"/>
  <c r="E27" i="9"/>
  <c r="D28" i="9"/>
  <c r="E28" i="9"/>
  <c r="F28" i="9" s="1"/>
  <c r="D29" i="9"/>
  <c r="E29" i="9"/>
  <c r="F29" i="9" s="1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F85" i="9" s="1"/>
  <c r="D86" i="9"/>
  <c r="E86" i="9"/>
  <c r="H20" i="9"/>
  <c r="I20" i="9"/>
  <c r="H21" i="9"/>
  <c r="I21" i="9"/>
  <c r="J21" i="9" s="1"/>
  <c r="H22" i="9"/>
  <c r="I22" i="9"/>
  <c r="H23" i="9"/>
  <c r="I23" i="9"/>
  <c r="H24" i="9"/>
  <c r="I24" i="9"/>
  <c r="H25" i="9"/>
  <c r="I25" i="9"/>
  <c r="H26" i="9"/>
  <c r="I26" i="9"/>
  <c r="J26" i="9" s="1"/>
  <c r="H27" i="9"/>
  <c r="I27" i="9"/>
  <c r="H28" i="9"/>
  <c r="I28" i="9"/>
  <c r="J28" i="9" s="1"/>
  <c r="H29" i="9"/>
  <c r="I29" i="9"/>
  <c r="H30" i="9"/>
  <c r="I30" i="9"/>
  <c r="J30" i="9" s="1"/>
  <c r="H31" i="9"/>
  <c r="I31" i="9"/>
  <c r="J31" i="9" s="1"/>
  <c r="H32" i="9"/>
  <c r="I32" i="9"/>
  <c r="J32" i="9" s="1"/>
  <c r="H33" i="9"/>
  <c r="I33" i="9"/>
  <c r="H34" i="9"/>
  <c r="I34" i="9"/>
  <c r="J34" i="9" s="1"/>
  <c r="H35" i="9"/>
  <c r="I35" i="9"/>
  <c r="H36" i="9"/>
  <c r="I36" i="9"/>
  <c r="H37" i="9"/>
  <c r="I37" i="9"/>
  <c r="H38" i="9"/>
  <c r="I38" i="9"/>
  <c r="J38" i="9" s="1"/>
  <c r="H39" i="9"/>
  <c r="I39" i="9"/>
  <c r="H40" i="9"/>
  <c r="I40" i="9"/>
  <c r="J40" i="9" s="1"/>
  <c r="H41" i="9"/>
  <c r="I41" i="9"/>
  <c r="H42" i="9"/>
  <c r="I42" i="9"/>
  <c r="H43" i="9"/>
  <c r="I43" i="9"/>
  <c r="J43" i="9" s="1"/>
  <c r="H44" i="9"/>
  <c r="I44" i="9"/>
  <c r="J44" i="9" s="1"/>
  <c r="H45" i="9"/>
  <c r="I45" i="9"/>
  <c r="J45" i="9" s="1"/>
  <c r="H46" i="9"/>
  <c r="I46" i="9"/>
  <c r="H47" i="9"/>
  <c r="I47" i="9"/>
  <c r="H48" i="9"/>
  <c r="I48" i="9"/>
  <c r="H49" i="9"/>
  <c r="I49" i="9"/>
  <c r="J49" i="9" s="1"/>
  <c r="H50" i="9"/>
  <c r="I50" i="9"/>
  <c r="J50" i="9" s="1"/>
  <c r="H51" i="9"/>
  <c r="I51" i="9"/>
  <c r="J51" i="9" s="1"/>
  <c r="H52" i="9"/>
  <c r="I52" i="9"/>
  <c r="H53" i="9"/>
  <c r="I53" i="9"/>
  <c r="J53" i="9" s="1"/>
  <c r="H54" i="9"/>
  <c r="I54" i="9"/>
  <c r="H55" i="9"/>
  <c r="I55" i="9"/>
  <c r="J55" i="9" s="1"/>
  <c r="H56" i="9"/>
  <c r="I56" i="9"/>
  <c r="J56" i="9" s="1"/>
  <c r="H57" i="9"/>
  <c r="I57" i="9"/>
  <c r="J57" i="9" s="1"/>
  <c r="H58" i="9"/>
  <c r="I58" i="9"/>
  <c r="J58" i="9" s="1"/>
  <c r="H59" i="9"/>
  <c r="I59" i="9"/>
  <c r="H60" i="9"/>
  <c r="I60" i="9"/>
  <c r="J60" i="9" s="1"/>
  <c r="H61" i="9"/>
  <c r="I61" i="9"/>
  <c r="H62" i="9"/>
  <c r="I62" i="9"/>
  <c r="H63" i="9"/>
  <c r="I63" i="9"/>
  <c r="H64" i="9"/>
  <c r="I64" i="9"/>
  <c r="J64" i="9" s="1"/>
  <c r="H65" i="9"/>
  <c r="I65" i="9"/>
  <c r="J65" i="9" s="1"/>
  <c r="H66" i="9"/>
  <c r="I66" i="9"/>
  <c r="H67" i="9"/>
  <c r="I67" i="9"/>
  <c r="J67" i="9" s="1"/>
  <c r="H68" i="9"/>
  <c r="I68" i="9"/>
  <c r="H69" i="9"/>
  <c r="I69" i="9"/>
  <c r="H70" i="9"/>
  <c r="I70" i="9"/>
  <c r="H71" i="9"/>
  <c r="I71" i="9"/>
  <c r="J71" i="9" s="1"/>
  <c r="H72" i="9"/>
  <c r="I72" i="9"/>
  <c r="H73" i="9"/>
  <c r="I73" i="9"/>
  <c r="J73" i="9" s="1"/>
  <c r="H74" i="9"/>
  <c r="I74" i="9"/>
  <c r="H75" i="9"/>
  <c r="I75" i="9"/>
  <c r="H76" i="9"/>
  <c r="I76" i="9"/>
  <c r="J76" i="9" s="1"/>
  <c r="H77" i="9"/>
  <c r="I77" i="9"/>
  <c r="H78" i="9"/>
  <c r="I78" i="9"/>
  <c r="H79" i="9"/>
  <c r="I79" i="9"/>
  <c r="H80" i="9"/>
  <c r="I80" i="9"/>
  <c r="H81" i="9"/>
  <c r="I81" i="9"/>
  <c r="H82" i="9"/>
  <c r="I82" i="9"/>
  <c r="H83" i="9"/>
  <c r="I83" i="9"/>
  <c r="J83" i="9" s="1"/>
  <c r="H84" i="9"/>
  <c r="I84" i="9"/>
  <c r="J84" i="9" s="1"/>
  <c r="H85" i="9"/>
  <c r="I85" i="9"/>
  <c r="J85" i="9" s="1"/>
  <c r="H86" i="9"/>
  <c r="I86" i="9"/>
  <c r="J86" i="9" s="1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N85" i="9" s="1"/>
  <c r="M86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M19" i="9"/>
  <c r="I19" i="9"/>
  <c r="E19" i="9"/>
  <c r="L19" i="9"/>
  <c r="H19" i="9"/>
  <c r="D19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0" i="9"/>
  <c r="N58" i="9"/>
  <c r="N57" i="9"/>
  <c r="N53" i="9"/>
  <c r="N52" i="9"/>
  <c r="N51" i="9"/>
  <c r="N48" i="9"/>
  <c r="N41" i="9"/>
  <c r="N40" i="9"/>
  <c r="N39" i="9"/>
  <c r="N36" i="9"/>
  <c r="N32" i="9"/>
  <c r="N30" i="9"/>
  <c r="N29" i="9"/>
  <c r="N28" i="9"/>
  <c r="N27" i="9"/>
  <c r="N26" i="9"/>
  <c r="N25" i="9"/>
  <c r="N24" i="9"/>
  <c r="N23" i="9"/>
  <c r="N22" i="9"/>
  <c r="N21" i="9"/>
  <c r="N20" i="9"/>
  <c r="M16" i="9"/>
  <c r="L16" i="9"/>
  <c r="M15" i="9"/>
  <c r="L1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0" i="9"/>
  <c r="F58" i="9"/>
  <c r="F57" i="9"/>
  <c r="F53" i="9"/>
  <c r="F52" i="9"/>
  <c r="F51" i="9"/>
  <c r="F48" i="9"/>
  <c r="F41" i="9"/>
  <c r="F40" i="9"/>
  <c r="F39" i="9"/>
  <c r="F36" i="9"/>
  <c r="F32" i="9"/>
  <c r="F30" i="9"/>
  <c r="F27" i="9"/>
  <c r="F23" i="9"/>
  <c r="F22" i="9"/>
  <c r="F21" i="9"/>
  <c r="F20" i="9"/>
  <c r="E16" i="9"/>
  <c r="I60" i="15" s="1"/>
  <c r="D16" i="9"/>
  <c r="E15" i="9"/>
  <c r="H60" i="15" s="1"/>
  <c r="D15" i="9"/>
  <c r="I16" i="9"/>
  <c r="H16" i="9"/>
  <c r="I15" i="9"/>
  <c r="H15" i="9"/>
  <c r="H65" i="44"/>
  <c r="I117" i="45"/>
  <c r="I116" i="45"/>
  <c r="I115" i="45"/>
  <c r="C117" i="45"/>
  <c r="C116" i="45"/>
  <c r="C115" i="45"/>
  <c r="H62" i="44"/>
  <c r="H61" i="44"/>
  <c r="H60" i="44"/>
  <c r="H59" i="44"/>
  <c r="H58" i="44"/>
  <c r="H57" i="44"/>
  <c r="H56" i="44"/>
  <c r="H55" i="44"/>
  <c r="H54" i="44"/>
  <c r="H53" i="44"/>
  <c r="H52" i="44"/>
  <c r="H51" i="44"/>
  <c r="H50" i="44"/>
  <c r="H49" i="44"/>
  <c r="H48" i="44"/>
  <c r="H47" i="44"/>
  <c r="H46" i="44"/>
  <c r="H45" i="44"/>
  <c r="H44" i="44"/>
  <c r="H43" i="44"/>
  <c r="H42" i="44"/>
  <c r="H41" i="44"/>
  <c r="H40" i="44"/>
  <c r="H39" i="44"/>
  <c r="H38" i="44"/>
  <c r="H37" i="44"/>
  <c r="H36" i="44"/>
  <c r="H35" i="44"/>
  <c r="H34" i="44"/>
  <c r="H33" i="44"/>
  <c r="H32" i="44"/>
  <c r="H31" i="44"/>
  <c r="H30" i="44"/>
  <c r="H29" i="44"/>
  <c r="H28" i="44"/>
  <c r="I119" i="45"/>
  <c r="I120" i="45"/>
  <c r="I121" i="45"/>
  <c r="I122" i="45"/>
  <c r="I123" i="45"/>
  <c r="I124" i="45"/>
  <c r="I125" i="45"/>
  <c r="I126" i="45"/>
  <c r="I127" i="45"/>
  <c r="I128" i="45"/>
  <c r="I129" i="45"/>
  <c r="I130" i="45"/>
  <c r="I131" i="45"/>
  <c r="I132" i="45"/>
  <c r="I133" i="45"/>
  <c r="I134" i="45"/>
  <c r="I135" i="45"/>
  <c r="I136" i="45"/>
  <c r="I137" i="45"/>
  <c r="I138" i="45"/>
  <c r="I139" i="45"/>
  <c r="I140" i="45"/>
  <c r="I141" i="45"/>
  <c r="I142" i="45"/>
  <c r="I143" i="45"/>
  <c r="I144" i="45"/>
  <c r="I145" i="45"/>
  <c r="I146" i="45"/>
  <c r="I147" i="45"/>
  <c r="I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18" i="45"/>
  <c r="I113" i="45"/>
  <c r="C113" i="45"/>
  <c r="I112" i="45"/>
  <c r="C112" i="45"/>
  <c r="I111" i="45"/>
  <c r="C111" i="45"/>
  <c r="I110" i="45"/>
  <c r="C110" i="45"/>
  <c r="I109" i="45"/>
  <c r="C109" i="45"/>
  <c r="I108" i="45"/>
  <c r="C108" i="45"/>
  <c r="I107" i="45"/>
  <c r="C107" i="45"/>
  <c r="I106" i="45"/>
  <c r="C106" i="45"/>
  <c r="I105" i="45"/>
  <c r="C105" i="45"/>
  <c r="I104" i="45"/>
  <c r="C104" i="45"/>
  <c r="I103" i="45"/>
  <c r="C103" i="45"/>
  <c r="I102" i="45"/>
  <c r="C102" i="45"/>
  <c r="I101" i="45"/>
  <c r="C101" i="45"/>
  <c r="I100" i="45"/>
  <c r="C100" i="45"/>
  <c r="I99" i="45"/>
  <c r="C99" i="45"/>
  <c r="I98" i="45"/>
  <c r="C98" i="45"/>
  <c r="I97" i="45"/>
  <c r="C97" i="45"/>
  <c r="I96" i="45"/>
  <c r="C96" i="45"/>
  <c r="I95" i="45"/>
  <c r="C95" i="45"/>
  <c r="I94" i="45"/>
  <c r="C94" i="45"/>
  <c r="I93" i="45"/>
  <c r="C93" i="45"/>
  <c r="I92" i="45"/>
  <c r="C92" i="45"/>
  <c r="I91" i="45"/>
  <c r="C91" i="45"/>
  <c r="I90" i="45"/>
  <c r="C90" i="45"/>
  <c r="I89" i="45"/>
  <c r="C89" i="45"/>
  <c r="I88" i="45"/>
  <c r="C88" i="45"/>
  <c r="I87" i="45"/>
  <c r="C87" i="45"/>
  <c r="I86" i="45"/>
  <c r="C86" i="45"/>
  <c r="I85" i="45"/>
  <c r="C85" i="45"/>
  <c r="I84" i="45"/>
  <c r="C84" i="45"/>
  <c r="I83" i="45"/>
  <c r="C83" i="45"/>
  <c r="I82" i="45"/>
  <c r="C82" i="45"/>
  <c r="I81" i="45"/>
  <c r="C81" i="45"/>
  <c r="I80" i="45"/>
  <c r="C80" i="45"/>
  <c r="I79" i="45"/>
  <c r="C79" i="45"/>
  <c r="I78" i="45"/>
  <c r="C78" i="45"/>
  <c r="I77" i="45"/>
  <c r="C77" i="45"/>
  <c r="I76" i="45"/>
  <c r="C76" i="45"/>
  <c r="I75" i="45"/>
  <c r="C75" i="45"/>
  <c r="I74" i="45"/>
  <c r="C74" i="45"/>
  <c r="I73" i="45"/>
  <c r="C73" i="45"/>
  <c r="I72" i="45"/>
  <c r="C72" i="45"/>
  <c r="I71" i="45"/>
  <c r="C71" i="45"/>
  <c r="I70" i="45"/>
  <c r="C70" i="45"/>
  <c r="I69" i="45"/>
  <c r="C69" i="45"/>
  <c r="I68" i="45"/>
  <c r="C68" i="45"/>
  <c r="I67" i="45"/>
  <c r="C67" i="45"/>
  <c r="I66" i="45"/>
  <c r="C66" i="45"/>
  <c r="I65" i="45"/>
  <c r="C65" i="45"/>
  <c r="I64" i="45"/>
  <c r="C64" i="45"/>
  <c r="I63" i="45"/>
  <c r="C63" i="45"/>
  <c r="I62" i="45"/>
  <c r="C62" i="45"/>
  <c r="I61" i="45"/>
  <c r="C61" i="45"/>
  <c r="I60" i="45"/>
  <c r="C60" i="45"/>
  <c r="I59" i="45"/>
  <c r="C59" i="45"/>
  <c r="I58" i="45"/>
  <c r="C58" i="45"/>
  <c r="I57" i="45"/>
  <c r="C57" i="45"/>
  <c r="I56" i="45"/>
  <c r="C56" i="45"/>
  <c r="I55" i="45"/>
  <c r="C55" i="45"/>
  <c r="I54" i="45"/>
  <c r="C54" i="45"/>
  <c r="I53" i="45"/>
  <c r="C53" i="45"/>
  <c r="I52" i="45"/>
  <c r="C52" i="45"/>
  <c r="I51" i="45"/>
  <c r="C51" i="45"/>
  <c r="I50" i="45"/>
  <c r="C50" i="45"/>
  <c r="I49" i="45"/>
  <c r="C49" i="45"/>
  <c r="I48" i="45"/>
  <c r="C48" i="45"/>
  <c r="I47" i="45"/>
  <c r="C47" i="45"/>
  <c r="I46" i="45"/>
  <c r="C46" i="45"/>
  <c r="I45" i="45"/>
  <c r="C45" i="45"/>
  <c r="I44" i="45"/>
  <c r="C44" i="45"/>
  <c r="I43" i="45"/>
  <c r="C43" i="45"/>
  <c r="I42" i="45"/>
  <c r="C42" i="45"/>
  <c r="I41" i="45"/>
  <c r="C41" i="45"/>
  <c r="I40" i="45"/>
  <c r="C40" i="45"/>
  <c r="I39" i="45"/>
  <c r="C39" i="45"/>
  <c r="I38" i="45"/>
  <c r="C38" i="45"/>
  <c r="I37" i="45"/>
  <c r="C37" i="45"/>
  <c r="I36" i="45"/>
  <c r="C36" i="45"/>
  <c r="I35" i="45"/>
  <c r="C35" i="45"/>
  <c r="I34" i="45"/>
  <c r="C34" i="45"/>
  <c r="I33" i="45"/>
  <c r="C33" i="45"/>
  <c r="I32" i="45"/>
  <c r="C32" i="45"/>
  <c r="I31" i="45"/>
  <c r="C31" i="45"/>
  <c r="I30" i="45"/>
  <c r="C30" i="45"/>
  <c r="I29" i="45"/>
  <c r="C29" i="45"/>
  <c r="I28" i="45"/>
  <c r="C28" i="45"/>
  <c r="I27" i="45"/>
  <c r="C27" i="45"/>
  <c r="I26" i="45"/>
  <c r="C26" i="45"/>
  <c r="I25" i="45"/>
  <c r="C25" i="45"/>
  <c r="I24" i="45"/>
  <c r="C24" i="45"/>
  <c r="I23" i="45"/>
  <c r="C23" i="45"/>
  <c r="I22" i="45"/>
  <c r="C22" i="45"/>
  <c r="I21" i="45"/>
  <c r="C21" i="45"/>
  <c r="I20" i="45"/>
  <c r="C20" i="45"/>
  <c r="I19" i="45"/>
  <c r="C19" i="45"/>
  <c r="I18" i="45"/>
  <c r="C18" i="45"/>
  <c r="I17" i="45"/>
  <c r="C17" i="45"/>
  <c r="I16" i="45"/>
  <c r="C16" i="45"/>
  <c r="I15" i="45"/>
  <c r="C15" i="45"/>
  <c r="I14" i="45"/>
  <c r="C14" i="45"/>
  <c r="I13" i="45"/>
  <c r="C13" i="45"/>
  <c r="I12" i="45"/>
  <c r="C12" i="45"/>
  <c r="I11" i="45"/>
  <c r="C11" i="45"/>
  <c r="I10" i="45"/>
  <c r="C10" i="45"/>
  <c r="I9" i="45"/>
  <c r="C9" i="45"/>
  <c r="I8" i="45"/>
  <c r="C8" i="45"/>
  <c r="I7" i="45"/>
  <c r="C7" i="45"/>
  <c r="I6" i="45"/>
  <c r="C6" i="45"/>
  <c r="I5" i="45"/>
  <c r="C5" i="45"/>
  <c r="I4" i="45"/>
  <c r="C4" i="45"/>
  <c r="I3" i="45"/>
  <c r="C3" i="45"/>
  <c r="I2" i="45"/>
  <c r="C2" i="45"/>
  <c r="H63" i="44"/>
  <c r="E34" i="44"/>
  <c r="H27" i="44"/>
  <c r="H26" i="44"/>
  <c r="F25" i="44"/>
  <c r="H25" i="44" s="1"/>
  <c r="H24" i="44"/>
  <c r="AH92" i="43"/>
  <c r="AG92" i="43"/>
  <c r="AF92" i="43"/>
  <c r="AE92" i="43"/>
  <c r="AD92" i="43"/>
  <c r="AC92" i="43"/>
  <c r="AB92" i="43"/>
  <c r="AA92" i="43"/>
  <c r="Z92" i="43"/>
  <c r="Y92" i="43"/>
  <c r="X92" i="43"/>
  <c r="W92" i="43"/>
  <c r="V92" i="43"/>
  <c r="U92" i="43"/>
  <c r="T92" i="43"/>
  <c r="S92" i="43"/>
  <c r="R92" i="43"/>
  <c r="Q92" i="43"/>
  <c r="P92" i="43"/>
  <c r="O92" i="43"/>
  <c r="N92" i="43"/>
  <c r="M92" i="43"/>
  <c r="L92" i="43"/>
  <c r="K92" i="43"/>
  <c r="J92" i="43"/>
  <c r="I92" i="43"/>
  <c r="H92" i="43"/>
  <c r="G92" i="43"/>
  <c r="F92" i="43"/>
  <c r="E92" i="43"/>
  <c r="D92" i="43"/>
  <c r="C92" i="43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CB76" i="1" s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CB75" i="1" s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CB73" i="1" s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CB72" i="1" s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CB70" i="1" s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CB67" i="1" s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CB66" i="1" s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CB65" i="1" s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CB64" i="1" s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H59" i="1"/>
  <c r="AG59" i="1"/>
  <c r="AF59" i="1"/>
  <c r="AE59" i="1"/>
  <c r="AD59" i="1"/>
  <c r="AC59" i="1"/>
  <c r="AB59" i="1"/>
  <c r="AA59" i="1"/>
  <c r="Z59" i="1"/>
  <c r="Y59" i="1"/>
  <c r="X59" i="1"/>
  <c r="W59" i="1"/>
  <c r="CB59" i="1" s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CB58" i="1" s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CB57" i="1" s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CB56" i="1" s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CB55" i="1" s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CB53" i="1" s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H52" i="1"/>
  <c r="AG52" i="1"/>
  <c r="AF52" i="1"/>
  <c r="AE52" i="1"/>
  <c r="AD52" i="1"/>
  <c r="AC52" i="1"/>
  <c r="AB52" i="1"/>
  <c r="AA52" i="1"/>
  <c r="Z52" i="1"/>
  <c r="Y52" i="1"/>
  <c r="X52" i="1"/>
  <c r="X61" i="1" s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CB43" i="1" s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CB42" i="1" s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AD80" i="1"/>
  <c r="AC80" i="1"/>
  <c r="AB80" i="1"/>
  <c r="AA80" i="1"/>
  <c r="Z80" i="1"/>
  <c r="Y80" i="1"/>
  <c r="X80" i="1"/>
  <c r="W80" i="1"/>
  <c r="V80" i="1"/>
  <c r="U80" i="1"/>
  <c r="T80" i="1"/>
  <c r="S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AH61" i="1"/>
  <c r="AG61" i="1"/>
  <c r="AF61" i="1"/>
  <c r="AE61" i="1"/>
  <c r="AD61" i="1"/>
  <c r="AC61" i="1"/>
  <c r="AB61" i="1"/>
  <c r="AA61" i="1"/>
  <c r="Z61" i="1"/>
  <c r="Y61" i="1"/>
  <c r="W61" i="1"/>
  <c r="V61" i="1"/>
  <c r="U61" i="1"/>
  <c r="S61" i="1"/>
  <c r="R61" i="1"/>
  <c r="Q61" i="1"/>
  <c r="O61" i="1"/>
  <c r="N61" i="1"/>
  <c r="M61" i="1"/>
  <c r="L61" i="1"/>
  <c r="K61" i="1"/>
  <c r="J61" i="1"/>
  <c r="I61" i="1"/>
  <c r="H61" i="1"/>
  <c r="G61" i="1"/>
  <c r="F61" i="1"/>
  <c r="E61" i="1"/>
  <c r="D61" i="1"/>
  <c r="E47" i="1"/>
  <c r="E88" i="1" s="1"/>
  <c r="F47" i="1"/>
  <c r="G47" i="1"/>
  <c r="G88" i="1" s="1"/>
  <c r="H47" i="1"/>
  <c r="H88" i="1" s="1"/>
  <c r="I47" i="1"/>
  <c r="I88" i="1" s="1"/>
  <c r="J47" i="1"/>
  <c r="J88" i="1" s="1"/>
  <c r="K47" i="1"/>
  <c r="K88" i="1" s="1"/>
  <c r="L47" i="1"/>
  <c r="L88" i="1" s="1"/>
  <c r="M47" i="1"/>
  <c r="M88" i="1" s="1"/>
  <c r="N47" i="1"/>
  <c r="N88" i="1" s="1"/>
  <c r="O47" i="1"/>
  <c r="O88" i="1" s="1"/>
  <c r="P47" i="1"/>
  <c r="Q47" i="1"/>
  <c r="Q88" i="1" s="1"/>
  <c r="R47" i="1"/>
  <c r="S47" i="1"/>
  <c r="S88" i="1" s="1"/>
  <c r="T47" i="1"/>
  <c r="U47" i="1"/>
  <c r="U88" i="1" s="1"/>
  <c r="V47" i="1"/>
  <c r="V88" i="1" s="1"/>
  <c r="W47" i="1"/>
  <c r="W88" i="1" s="1"/>
  <c r="X47" i="1"/>
  <c r="X88" i="1" s="1"/>
  <c r="Y47" i="1"/>
  <c r="Y88" i="1" s="1"/>
  <c r="Z47" i="1"/>
  <c r="Z88" i="1" s="1"/>
  <c r="AA47" i="1"/>
  <c r="AA88" i="1" s="1"/>
  <c r="AB47" i="1"/>
  <c r="AB88" i="1" s="1"/>
  <c r="AC47" i="1"/>
  <c r="AC88" i="1" s="1"/>
  <c r="AD47" i="1"/>
  <c r="AD88" i="1" s="1"/>
  <c r="AE47" i="1"/>
  <c r="AF47" i="1"/>
  <c r="AG47" i="1"/>
  <c r="AH47" i="1"/>
  <c r="D41" i="1"/>
  <c r="AL92" i="43"/>
  <c r="AM92" i="43"/>
  <c r="AK92" i="43"/>
  <c r="AM87" i="43"/>
  <c r="AL87" i="43"/>
  <c r="AK87" i="43"/>
  <c r="AM86" i="43"/>
  <c r="AM88" i="43" s="1"/>
  <c r="AL86" i="43"/>
  <c r="AL88" i="43" s="1"/>
  <c r="AK86" i="43"/>
  <c r="AK88" i="43" s="1"/>
  <c r="AM83" i="43"/>
  <c r="AL83" i="43"/>
  <c r="AK83" i="43"/>
  <c r="AM82" i="43"/>
  <c r="AL82" i="43"/>
  <c r="AK82" i="43"/>
  <c r="AM81" i="43"/>
  <c r="AL81" i="43"/>
  <c r="AK81" i="43"/>
  <c r="AM77" i="43"/>
  <c r="AL77" i="43"/>
  <c r="AK77" i="43"/>
  <c r="AM76" i="43"/>
  <c r="AL76" i="43"/>
  <c r="AK76" i="43"/>
  <c r="AM75" i="43"/>
  <c r="AL75" i="43"/>
  <c r="AK75" i="43"/>
  <c r="AM74" i="43"/>
  <c r="AL74" i="43"/>
  <c r="AK74" i="43"/>
  <c r="AM73" i="43"/>
  <c r="AL73" i="43"/>
  <c r="AK73" i="43"/>
  <c r="AK43" i="43"/>
  <c r="AL43" i="43"/>
  <c r="AM43" i="43"/>
  <c r="AK44" i="43"/>
  <c r="AL44" i="43"/>
  <c r="AM44" i="43"/>
  <c r="AK45" i="43"/>
  <c r="AL45" i="43"/>
  <c r="AM45" i="43"/>
  <c r="AK46" i="43"/>
  <c r="AL46" i="43"/>
  <c r="AM46" i="43"/>
  <c r="AK47" i="43"/>
  <c r="AL47" i="43"/>
  <c r="AM47" i="43"/>
  <c r="AK48" i="43"/>
  <c r="AL48" i="43"/>
  <c r="AM48" i="43"/>
  <c r="AK49" i="43"/>
  <c r="AL49" i="43"/>
  <c r="AM49" i="43"/>
  <c r="AK50" i="43"/>
  <c r="AL50" i="43"/>
  <c r="AM50" i="43"/>
  <c r="AK51" i="43"/>
  <c r="AL51" i="43"/>
  <c r="AM51" i="43"/>
  <c r="AK52" i="43"/>
  <c r="AL52" i="43"/>
  <c r="AM52" i="43"/>
  <c r="AK53" i="43"/>
  <c r="AL53" i="43"/>
  <c r="AM53" i="43"/>
  <c r="AK54" i="43"/>
  <c r="AL54" i="43"/>
  <c r="AM54" i="43"/>
  <c r="AK55" i="43"/>
  <c r="AL55" i="43"/>
  <c r="AM55" i="43"/>
  <c r="AK56" i="43"/>
  <c r="AL56" i="43"/>
  <c r="AM56" i="43"/>
  <c r="AK57" i="43"/>
  <c r="AL57" i="43"/>
  <c r="AM57" i="43"/>
  <c r="AK58" i="43"/>
  <c r="AL58" i="43"/>
  <c r="AM58" i="43"/>
  <c r="AK59" i="43"/>
  <c r="AL59" i="43"/>
  <c r="AM59" i="43"/>
  <c r="AK60" i="43"/>
  <c r="AL60" i="43"/>
  <c r="AM60" i="43"/>
  <c r="AK61" i="43"/>
  <c r="AL61" i="43"/>
  <c r="AM61" i="43"/>
  <c r="AK62" i="43"/>
  <c r="AL62" i="43"/>
  <c r="AM62" i="43"/>
  <c r="AK63" i="43"/>
  <c r="AL63" i="43"/>
  <c r="AM63" i="43"/>
  <c r="AK64" i="43"/>
  <c r="AL64" i="43"/>
  <c r="AM64" i="43"/>
  <c r="AK65" i="43"/>
  <c r="AL65" i="43"/>
  <c r="AM65" i="43"/>
  <c r="AK66" i="43"/>
  <c r="AL66" i="43"/>
  <c r="AM66" i="43"/>
  <c r="AK67" i="43"/>
  <c r="AL67" i="43"/>
  <c r="AM67" i="43"/>
  <c r="AK68" i="43"/>
  <c r="AL68" i="43"/>
  <c r="AM68" i="43"/>
  <c r="AK69" i="43"/>
  <c r="AL69" i="43"/>
  <c r="AM69" i="43"/>
  <c r="AK70" i="43"/>
  <c r="AL70" i="43"/>
  <c r="AM70" i="43"/>
  <c r="AK71" i="43"/>
  <c r="AL71" i="43"/>
  <c r="AM71" i="43"/>
  <c r="AM42" i="43"/>
  <c r="AM78" i="43" s="1"/>
  <c r="AL42" i="43"/>
  <c r="AL78" i="43" s="1"/>
  <c r="AK42" i="43"/>
  <c r="AM38" i="43"/>
  <c r="AL38" i="43"/>
  <c r="AK38" i="43"/>
  <c r="AM37" i="43"/>
  <c r="AL37" i="43"/>
  <c r="AK37" i="43"/>
  <c r="AK34" i="43"/>
  <c r="AL34" i="43"/>
  <c r="AM34" i="43"/>
  <c r="AK35" i="43"/>
  <c r="AL35" i="43"/>
  <c r="AM35" i="43"/>
  <c r="AM33" i="43"/>
  <c r="AL33" i="43"/>
  <c r="AK33" i="43"/>
  <c r="AK29" i="43"/>
  <c r="AL29" i="43"/>
  <c r="AM29" i="43"/>
  <c r="AK30" i="43"/>
  <c r="AL30" i="43"/>
  <c r="AM30" i="43"/>
  <c r="AK31" i="43"/>
  <c r="AL31" i="43"/>
  <c r="AM31" i="43"/>
  <c r="AM28" i="43"/>
  <c r="AM32" i="43" s="1"/>
  <c r="AL28" i="43"/>
  <c r="AL32" i="43" s="1"/>
  <c r="AK28" i="43"/>
  <c r="AK32" i="43" s="1"/>
  <c r="AK8" i="43"/>
  <c r="AL8" i="43"/>
  <c r="AM8" i="43"/>
  <c r="AK9" i="43"/>
  <c r="AL9" i="43"/>
  <c r="AM9" i="43"/>
  <c r="AK10" i="43"/>
  <c r="AL10" i="43"/>
  <c r="AM10" i="43"/>
  <c r="AK11" i="43"/>
  <c r="AL11" i="43"/>
  <c r="AM11" i="43"/>
  <c r="AK12" i="43"/>
  <c r="AL12" i="43"/>
  <c r="AM12" i="43"/>
  <c r="AK13" i="43"/>
  <c r="AL13" i="43"/>
  <c r="AM13" i="43"/>
  <c r="AK14" i="43"/>
  <c r="AL14" i="43"/>
  <c r="AM14" i="43"/>
  <c r="AK15" i="43"/>
  <c r="AL15" i="43"/>
  <c r="AM15" i="43"/>
  <c r="AK16" i="43"/>
  <c r="AL16" i="43"/>
  <c r="AM16" i="43"/>
  <c r="AK17" i="43"/>
  <c r="AL17" i="43"/>
  <c r="AM17" i="43"/>
  <c r="AK18" i="43"/>
  <c r="AL18" i="43"/>
  <c r="AM18" i="43"/>
  <c r="AK19" i="43"/>
  <c r="AL19" i="43"/>
  <c r="AM19" i="43"/>
  <c r="AK20" i="43"/>
  <c r="AL20" i="43"/>
  <c r="AM20" i="43"/>
  <c r="AK21" i="43"/>
  <c r="AL21" i="43"/>
  <c r="AM21" i="43"/>
  <c r="AK22" i="43"/>
  <c r="AL22" i="43"/>
  <c r="AM22" i="43"/>
  <c r="AK23" i="43"/>
  <c r="AL23" i="43"/>
  <c r="AM23" i="43"/>
  <c r="AK24" i="43"/>
  <c r="AL24" i="43"/>
  <c r="AM24" i="43"/>
  <c r="AK25" i="43"/>
  <c r="AL25" i="43"/>
  <c r="AM25" i="43"/>
  <c r="AM7" i="43"/>
  <c r="AM26" i="43" s="1"/>
  <c r="AL7" i="43"/>
  <c r="AL26" i="43" s="1"/>
  <c r="AK7" i="43"/>
  <c r="AK26" i="43" s="1"/>
  <c r="AH88" i="43"/>
  <c r="AG88" i="43"/>
  <c r="AF88" i="43"/>
  <c r="AE88" i="43"/>
  <c r="AD88" i="43"/>
  <c r="AC88" i="43"/>
  <c r="AB88" i="43"/>
  <c r="AA88" i="43"/>
  <c r="Z88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AI88" i="43" s="1"/>
  <c r="AI87" i="43"/>
  <c r="AI86" i="43"/>
  <c r="AH84" i="43"/>
  <c r="AH89" i="43" s="1"/>
  <c r="AG84" i="43"/>
  <c r="AG89" i="43" s="1"/>
  <c r="AF84" i="43"/>
  <c r="AF89" i="43" s="1"/>
  <c r="AE84" i="43"/>
  <c r="AE89" i="43" s="1"/>
  <c r="AD84" i="43"/>
  <c r="AD89" i="43" s="1"/>
  <c r="AC84" i="43"/>
  <c r="AC89" i="43" s="1"/>
  <c r="AB84" i="43"/>
  <c r="AB89" i="43" s="1"/>
  <c r="AA84" i="43"/>
  <c r="AA89" i="43" s="1"/>
  <c r="Z84" i="43"/>
  <c r="Z89" i="43" s="1"/>
  <c r="Y84" i="43"/>
  <c r="Y89" i="43" s="1"/>
  <c r="X84" i="43"/>
  <c r="X89" i="43" s="1"/>
  <c r="W84" i="43"/>
  <c r="W89" i="43" s="1"/>
  <c r="V84" i="43"/>
  <c r="V89" i="43" s="1"/>
  <c r="U84" i="43"/>
  <c r="U89" i="43" s="1"/>
  <c r="T84" i="43"/>
  <c r="T89" i="43" s="1"/>
  <c r="S84" i="43"/>
  <c r="S89" i="43" s="1"/>
  <c r="R84" i="43"/>
  <c r="R89" i="43" s="1"/>
  <c r="Q84" i="43"/>
  <c r="Q89" i="43" s="1"/>
  <c r="P84" i="43"/>
  <c r="P89" i="43" s="1"/>
  <c r="O84" i="43"/>
  <c r="O89" i="43" s="1"/>
  <c r="N84" i="43"/>
  <c r="N89" i="43" s="1"/>
  <c r="M84" i="43"/>
  <c r="M89" i="43" s="1"/>
  <c r="L84" i="43"/>
  <c r="L89" i="43" s="1"/>
  <c r="K84" i="43"/>
  <c r="K89" i="43" s="1"/>
  <c r="J84" i="43"/>
  <c r="J89" i="43" s="1"/>
  <c r="I84" i="43"/>
  <c r="I89" i="43" s="1"/>
  <c r="H84" i="43"/>
  <c r="H89" i="43" s="1"/>
  <c r="G84" i="43"/>
  <c r="G89" i="43" s="1"/>
  <c r="F84" i="43"/>
  <c r="F89" i="43" s="1"/>
  <c r="E84" i="43"/>
  <c r="E89" i="43" s="1"/>
  <c r="D84" i="43"/>
  <c r="D89" i="43" s="1"/>
  <c r="C84" i="43"/>
  <c r="AI83" i="43"/>
  <c r="AI82" i="43"/>
  <c r="AI81" i="43"/>
  <c r="AI77" i="43"/>
  <c r="AI76" i="43"/>
  <c r="AI75" i="43"/>
  <c r="AI74" i="43"/>
  <c r="AI73" i="43"/>
  <c r="AH78" i="43"/>
  <c r="AG78" i="43"/>
  <c r="AF78" i="43"/>
  <c r="AE78" i="43"/>
  <c r="AD78" i="43"/>
  <c r="AC78" i="43"/>
  <c r="AB78" i="43"/>
  <c r="AA78" i="43"/>
  <c r="Z78" i="43"/>
  <c r="Y78" i="43"/>
  <c r="X78" i="43"/>
  <c r="W78" i="43"/>
  <c r="V78" i="43"/>
  <c r="U78" i="43"/>
  <c r="T78" i="43"/>
  <c r="S78" i="43"/>
  <c r="R78" i="43"/>
  <c r="Q78" i="43"/>
  <c r="P78" i="43"/>
  <c r="O78" i="43"/>
  <c r="N78" i="43"/>
  <c r="M78" i="43"/>
  <c r="L78" i="43"/>
  <c r="K78" i="43"/>
  <c r="J78" i="43"/>
  <c r="I78" i="43"/>
  <c r="H78" i="43"/>
  <c r="G78" i="43"/>
  <c r="F78" i="43"/>
  <c r="E78" i="43"/>
  <c r="D78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38" i="43"/>
  <c r="AI37" i="43"/>
  <c r="AH36" i="43"/>
  <c r="AG36" i="43"/>
  <c r="AF36" i="43"/>
  <c r="AE36" i="43"/>
  <c r="AD36" i="43"/>
  <c r="AC36" i="43"/>
  <c r="AB36" i="43"/>
  <c r="AA36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E36" i="43"/>
  <c r="D36" i="43"/>
  <c r="C36" i="43"/>
  <c r="AI35" i="43"/>
  <c r="AI33" i="43"/>
  <c r="AH32" i="43"/>
  <c r="AH39" i="43" s="1"/>
  <c r="AG32" i="43"/>
  <c r="AG39" i="43" s="1"/>
  <c r="AF32" i="43"/>
  <c r="AF39" i="43" s="1"/>
  <c r="AE32" i="43"/>
  <c r="AE39" i="43" s="1"/>
  <c r="AD32" i="43"/>
  <c r="AD39" i="43" s="1"/>
  <c r="AC32" i="43"/>
  <c r="AC39" i="43" s="1"/>
  <c r="AB32" i="43"/>
  <c r="AB39" i="43" s="1"/>
  <c r="AA32" i="43"/>
  <c r="AA39" i="43" s="1"/>
  <c r="Z32" i="43"/>
  <c r="Z39" i="43" s="1"/>
  <c r="Y32" i="43"/>
  <c r="Y39" i="43" s="1"/>
  <c r="X32" i="43"/>
  <c r="X39" i="43" s="1"/>
  <c r="W32" i="43"/>
  <c r="W39" i="43" s="1"/>
  <c r="V32" i="43"/>
  <c r="V39" i="43" s="1"/>
  <c r="U32" i="43"/>
  <c r="U39" i="43" s="1"/>
  <c r="T32" i="43"/>
  <c r="T39" i="43" s="1"/>
  <c r="S32" i="43"/>
  <c r="S39" i="43" s="1"/>
  <c r="R32" i="43"/>
  <c r="R39" i="43" s="1"/>
  <c r="Q32" i="43"/>
  <c r="Q39" i="43" s="1"/>
  <c r="P32" i="43"/>
  <c r="P39" i="43" s="1"/>
  <c r="O32" i="43"/>
  <c r="O39" i="43" s="1"/>
  <c r="N32" i="43"/>
  <c r="N39" i="43" s="1"/>
  <c r="M32" i="43"/>
  <c r="M39" i="43" s="1"/>
  <c r="L32" i="43"/>
  <c r="L39" i="43" s="1"/>
  <c r="K32" i="43"/>
  <c r="K39" i="43" s="1"/>
  <c r="J32" i="43"/>
  <c r="J39" i="43" s="1"/>
  <c r="I32" i="43"/>
  <c r="I39" i="43" s="1"/>
  <c r="H32" i="43"/>
  <c r="H39" i="43" s="1"/>
  <c r="G32" i="43"/>
  <c r="G39" i="43" s="1"/>
  <c r="F32" i="43"/>
  <c r="F39" i="43" s="1"/>
  <c r="E32" i="43"/>
  <c r="E39" i="43" s="1"/>
  <c r="D32" i="43"/>
  <c r="D39" i="43" s="1"/>
  <c r="C32" i="43"/>
  <c r="AI31" i="43"/>
  <c r="AI30" i="43"/>
  <c r="AI29" i="43"/>
  <c r="AI28" i="43"/>
  <c r="AH26" i="43"/>
  <c r="AH40" i="43" s="1"/>
  <c r="AH79" i="43" s="1"/>
  <c r="AH90" i="43" s="1"/>
  <c r="AG26" i="43"/>
  <c r="AG40" i="43" s="1"/>
  <c r="AG79" i="43" s="1"/>
  <c r="AG90" i="43" s="1"/>
  <c r="AF26" i="43"/>
  <c r="AF40" i="43" s="1"/>
  <c r="AF79" i="43" s="1"/>
  <c r="AF90" i="43" s="1"/>
  <c r="AE26" i="43"/>
  <c r="AE40" i="43" s="1"/>
  <c r="AE79" i="43" s="1"/>
  <c r="AE90" i="43" s="1"/>
  <c r="AD26" i="43"/>
  <c r="AD40" i="43" s="1"/>
  <c r="AD79" i="43" s="1"/>
  <c r="AD90" i="43" s="1"/>
  <c r="AC26" i="43"/>
  <c r="AC40" i="43" s="1"/>
  <c r="AC79" i="43" s="1"/>
  <c r="AC90" i="43" s="1"/>
  <c r="AB26" i="43"/>
  <c r="AB40" i="43" s="1"/>
  <c r="AB79" i="43" s="1"/>
  <c r="AB90" i="43" s="1"/>
  <c r="AA26" i="43"/>
  <c r="AA40" i="43" s="1"/>
  <c r="AA79" i="43" s="1"/>
  <c r="AA90" i="43" s="1"/>
  <c r="Z26" i="43"/>
  <c r="Z40" i="43" s="1"/>
  <c r="Z79" i="43" s="1"/>
  <c r="Z90" i="43" s="1"/>
  <c r="Y26" i="43"/>
  <c r="Y40" i="43" s="1"/>
  <c r="Y79" i="43" s="1"/>
  <c r="Y90" i="43" s="1"/>
  <c r="X26" i="43"/>
  <c r="X40" i="43" s="1"/>
  <c r="X79" i="43" s="1"/>
  <c r="X90" i="43" s="1"/>
  <c r="W26" i="43"/>
  <c r="W40" i="43" s="1"/>
  <c r="W79" i="43" s="1"/>
  <c r="W90" i="43" s="1"/>
  <c r="V26" i="43"/>
  <c r="V40" i="43" s="1"/>
  <c r="V79" i="43" s="1"/>
  <c r="V90" i="43" s="1"/>
  <c r="U26" i="43"/>
  <c r="U40" i="43" s="1"/>
  <c r="U79" i="43" s="1"/>
  <c r="U90" i="43" s="1"/>
  <c r="T26" i="43"/>
  <c r="T40" i="43" s="1"/>
  <c r="T79" i="43" s="1"/>
  <c r="T90" i="43" s="1"/>
  <c r="S26" i="43"/>
  <c r="S40" i="43" s="1"/>
  <c r="S79" i="43" s="1"/>
  <c r="S90" i="43" s="1"/>
  <c r="R26" i="43"/>
  <c r="R40" i="43" s="1"/>
  <c r="R79" i="43" s="1"/>
  <c r="R90" i="43" s="1"/>
  <c r="Q26" i="43"/>
  <c r="Q40" i="43" s="1"/>
  <c r="Q79" i="43" s="1"/>
  <c r="Q90" i="43" s="1"/>
  <c r="P26" i="43"/>
  <c r="P40" i="43" s="1"/>
  <c r="P79" i="43" s="1"/>
  <c r="P90" i="43" s="1"/>
  <c r="O26" i="43"/>
  <c r="O40" i="43" s="1"/>
  <c r="O79" i="43" s="1"/>
  <c r="O90" i="43" s="1"/>
  <c r="N26" i="43"/>
  <c r="N40" i="43" s="1"/>
  <c r="N79" i="43" s="1"/>
  <c r="N90" i="43" s="1"/>
  <c r="M26" i="43"/>
  <c r="M40" i="43" s="1"/>
  <c r="M79" i="43" s="1"/>
  <c r="M90" i="43" s="1"/>
  <c r="L26" i="43"/>
  <c r="L40" i="43" s="1"/>
  <c r="L79" i="43" s="1"/>
  <c r="L90" i="43" s="1"/>
  <c r="K26" i="43"/>
  <c r="K40" i="43" s="1"/>
  <c r="K79" i="43" s="1"/>
  <c r="K90" i="43" s="1"/>
  <c r="J26" i="43"/>
  <c r="J40" i="43" s="1"/>
  <c r="J79" i="43" s="1"/>
  <c r="J90" i="43" s="1"/>
  <c r="I26" i="43"/>
  <c r="I40" i="43" s="1"/>
  <c r="I79" i="43" s="1"/>
  <c r="I90" i="43" s="1"/>
  <c r="H26" i="43"/>
  <c r="H40" i="43" s="1"/>
  <c r="H79" i="43" s="1"/>
  <c r="H90" i="43" s="1"/>
  <c r="G26" i="43"/>
  <c r="G40" i="43" s="1"/>
  <c r="G79" i="43" s="1"/>
  <c r="G90" i="43" s="1"/>
  <c r="F26" i="43"/>
  <c r="F40" i="43" s="1"/>
  <c r="F79" i="43" s="1"/>
  <c r="F90" i="43" s="1"/>
  <c r="E26" i="43"/>
  <c r="E40" i="43" s="1"/>
  <c r="E79" i="43" s="1"/>
  <c r="E90" i="43" s="1"/>
  <c r="D26" i="43"/>
  <c r="D40" i="43" s="1"/>
  <c r="D79" i="43" s="1"/>
  <c r="D90" i="43" s="1"/>
  <c r="C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C15" i="9"/>
  <c r="C16" i="9"/>
  <c r="C14" i="9"/>
  <c r="AL3" i="1"/>
  <c r="K76" i="15"/>
  <c r="V19" i="9"/>
  <c r="E9" i="1"/>
  <c r="D2" i="1"/>
  <c r="D1" i="1"/>
  <c r="E45" i="41"/>
  <c r="D45" i="41"/>
  <c r="D53" i="41"/>
  <c r="E53" i="41"/>
  <c r="F53" i="41"/>
  <c r="F61" i="41"/>
  <c r="E61" i="41"/>
  <c r="D61" i="41"/>
  <c r="H47" i="41"/>
  <c r="I47" i="41"/>
  <c r="G47" i="41"/>
  <c r="C11" i="9"/>
  <c r="C12" i="9"/>
  <c r="C10" i="9"/>
  <c r="F8" i="15"/>
  <c r="E8" i="15"/>
  <c r="D8" i="15"/>
  <c r="BZ22" i="1"/>
  <c r="CA22" i="1"/>
  <c r="CB22" i="1"/>
  <c r="CE21" i="1"/>
  <c r="Z31" i="9"/>
  <c r="Z20" i="9"/>
  <c r="AB20" i="9"/>
  <c r="AW3" i="1"/>
  <c r="AW11" i="1" s="1"/>
  <c r="C3" i="9"/>
  <c r="C3" i="15"/>
  <c r="C5" i="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18" i="11"/>
  <c r="G17" i="11"/>
  <c r="G16" i="11"/>
  <c r="G15" i="11"/>
  <c r="G22" i="11" s="1"/>
  <c r="G14" i="11"/>
  <c r="G21" i="11" s="1"/>
  <c r="G13" i="11"/>
  <c r="G11" i="11"/>
  <c r="G27" i="11"/>
  <c r="G28" i="11"/>
  <c r="G29" i="11"/>
  <c r="G30" i="11"/>
  <c r="G25" i="11"/>
  <c r="AI3" i="38"/>
  <c r="AQ3" i="38"/>
  <c r="CM5" i="1"/>
  <c r="AI64" i="11"/>
  <c r="AG64" i="11"/>
  <c r="AE64" i="11"/>
  <c r="AD64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AD62" i="11"/>
  <c r="Z62" i="11"/>
  <c r="W62" i="11"/>
  <c r="V62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AD60" i="11"/>
  <c r="AC60" i="11"/>
  <c r="W60" i="11"/>
  <c r="V60" i="11"/>
  <c r="U60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AW230" i="38"/>
  <c r="AV230" i="38"/>
  <c r="AU230" i="38"/>
  <c r="AT230" i="38"/>
  <c r="AS230" i="38"/>
  <c r="AR230" i="38"/>
  <c r="AQ230" i="38"/>
  <c r="AP230" i="38"/>
  <c r="AO230" i="38"/>
  <c r="AN230" i="38"/>
  <c r="AM230" i="38"/>
  <c r="AL230" i="38"/>
  <c r="AK230" i="38"/>
  <c r="AJ230" i="38"/>
  <c r="AI230" i="38"/>
  <c r="AH230" i="38"/>
  <c r="AG230" i="38"/>
  <c r="AF230" i="38"/>
  <c r="AE230" i="38"/>
  <c r="AD230" i="38"/>
  <c r="AC230" i="38"/>
  <c r="AB230" i="38"/>
  <c r="AA230" i="38"/>
  <c r="Z230" i="38"/>
  <c r="Y230" i="38"/>
  <c r="X230" i="38"/>
  <c r="W230" i="38"/>
  <c r="V230" i="38"/>
  <c r="U230" i="38"/>
  <c r="T230" i="38"/>
  <c r="S230" i="38"/>
  <c r="R230" i="38"/>
  <c r="Q230" i="38"/>
  <c r="P230" i="38"/>
  <c r="AW216" i="38"/>
  <c r="AV216" i="38"/>
  <c r="AU216" i="38"/>
  <c r="AT216" i="38"/>
  <c r="AS216" i="38"/>
  <c r="AR216" i="38"/>
  <c r="AQ216" i="38"/>
  <c r="AP216" i="38"/>
  <c r="AO216" i="38"/>
  <c r="AN216" i="38"/>
  <c r="AM216" i="38"/>
  <c r="AL216" i="38"/>
  <c r="AK216" i="38"/>
  <c r="AJ216" i="38"/>
  <c r="AI216" i="38"/>
  <c r="AH216" i="38"/>
  <c r="AG216" i="38"/>
  <c r="AF216" i="38"/>
  <c r="AE216" i="38"/>
  <c r="AD216" i="38"/>
  <c r="AC216" i="38"/>
  <c r="AB216" i="38"/>
  <c r="AA216" i="38"/>
  <c r="Z216" i="38"/>
  <c r="Y216" i="38"/>
  <c r="X216" i="38"/>
  <c r="W216" i="38"/>
  <c r="V216" i="38"/>
  <c r="U216" i="38"/>
  <c r="T216" i="38"/>
  <c r="S216" i="38"/>
  <c r="R216" i="38"/>
  <c r="Q216" i="38"/>
  <c r="P216" i="38"/>
  <c r="AW208" i="38"/>
  <c r="AV208" i="38"/>
  <c r="AU208" i="38"/>
  <c r="AT208" i="38"/>
  <c r="AS208" i="38"/>
  <c r="AR208" i="38"/>
  <c r="AQ208" i="38"/>
  <c r="AP208" i="38"/>
  <c r="AO208" i="38"/>
  <c r="AN208" i="38"/>
  <c r="AM208" i="38"/>
  <c r="AL208" i="38"/>
  <c r="AK208" i="38"/>
  <c r="AJ208" i="38"/>
  <c r="AI208" i="38"/>
  <c r="AH208" i="38"/>
  <c r="AG208" i="38"/>
  <c r="AF208" i="38"/>
  <c r="AE208" i="38"/>
  <c r="AD208" i="38"/>
  <c r="AC208" i="38"/>
  <c r="AB208" i="38"/>
  <c r="AA208" i="38"/>
  <c r="Z208" i="38"/>
  <c r="Y208" i="38"/>
  <c r="X208" i="38"/>
  <c r="W208" i="38"/>
  <c r="V208" i="38"/>
  <c r="U208" i="38"/>
  <c r="T208" i="38"/>
  <c r="S208" i="38"/>
  <c r="R208" i="38"/>
  <c r="Q208" i="38"/>
  <c r="P208" i="38"/>
  <c r="AW205" i="38"/>
  <c r="AV205" i="38"/>
  <c r="AU205" i="38"/>
  <c r="AT205" i="38"/>
  <c r="AS205" i="38"/>
  <c r="AR205" i="38"/>
  <c r="AQ205" i="38"/>
  <c r="AP205" i="38"/>
  <c r="AO205" i="38"/>
  <c r="AN205" i="38"/>
  <c r="AM205" i="38"/>
  <c r="AL205" i="38"/>
  <c r="AK205" i="38"/>
  <c r="AJ205" i="38"/>
  <c r="AI205" i="38"/>
  <c r="AH205" i="38"/>
  <c r="AG205" i="38"/>
  <c r="AF205" i="38"/>
  <c r="AE205" i="38"/>
  <c r="AD205" i="38"/>
  <c r="AC205" i="38"/>
  <c r="AB205" i="38"/>
  <c r="AA205" i="38"/>
  <c r="Z205" i="38"/>
  <c r="Y205" i="38"/>
  <c r="X205" i="38"/>
  <c r="W205" i="38"/>
  <c r="V205" i="38"/>
  <c r="U205" i="38"/>
  <c r="T205" i="38"/>
  <c r="S205" i="38"/>
  <c r="R205" i="38"/>
  <c r="Q205" i="38"/>
  <c r="P205" i="38"/>
  <c r="AW202" i="38"/>
  <c r="AV202" i="38"/>
  <c r="AU202" i="38"/>
  <c r="AT202" i="38"/>
  <c r="AS202" i="38"/>
  <c r="AR202" i="38"/>
  <c r="AQ202" i="38"/>
  <c r="AP202" i="38"/>
  <c r="AO202" i="38"/>
  <c r="AN202" i="38"/>
  <c r="AM202" i="38"/>
  <c r="AL202" i="38"/>
  <c r="AK202" i="38"/>
  <c r="AJ202" i="38"/>
  <c r="AI202" i="38"/>
  <c r="AH202" i="38"/>
  <c r="AG202" i="38"/>
  <c r="AF202" i="38"/>
  <c r="AE202" i="38"/>
  <c r="AD202" i="38"/>
  <c r="AC202" i="38"/>
  <c r="AB202" i="38"/>
  <c r="AA202" i="38"/>
  <c r="Z202" i="38"/>
  <c r="Y202" i="38"/>
  <c r="X202" i="38"/>
  <c r="W202" i="38"/>
  <c r="V202" i="38"/>
  <c r="U202" i="38"/>
  <c r="T202" i="38"/>
  <c r="S202" i="38"/>
  <c r="R202" i="38"/>
  <c r="Q202" i="38"/>
  <c r="P202" i="38"/>
  <c r="AW197" i="38"/>
  <c r="AV197" i="38"/>
  <c r="AU197" i="38"/>
  <c r="AT197" i="38"/>
  <c r="AS197" i="38"/>
  <c r="AR197" i="38"/>
  <c r="AQ197" i="38"/>
  <c r="AP197" i="38"/>
  <c r="AO197" i="38"/>
  <c r="AN197" i="38"/>
  <c r="AM197" i="38"/>
  <c r="AL197" i="38"/>
  <c r="AK197" i="38"/>
  <c r="AJ197" i="38"/>
  <c r="AI197" i="38"/>
  <c r="AH197" i="38"/>
  <c r="AG197" i="38"/>
  <c r="AF197" i="38"/>
  <c r="AE197" i="38"/>
  <c r="AD197" i="38"/>
  <c r="AC197" i="38"/>
  <c r="AB197" i="38"/>
  <c r="AA197" i="38"/>
  <c r="Z197" i="38"/>
  <c r="Y197" i="38"/>
  <c r="X197" i="38"/>
  <c r="W197" i="38"/>
  <c r="V197" i="38"/>
  <c r="U197" i="38"/>
  <c r="T197" i="38"/>
  <c r="S197" i="38"/>
  <c r="R197" i="38"/>
  <c r="Q197" i="38"/>
  <c r="P197" i="38"/>
  <c r="AW191" i="38"/>
  <c r="AV191" i="38"/>
  <c r="AU191" i="38"/>
  <c r="AT191" i="38"/>
  <c r="AS191" i="38"/>
  <c r="AR191" i="38"/>
  <c r="AQ191" i="38"/>
  <c r="AP191" i="38"/>
  <c r="AO191" i="38"/>
  <c r="AN191" i="38"/>
  <c r="AM191" i="38"/>
  <c r="AL191" i="38"/>
  <c r="AK191" i="38"/>
  <c r="AJ191" i="38"/>
  <c r="AI191" i="38"/>
  <c r="AH191" i="38"/>
  <c r="AG191" i="38"/>
  <c r="AF191" i="38"/>
  <c r="AE191" i="38"/>
  <c r="AD191" i="38"/>
  <c r="AC191" i="38"/>
  <c r="AB191" i="38"/>
  <c r="AA191" i="38"/>
  <c r="Z191" i="38"/>
  <c r="Y191" i="38"/>
  <c r="X191" i="38"/>
  <c r="W191" i="38"/>
  <c r="V191" i="38"/>
  <c r="U191" i="38"/>
  <c r="T191" i="38"/>
  <c r="S191" i="38"/>
  <c r="R191" i="38"/>
  <c r="Q191" i="38"/>
  <c r="P191" i="38"/>
  <c r="AW186" i="38"/>
  <c r="AV186" i="38"/>
  <c r="AU186" i="38"/>
  <c r="AT186" i="38"/>
  <c r="AS186" i="38"/>
  <c r="AR186" i="38"/>
  <c r="AQ186" i="38"/>
  <c r="AP186" i="38"/>
  <c r="AO186" i="38"/>
  <c r="AN186" i="38"/>
  <c r="AM186" i="38"/>
  <c r="AL186" i="38"/>
  <c r="AK186" i="38"/>
  <c r="AJ186" i="38"/>
  <c r="AI186" i="38"/>
  <c r="AH186" i="38"/>
  <c r="AG186" i="38"/>
  <c r="AF186" i="38"/>
  <c r="AE186" i="38"/>
  <c r="AD186" i="38"/>
  <c r="AC186" i="38"/>
  <c r="AB186" i="38"/>
  <c r="AA186" i="38"/>
  <c r="Z186" i="38"/>
  <c r="Y186" i="38"/>
  <c r="X186" i="38"/>
  <c r="W186" i="38"/>
  <c r="V186" i="38"/>
  <c r="U186" i="38"/>
  <c r="T186" i="38"/>
  <c r="S186" i="38"/>
  <c r="R186" i="38"/>
  <c r="Q186" i="38"/>
  <c r="P186" i="38"/>
  <c r="AW183" i="38"/>
  <c r="AV183" i="38"/>
  <c r="AU183" i="38"/>
  <c r="AT183" i="38"/>
  <c r="AS183" i="38"/>
  <c r="AR183" i="38"/>
  <c r="AQ183" i="38"/>
  <c r="AP183" i="38"/>
  <c r="AO183" i="38"/>
  <c r="AN183" i="38"/>
  <c r="AM183" i="38"/>
  <c r="AL183" i="38"/>
  <c r="AK183" i="38"/>
  <c r="AJ183" i="38"/>
  <c r="AI183" i="38"/>
  <c r="AH183" i="38"/>
  <c r="AG183" i="38"/>
  <c r="AF183" i="38"/>
  <c r="AE183" i="38"/>
  <c r="AD183" i="38"/>
  <c r="AC183" i="38"/>
  <c r="AB183" i="38"/>
  <c r="AA183" i="38"/>
  <c r="Z183" i="38"/>
  <c r="Y183" i="38"/>
  <c r="X183" i="38"/>
  <c r="W183" i="38"/>
  <c r="V183" i="38"/>
  <c r="U183" i="38"/>
  <c r="T183" i="38"/>
  <c r="S183" i="38"/>
  <c r="R183" i="38"/>
  <c r="Q183" i="38"/>
  <c r="P183" i="38"/>
  <c r="AW179" i="38"/>
  <c r="AV179" i="38"/>
  <c r="AU179" i="38"/>
  <c r="AT179" i="38"/>
  <c r="AS179" i="38"/>
  <c r="AR179" i="38"/>
  <c r="AQ179" i="38"/>
  <c r="AP179" i="38"/>
  <c r="AO179" i="38"/>
  <c r="AN179" i="38"/>
  <c r="AM179" i="38"/>
  <c r="AL179" i="38"/>
  <c r="AK179" i="38"/>
  <c r="AJ179" i="38"/>
  <c r="AI179" i="38"/>
  <c r="AH179" i="38"/>
  <c r="AG179" i="38"/>
  <c r="AF179" i="38"/>
  <c r="AE179" i="38"/>
  <c r="AD179" i="38"/>
  <c r="AC179" i="38"/>
  <c r="AB179" i="38"/>
  <c r="AA179" i="38"/>
  <c r="Z179" i="38"/>
  <c r="Y179" i="38"/>
  <c r="X179" i="38"/>
  <c r="W179" i="38"/>
  <c r="V179" i="38"/>
  <c r="U179" i="38"/>
  <c r="T179" i="38"/>
  <c r="S179" i="38"/>
  <c r="R179" i="38"/>
  <c r="Q179" i="38"/>
  <c r="P179" i="38"/>
  <c r="AW173" i="38"/>
  <c r="AV173" i="38"/>
  <c r="AU173" i="38"/>
  <c r="AT173" i="38"/>
  <c r="AS173" i="38"/>
  <c r="AR173" i="38"/>
  <c r="AQ173" i="38"/>
  <c r="AP173" i="38"/>
  <c r="AO173" i="38"/>
  <c r="AN173" i="38"/>
  <c r="AM173" i="38"/>
  <c r="AL173" i="38"/>
  <c r="AK173" i="38"/>
  <c r="AJ173" i="38"/>
  <c r="AI173" i="38"/>
  <c r="AH173" i="38"/>
  <c r="AG173" i="38"/>
  <c r="AF173" i="38"/>
  <c r="AE173" i="38"/>
  <c r="AD173" i="38"/>
  <c r="AC173" i="38"/>
  <c r="AB173" i="38"/>
  <c r="AA173" i="38"/>
  <c r="Z173" i="38"/>
  <c r="Y173" i="38"/>
  <c r="X173" i="38"/>
  <c r="W173" i="38"/>
  <c r="V173" i="38"/>
  <c r="U173" i="38"/>
  <c r="T173" i="38"/>
  <c r="S173" i="38"/>
  <c r="R173" i="38"/>
  <c r="Q173" i="38"/>
  <c r="P173" i="38"/>
  <c r="AW165" i="38"/>
  <c r="AV165" i="38"/>
  <c r="AU165" i="38"/>
  <c r="AT165" i="38"/>
  <c r="AS165" i="38"/>
  <c r="AR165" i="38"/>
  <c r="AQ165" i="38"/>
  <c r="AP165" i="38"/>
  <c r="AO165" i="38"/>
  <c r="AN165" i="38"/>
  <c r="AM165" i="38"/>
  <c r="AL165" i="38"/>
  <c r="AK165" i="38"/>
  <c r="AJ165" i="38"/>
  <c r="AI165" i="38"/>
  <c r="AH165" i="38"/>
  <c r="AG165" i="38"/>
  <c r="AF165" i="38"/>
  <c r="AE165" i="38"/>
  <c r="AD165" i="38"/>
  <c r="AC165" i="38"/>
  <c r="AB165" i="38"/>
  <c r="AA165" i="38"/>
  <c r="Z165" i="38"/>
  <c r="Y165" i="38"/>
  <c r="X165" i="38"/>
  <c r="W165" i="38"/>
  <c r="V165" i="38"/>
  <c r="U165" i="38"/>
  <c r="T165" i="38"/>
  <c r="S165" i="38"/>
  <c r="R165" i="38"/>
  <c r="Q165" i="38"/>
  <c r="P165" i="38"/>
  <c r="AW156" i="38"/>
  <c r="AV156" i="38"/>
  <c r="AU156" i="38"/>
  <c r="AT156" i="38"/>
  <c r="AS156" i="38"/>
  <c r="AR156" i="38"/>
  <c r="AQ156" i="38"/>
  <c r="AP156" i="38"/>
  <c r="AO156" i="38"/>
  <c r="AN156" i="38"/>
  <c r="AM156" i="38"/>
  <c r="AL156" i="38"/>
  <c r="AK156" i="38"/>
  <c r="AJ156" i="38"/>
  <c r="AI156" i="38"/>
  <c r="AH156" i="38"/>
  <c r="AG156" i="38"/>
  <c r="AF156" i="38"/>
  <c r="AE156" i="38"/>
  <c r="AD156" i="38"/>
  <c r="AC156" i="38"/>
  <c r="AB156" i="38"/>
  <c r="AA156" i="38"/>
  <c r="Z156" i="38"/>
  <c r="Y156" i="38"/>
  <c r="X156" i="38"/>
  <c r="W156" i="38"/>
  <c r="V156" i="38"/>
  <c r="U156" i="38"/>
  <c r="T156" i="38"/>
  <c r="S156" i="38"/>
  <c r="R156" i="38"/>
  <c r="Q156" i="38"/>
  <c r="P156" i="38"/>
  <c r="AW151" i="38"/>
  <c r="AV151" i="38"/>
  <c r="AU151" i="38"/>
  <c r="AT151" i="38"/>
  <c r="AS151" i="38"/>
  <c r="AR151" i="38"/>
  <c r="AQ151" i="38"/>
  <c r="AP151" i="38"/>
  <c r="AO151" i="38"/>
  <c r="AN151" i="38"/>
  <c r="AM151" i="38"/>
  <c r="AL151" i="38"/>
  <c r="AK151" i="38"/>
  <c r="AJ151" i="38"/>
  <c r="AI151" i="38"/>
  <c r="AH151" i="38"/>
  <c r="AG151" i="38"/>
  <c r="AF151" i="38"/>
  <c r="AE151" i="38"/>
  <c r="AD151" i="38"/>
  <c r="AC151" i="38"/>
  <c r="AB151" i="38"/>
  <c r="AA151" i="38"/>
  <c r="Z151" i="38"/>
  <c r="Y151" i="38"/>
  <c r="X151" i="38"/>
  <c r="W151" i="38"/>
  <c r="V151" i="38"/>
  <c r="U151" i="38"/>
  <c r="T151" i="38"/>
  <c r="S151" i="38"/>
  <c r="R151" i="38"/>
  <c r="Q151" i="38"/>
  <c r="P151" i="38"/>
  <c r="AW142" i="38"/>
  <c r="AV142" i="38"/>
  <c r="AU142" i="38"/>
  <c r="AT142" i="38"/>
  <c r="AS142" i="38"/>
  <c r="AR142" i="38"/>
  <c r="AQ142" i="38"/>
  <c r="AP142" i="38"/>
  <c r="AO142" i="38"/>
  <c r="AN142" i="38"/>
  <c r="AM142" i="38"/>
  <c r="AL142" i="38"/>
  <c r="AK142" i="38"/>
  <c r="AJ142" i="38"/>
  <c r="AI142" i="38"/>
  <c r="AH142" i="38"/>
  <c r="AG142" i="38"/>
  <c r="AF142" i="38"/>
  <c r="AE142" i="38"/>
  <c r="AD142" i="38"/>
  <c r="AC142" i="38"/>
  <c r="AB142" i="38"/>
  <c r="AA142" i="38"/>
  <c r="Z142" i="38"/>
  <c r="Y142" i="38"/>
  <c r="X142" i="38"/>
  <c r="W142" i="38"/>
  <c r="V142" i="38"/>
  <c r="U142" i="38"/>
  <c r="T142" i="38"/>
  <c r="S142" i="38"/>
  <c r="R142" i="38"/>
  <c r="Q142" i="38"/>
  <c r="P142" i="38"/>
  <c r="AW134" i="38"/>
  <c r="AV134" i="38"/>
  <c r="AU134" i="38"/>
  <c r="AT134" i="38"/>
  <c r="AS134" i="38"/>
  <c r="AR134" i="38"/>
  <c r="AQ134" i="38"/>
  <c r="AP134" i="38"/>
  <c r="AO134" i="38"/>
  <c r="AN134" i="38"/>
  <c r="AM134" i="38"/>
  <c r="AL134" i="38"/>
  <c r="AK134" i="38"/>
  <c r="AJ134" i="38"/>
  <c r="AI134" i="38"/>
  <c r="AH134" i="38"/>
  <c r="AG134" i="38"/>
  <c r="AF134" i="38"/>
  <c r="AE134" i="38"/>
  <c r="AD134" i="38"/>
  <c r="AC134" i="38"/>
  <c r="AB134" i="38"/>
  <c r="AA134" i="38"/>
  <c r="Z134" i="38"/>
  <c r="Y134" i="38"/>
  <c r="X134" i="38"/>
  <c r="W134" i="38"/>
  <c r="V134" i="38"/>
  <c r="U134" i="38"/>
  <c r="T134" i="38"/>
  <c r="S134" i="38"/>
  <c r="R134" i="38"/>
  <c r="Q134" i="38"/>
  <c r="P134" i="38"/>
  <c r="AW124" i="38"/>
  <c r="AV124" i="38"/>
  <c r="AU124" i="38"/>
  <c r="AT124" i="38"/>
  <c r="AS124" i="38"/>
  <c r="AR124" i="38"/>
  <c r="AQ124" i="38"/>
  <c r="AP124" i="38"/>
  <c r="AO124" i="38"/>
  <c r="AN124" i="38"/>
  <c r="AM124" i="38"/>
  <c r="AL124" i="38"/>
  <c r="AK124" i="38"/>
  <c r="AJ124" i="38"/>
  <c r="AI124" i="38"/>
  <c r="AH124" i="38"/>
  <c r="AG124" i="38"/>
  <c r="AF124" i="38"/>
  <c r="AE124" i="38"/>
  <c r="AD124" i="38"/>
  <c r="AC124" i="38"/>
  <c r="AB124" i="38"/>
  <c r="AA124" i="38"/>
  <c r="Z124" i="38"/>
  <c r="Y124" i="38"/>
  <c r="X124" i="38"/>
  <c r="W124" i="38"/>
  <c r="V124" i="38"/>
  <c r="U124" i="38"/>
  <c r="T124" i="38"/>
  <c r="S124" i="38"/>
  <c r="R124" i="38"/>
  <c r="Q124" i="38"/>
  <c r="P124" i="38"/>
  <c r="AW112" i="38"/>
  <c r="AV112" i="38"/>
  <c r="AU112" i="38"/>
  <c r="AT112" i="38"/>
  <c r="AS112" i="38"/>
  <c r="AR112" i="38"/>
  <c r="AQ112" i="38"/>
  <c r="AP112" i="38"/>
  <c r="AO112" i="38"/>
  <c r="AN112" i="38"/>
  <c r="AM112" i="38"/>
  <c r="AL112" i="38"/>
  <c r="AK112" i="38"/>
  <c r="AJ112" i="38"/>
  <c r="AI112" i="38"/>
  <c r="AH112" i="38"/>
  <c r="AG112" i="38"/>
  <c r="AF112" i="38"/>
  <c r="AE112" i="38"/>
  <c r="AD112" i="38"/>
  <c r="AC112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AW103" i="38"/>
  <c r="AV103" i="38"/>
  <c r="AU103" i="38"/>
  <c r="AT103" i="38"/>
  <c r="AS103" i="38"/>
  <c r="AR103" i="38"/>
  <c r="AQ103" i="38"/>
  <c r="AP103" i="38"/>
  <c r="AO103" i="38"/>
  <c r="AN103" i="38"/>
  <c r="AM103" i="38"/>
  <c r="AL103" i="38"/>
  <c r="AK103" i="38"/>
  <c r="AJ103" i="38"/>
  <c r="AI103" i="38"/>
  <c r="AH103" i="38"/>
  <c r="AG103" i="38"/>
  <c r="AF103" i="38"/>
  <c r="AE103" i="38"/>
  <c r="AD103" i="38"/>
  <c r="AC103" i="38"/>
  <c r="AB103" i="38"/>
  <c r="AA103" i="38"/>
  <c r="Z103" i="38"/>
  <c r="Y103" i="38"/>
  <c r="X103" i="38"/>
  <c r="W103" i="38"/>
  <c r="V103" i="38"/>
  <c r="U103" i="38"/>
  <c r="T103" i="38"/>
  <c r="S103" i="38"/>
  <c r="R103" i="38"/>
  <c r="Q103" i="38"/>
  <c r="P103" i="38"/>
  <c r="AW99" i="38"/>
  <c r="AV99" i="38"/>
  <c r="AU99" i="38"/>
  <c r="AT99" i="38"/>
  <c r="AS99" i="38"/>
  <c r="AR99" i="38"/>
  <c r="AQ99" i="38"/>
  <c r="AP99" i="38"/>
  <c r="AO99" i="38"/>
  <c r="AN99" i="38"/>
  <c r="AM99" i="38"/>
  <c r="AL99" i="38"/>
  <c r="AK99" i="38"/>
  <c r="AJ99" i="38"/>
  <c r="AI99" i="38"/>
  <c r="AH99" i="38"/>
  <c r="AG99" i="38"/>
  <c r="AF99" i="38"/>
  <c r="AE99" i="38"/>
  <c r="AD99" i="38"/>
  <c r="AC99" i="38"/>
  <c r="AB99" i="38"/>
  <c r="AA99" i="38"/>
  <c r="Z99" i="38"/>
  <c r="Y99" i="38"/>
  <c r="X99" i="38"/>
  <c r="W99" i="38"/>
  <c r="V99" i="38"/>
  <c r="U99" i="38"/>
  <c r="T99" i="38"/>
  <c r="S99" i="38"/>
  <c r="R99" i="38"/>
  <c r="Q99" i="38"/>
  <c r="P99" i="38"/>
  <c r="AW88" i="38"/>
  <c r="AV88" i="38"/>
  <c r="AU88" i="38"/>
  <c r="AT88" i="38"/>
  <c r="AS88" i="38"/>
  <c r="AR88" i="38"/>
  <c r="AQ88" i="38"/>
  <c r="AP88" i="38"/>
  <c r="AO88" i="38"/>
  <c r="AN88" i="38"/>
  <c r="AM88" i="38"/>
  <c r="AL88" i="38"/>
  <c r="AK88" i="38"/>
  <c r="AJ88" i="38"/>
  <c r="AI88" i="38"/>
  <c r="AH88" i="38"/>
  <c r="AG88" i="38"/>
  <c r="AF88" i="38"/>
  <c r="AE88" i="38"/>
  <c r="AD88" i="38"/>
  <c r="AC88" i="38"/>
  <c r="AB88" i="38"/>
  <c r="AA88" i="38"/>
  <c r="Z88" i="38"/>
  <c r="Y88" i="38"/>
  <c r="X88" i="38"/>
  <c r="W88" i="38"/>
  <c r="V88" i="38"/>
  <c r="U88" i="38"/>
  <c r="T88" i="38"/>
  <c r="S88" i="38"/>
  <c r="R88" i="38"/>
  <c r="Q88" i="38"/>
  <c r="P88" i="38"/>
  <c r="AW85" i="38"/>
  <c r="AV85" i="38"/>
  <c r="AU85" i="38"/>
  <c r="AT85" i="38"/>
  <c r="AS85" i="38"/>
  <c r="AR85" i="38"/>
  <c r="AQ85" i="38"/>
  <c r="AP85" i="38"/>
  <c r="AO85" i="38"/>
  <c r="AN85" i="38"/>
  <c r="AM85" i="38"/>
  <c r="AL85" i="38"/>
  <c r="AK85" i="38"/>
  <c r="AJ85" i="38"/>
  <c r="AI85" i="38"/>
  <c r="AH85" i="38"/>
  <c r="AG85" i="38"/>
  <c r="AF85" i="38"/>
  <c r="AE85" i="38"/>
  <c r="AD85" i="38"/>
  <c r="AC85" i="38"/>
  <c r="AB85" i="38"/>
  <c r="AA85" i="38"/>
  <c r="Z85" i="38"/>
  <c r="Y85" i="38"/>
  <c r="X85" i="38"/>
  <c r="W85" i="38"/>
  <c r="V85" i="38"/>
  <c r="U85" i="38"/>
  <c r="T85" i="38"/>
  <c r="S85" i="38"/>
  <c r="R85" i="38"/>
  <c r="Q85" i="38"/>
  <c r="P85" i="38"/>
  <c r="AW75" i="38"/>
  <c r="AV75" i="38"/>
  <c r="AU75" i="38"/>
  <c r="AT75" i="38"/>
  <c r="AS75" i="38"/>
  <c r="AR75" i="38"/>
  <c r="AQ75" i="38"/>
  <c r="AP75" i="38"/>
  <c r="AO75" i="38"/>
  <c r="AN75" i="38"/>
  <c r="AM75" i="38"/>
  <c r="AL75" i="38"/>
  <c r="AK75" i="38"/>
  <c r="AJ75" i="38"/>
  <c r="AI75" i="38"/>
  <c r="AH75" i="38"/>
  <c r="AG75" i="38"/>
  <c r="AF75" i="38"/>
  <c r="AE75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AW64" i="38"/>
  <c r="AV64" i="38"/>
  <c r="AU64" i="38"/>
  <c r="AT64" i="38"/>
  <c r="AS64" i="38"/>
  <c r="AR64" i="38"/>
  <c r="AQ64" i="38"/>
  <c r="AP64" i="38"/>
  <c r="AO64" i="38"/>
  <c r="AN64" i="38"/>
  <c r="AM64" i="38"/>
  <c r="AL64" i="38"/>
  <c r="AK64" i="38"/>
  <c r="AJ64" i="38"/>
  <c r="AI64" i="38"/>
  <c r="AH64" i="38"/>
  <c r="AG64" i="38"/>
  <c r="AF64" i="38"/>
  <c r="AE64" i="38"/>
  <c r="AD64" i="38"/>
  <c r="AC64" i="38"/>
  <c r="AB64" i="38"/>
  <c r="AA64" i="38"/>
  <c r="Z64" i="38"/>
  <c r="Y64" i="38"/>
  <c r="X64" i="38"/>
  <c r="W64" i="38"/>
  <c r="V64" i="38"/>
  <c r="U64" i="38"/>
  <c r="T64" i="38"/>
  <c r="S64" i="38"/>
  <c r="R64" i="38"/>
  <c r="Q64" i="38"/>
  <c r="P64" i="38"/>
  <c r="AW55" i="38"/>
  <c r="AV55" i="38"/>
  <c r="AU55" i="38"/>
  <c r="AT55" i="38"/>
  <c r="AS55" i="38"/>
  <c r="AR55" i="38"/>
  <c r="AQ55" i="38"/>
  <c r="AP55" i="38"/>
  <c r="AO55" i="38"/>
  <c r="AN55" i="38"/>
  <c r="AM55" i="38"/>
  <c r="AL55" i="38"/>
  <c r="AK55" i="38"/>
  <c r="AJ55" i="38"/>
  <c r="AI55" i="38"/>
  <c r="AH55" i="38"/>
  <c r="AG55" i="38"/>
  <c r="AF55" i="38"/>
  <c r="AE55" i="38"/>
  <c r="AD55" i="38"/>
  <c r="AC55" i="38"/>
  <c r="AB55" i="38"/>
  <c r="AA55" i="38"/>
  <c r="Z55" i="38"/>
  <c r="Y55" i="38"/>
  <c r="X55" i="38"/>
  <c r="W55" i="38"/>
  <c r="V55" i="38"/>
  <c r="U55" i="38"/>
  <c r="T55" i="38"/>
  <c r="S55" i="38"/>
  <c r="R55" i="38"/>
  <c r="Q55" i="38"/>
  <c r="P55" i="38"/>
  <c r="AW42" i="38"/>
  <c r="AV42" i="38"/>
  <c r="AU42" i="38"/>
  <c r="AT42" i="38"/>
  <c r="AS42" i="38"/>
  <c r="AR42" i="38"/>
  <c r="AQ42" i="38"/>
  <c r="AP42" i="38"/>
  <c r="AO42" i="38"/>
  <c r="AN42" i="38"/>
  <c r="AM42" i="38"/>
  <c r="AL42" i="38"/>
  <c r="AK42" i="38"/>
  <c r="AJ42" i="38"/>
  <c r="AI42" i="38"/>
  <c r="AH42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AW31" i="38"/>
  <c r="AQ64" i="11" s="1"/>
  <c r="AV31" i="38"/>
  <c r="AO64" i="11" s="1"/>
  <c r="AU31" i="38"/>
  <c r="AN64" i="11" s="1"/>
  <c r="AT31" i="38"/>
  <c r="AM64" i="11" s="1"/>
  <c r="AS31" i="38"/>
  <c r="AP64" i="11" s="1"/>
  <c r="AR31" i="38"/>
  <c r="AL64" i="11" s="1"/>
  <c r="AQ31" i="38"/>
  <c r="AP31" i="38"/>
  <c r="AK64" i="11" s="1"/>
  <c r="AO31" i="38"/>
  <c r="AJ64" i="11" s="1"/>
  <c r="AN31" i="38"/>
  <c r="AM31" i="38"/>
  <c r="AH64" i="11" s="1"/>
  <c r="AL31" i="38"/>
  <c r="AK31" i="38"/>
  <c r="AF64" i="11" s="1"/>
  <c r="AJ31" i="38"/>
  <c r="AI31" i="38"/>
  <c r="AH31" i="38"/>
  <c r="AG31" i="38"/>
  <c r="W64" i="11" s="1"/>
  <c r="AF31" i="38"/>
  <c r="V64" i="11" s="1"/>
  <c r="AE31" i="38"/>
  <c r="U64" i="11" s="1"/>
  <c r="AD31" i="38"/>
  <c r="T64" i="11" s="1"/>
  <c r="AC31" i="38"/>
  <c r="S64" i="11" s="1"/>
  <c r="AB31" i="38"/>
  <c r="R64" i="11" s="1"/>
  <c r="AA31" i="38"/>
  <c r="AB64" i="11" s="1"/>
  <c r="Z31" i="38"/>
  <c r="P64" i="11" s="1"/>
  <c r="Y31" i="38"/>
  <c r="AA64" i="11" s="1"/>
  <c r="X31" i="38"/>
  <c r="AR64" i="11" s="1"/>
  <c r="W31" i="38"/>
  <c r="O64" i="11" s="1"/>
  <c r="V31" i="38"/>
  <c r="Z64" i="11" s="1"/>
  <c r="U31" i="38"/>
  <c r="N64" i="11" s="1"/>
  <c r="T31" i="38"/>
  <c r="Q64" i="11" s="1"/>
  <c r="S31" i="38"/>
  <c r="M64" i="11" s="1"/>
  <c r="R31" i="38"/>
  <c r="Y64" i="11" s="1"/>
  <c r="Q31" i="38"/>
  <c r="L64" i="11" s="1"/>
  <c r="P31" i="38"/>
  <c r="X64" i="11" s="1"/>
  <c r="AW26" i="38"/>
  <c r="AQ62" i="11" s="1"/>
  <c r="AV26" i="38"/>
  <c r="AO62" i="11" s="1"/>
  <c r="AU26" i="38"/>
  <c r="AN62" i="11" s="1"/>
  <c r="AT26" i="38"/>
  <c r="AM62" i="11" s="1"/>
  <c r="AS26" i="38"/>
  <c r="AP62" i="11" s="1"/>
  <c r="AR26" i="38"/>
  <c r="AL62" i="11" s="1"/>
  <c r="AQ26" i="38"/>
  <c r="AP26" i="38"/>
  <c r="AK62" i="11" s="1"/>
  <c r="AO26" i="38"/>
  <c r="AJ62" i="11" s="1"/>
  <c r="AN26" i="38"/>
  <c r="AI62" i="11" s="1"/>
  <c r="AM26" i="38"/>
  <c r="AH62" i="11" s="1"/>
  <c r="AL26" i="38"/>
  <c r="AG62" i="11" s="1"/>
  <c r="AK26" i="38"/>
  <c r="AF62" i="11" s="1"/>
  <c r="AJ26" i="38"/>
  <c r="AE62" i="11" s="1"/>
  <c r="AI26" i="38"/>
  <c r="AH26" i="38"/>
  <c r="AC62" i="11" s="1"/>
  <c r="AG26" i="38"/>
  <c r="AF26" i="38"/>
  <c r="AE26" i="38"/>
  <c r="U62" i="11" s="1"/>
  <c r="AD26" i="38"/>
  <c r="T62" i="11" s="1"/>
  <c r="AC26" i="38"/>
  <c r="S62" i="11" s="1"/>
  <c r="AB26" i="38"/>
  <c r="R62" i="11" s="1"/>
  <c r="AA26" i="38"/>
  <c r="AB62" i="11" s="1"/>
  <c r="Z26" i="38"/>
  <c r="P62" i="11" s="1"/>
  <c r="Y26" i="38"/>
  <c r="AA62" i="11" s="1"/>
  <c r="X26" i="38"/>
  <c r="AR62" i="11" s="1"/>
  <c r="W26" i="38"/>
  <c r="O62" i="11" s="1"/>
  <c r="V26" i="38"/>
  <c r="U26" i="38"/>
  <c r="N62" i="11" s="1"/>
  <c r="T26" i="38"/>
  <c r="Q62" i="11" s="1"/>
  <c r="S26" i="38"/>
  <c r="M62" i="11" s="1"/>
  <c r="R26" i="38"/>
  <c r="Y62" i="11" s="1"/>
  <c r="Q26" i="38"/>
  <c r="L62" i="11" s="1"/>
  <c r="P26" i="38"/>
  <c r="X62" i="11" s="1"/>
  <c r="AW22" i="38"/>
  <c r="AQ60" i="11" s="1"/>
  <c r="AV22" i="38"/>
  <c r="AO60" i="11" s="1"/>
  <c r="AU22" i="38"/>
  <c r="AN60" i="11" s="1"/>
  <c r="AT22" i="38"/>
  <c r="AM60" i="11" s="1"/>
  <c r="AS22" i="38"/>
  <c r="AP60" i="11" s="1"/>
  <c r="AR22" i="38"/>
  <c r="AL60" i="11" s="1"/>
  <c r="AQ22" i="38"/>
  <c r="AP22" i="38"/>
  <c r="AK60" i="11" s="1"/>
  <c r="AO22" i="38"/>
  <c r="AJ60" i="11" s="1"/>
  <c r="AN22" i="38"/>
  <c r="AI60" i="11" s="1"/>
  <c r="AM22" i="38"/>
  <c r="AH60" i="11" s="1"/>
  <c r="AL22" i="38"/>
  <c r="AG60" i="11" s="1"/>
  <c r="AK22" i="38"/>
  <c r="AF60" i="11" s="1"/>
  <c r="AJ22" i="38"/>
  <c r="AE60" i="11" s="1"/>
  <c r="AI22" i="38"/>
  <c r="AH22" i="38"/>
  <c r="AG22" i="38"/>
  <c r="AF22" i="38"/>
  <c r="AE22" i="38"/>
  <c r="AD22" i="38"/>
  <c r="T60" i="11" s="1"/>
  <c r="AC22" i="38"/>
  <c r="S60" i="11" s="1"/>
  <c r="AB22" i="38"/>
  <c r="R60" i="11" s="1"/>
  <c r="AA22" i="38"/>
  <c r="AB60" i="11" s="1"/>
  <c r="Z22" i="38"/>
  <c r="P60" i="11" s="1"/>
  <c r="Y22" i="38"/>
  <c r="AA60" i="11" s="1"/>
  <c r="X22" i="38"/>
  <c r="AR60" i="11" s="1"/>
  <c r="W22" i="38"/>
  <c r="O60" i="11" s="1"/>
  <c r="V22" i="38"/>
  <c r="Z60" i="11" s="1"/>
  <c r="U22" i="38"/>
  <c r="N60" i="11" s="1"/>
  <c r="T22" i="38"/>
  <c r="Q60" i="11" s="1"/>
  <c r="S22" i="38"/>
  <c r="M60" i="11" s="1"/>
  <c r="R22" i="38"/>
  <c r="Y60" i="11" s="1"/>
  <c r="Q22" i="38"/>
  <c r="L60" i="11" s="1"/>
  <c r="P22" i="38"/>
  <c r="X60" i="11" s="1"/>
  <c r="AF80" i="1" l="1"/>
  <c r="AF88" i="1" s="1"/>
  <c r="AG80" i="1"/>
  <c r="AH80" i="1"/>
  <c r="AE80" i="1"/>
  <c r="AE88" i="1" s="1"/>
  <c r="CB78" i="1"/>
  <c r="CB68" i="1"/>
  <c r="CH52" i="1"/>
  <c r="CI52" i="1" s="1"/>
  <c r="CC52" i="1"/>
  <c r="AM3" i="1"/>
  <c r="AN3" i="1" s="1"/>
  <c r="AO3" i="1" s="1"/>
  <c r="CG54" i="1"/>
  <c r="CH54" i="1" s="1"/>
  <c r="CI54" i="1" s="1"/>
  <c r="CG53" i="1"/>
  <c r="CH53" i="1" s="1"/>
  <c r="CI53" i="1" s="1"/>
  <c r="D38" i="1"/>
  <c r="R80" i="1"/>
  <c r="R88" i="1" s="1"/>
  <c r="CB74" i="1"/>
  <c r="T61" i="1"/>
  <c r="T88" i="1" s="1"/>
  <c r="CB77" i="1"/>
  <c r="CB69" i="1"/>
  <c r="CB52" i="1"/>
  <c r="CB41" i="1"/>
  <c r="E31" i="1"/>
  <c r="E30" i="1"/>
  <c r="E27" i="1"/>
  <c r="CB71" i="1"/>
  <c r="CK71" i="1" s="1"/>
  <c r="CB54" i="1"/>
  <c r="CB44" i="1"/>
  <c r="CB45" i="1"/>
  <c r="D47" i="1"/>
  <c r="F5" i="49"/>
  <c r="G4" i="49"/>
  <c r="S10" i="46"/>
  <c r="C10" i="46"/>
  <c r="E10" i="46" s="1"/>
  <c r="D9" i="46"/>
  <c r="F88" i="1"/>
  <c r="Q21" i="9"/>
  <c r="Q20" i="9"/>
  <c r="Q19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R79" i="9" s="1"/>
  <c r="Q80" i="9"/>
  <c r="R80" i="9" s="1"/>
  <c r="Q81" i="9"/>
  <c r="R81" i="9" s="1"/>
  <c r="Q82" i="9"/>
  <c r="R82" i="9" s="1"/>
  <c r="Q83" i="9"/>
  <c r="R83" i="9" s="1"/>
  <c r="Q84" i="9"/>
  <c r="R84" i="9" s="1"/>
  <c r="Q85" i="9"/>
  <c r="R85" i="9" s="1"/>
  <c r="J36" i="9"/>
  <c r="J63" i="9"/>
  <c r="J78" i="9"/>
  <c r="J20" i="9"/>
  <c r="J23" i="9"/>
  <c r="J24" i="9"/>
  <c r="J61" i="9"/>
  <c r="J27" i="9"/>
  <c r="J33" i="9"/>
  <c r="J35" i="9"/>
  <c r="J54" i="9"/>
  <c r="J70" i="9"/>
  <c r="J72" i="9"/>
  <c r="J75" i="9"/>
  <c r="J77" i="9"/>
  <c r="J80" i="9"/>
  <c r="J82" i="9"/>
  <c r="J22" i="9"/>
  <c r="J29" i="9"/>
  <c r="J66" i="9"/>
  <c r="J68" i="9"/>
  <c r="J42" i="9"/>
  <c r="J48" i="9"/>
  <c r="J59" i="9"/>
  <c r="J62" i="9"/>
  <c r="J74" i="9"/>
  <c r="J79" i="9"/>
  <c r="J81" i="9"/>
  <c r="J25" i="9"/>
  <c r="J37" i="9"/>
  <c r="J39" i="9"/>
  <c r="J41" i="9"/>
  <c r="J46" i="9"/>
  <c r="J47" i="9"/>
  <c r="J52" i="9"/>
  <c r="J69" i="9"/>
  <c r="F86" i="9"/>
  <c r="Q86" i="9"/>
  <c r="R86" i="9" s="1"/>
  <c r="N86" i="9"/>
  <c r="N15" i="9"/>
  <c r="N16" i="9"/>
  <c r="F16" i="9"/>
  <c r="F15" i="9"/>
  <c r="J16" i="9"/>
  <c r="N56" i="9"/>
  <c r="N44" i="9"/>
  <c r="N42" i="9"/>
  <c r="N37" i="9"/>
  <c r="N35" i="9"/>
  <c r="N46" i="9"/>
  <c r="N34" i="9"/>
  <c r="N45" i="9"/>
  <c r="N33" i="9"/>
  <c r="N19" i="9"/>
  <c r="J15" i="9"/>
  <c r="F56" i="9"/>
  <c r="F44" i="9"/>
  <c r="F42" i="9"/>
  <c r="F37" i="9"/>
  <c r="F35" i="9"/>
  <c r="F46" i="9"/>
  <c r="F34" i="9"/>
  <c r="F45" i="9"/>
  <c r="F33" i="9"/>
  <c r="F19" i="9"/>
  <c r="J19" i="9"/>
  <c r="AG88" i="1"/>
  <c r="AH88" i="1"/>
  <c r="P61" i="1"/>
  <c r="P88" i="1" s="1"/>
  <c r="AM84" i="43"/>
  <c r="AL84" i="43"/>
  <c r="AK84" i="43"/>
  <c r="AL36" i="43"/>
  <c r="AL39" i="43" s="1"/>
  <c r="AK36" i="43"/>
  <c r="AK39" i="43" s="1"/>
  <c r="AK78" i="43"/>
  <c r="AM36" i="43"/>
  <c r="AM39" i="43" s="1"/>
  <c r="AI36" i="43"/>
  <c r="AM89" i="43"/>
  <c r="AL89" i="43"/>
  <c r="AK89" i="43"/>
  <c r="AM40" i="43"/>
  <c r="AM79" i="43" s="1"/>
  <c r="AL40" i="43"/>
  <c r="AL79" i="43" s="1"/>
  <c r="AK40" i="43"/>
  <c r="AK79" i="43" s="1"/>
  <c r="C89" i="43"/>
  <c r="AI89" i="43" s="1"/>
  <c r="AI84" i="43"/>
  <c r="C78" i="43"/>
  <c r="AI78" i="43" s="1"/>
  <c r="C39" i="43"/>
  <c r="AI39" i="43" s="1"/>
  <c r="AI32" i="43"/>
  <c r="C40" i="43"/>
  <c r="AI26" i="43"/>
  <c r="F9" i="1"/>
  <c r="E2" i="1"/>
  <c r="E1" i="1"/>
  <c r="Z32" i="9"/>
  <c r="Z21" i="9"/>
  <c r="AB21" i="9"/>
  <c r="AX3" i="1"/>
  <c r="AX11" i="1" s="1"/>
  <c r="BI3" i="1"/>
  <c r="BI11" i="1" s="1"/>
  <c r="G24" i="11"/>
  <c r="G23" i="11"/>
  <c r="G20" i="11"/>
  <c r="G31" i="11"/>
  <c r="AC64" i="11"/>
  <c r="Y158" i="38"/>
  <c r="Q232" i="38"/>
  <c r="AW158" i="38"/>
  <c r="AK158" i="38"/>
  <c r="AC232" i="38"/>
  <c r="AD90" i="38"/>
  <c r="R90" i="38"/>
  <c r="AO232" i="38"/>
  <c r="R232" i="38"/>
  <c r="AD232" i="38"/>
  <c r="AP232" i="38"/>
  <c r="AN90" i="38"/>
  <c r="P90" i="38"/>
  <c r="AP90" i="38"/>
  <c r="AB90" i="38"/>
  <c r="AA57" i="38"/>
  <c r="AK90" i="38"/>
  <c r="AD57" i="38"/>
  <c r="AD92" i="38" s="1"/>
  <c r="AD93" i="38" s="1"/>
  <c r="AC57" i="38"/>
  <c r="AA90" i="38"/>
  <c r="AC90" i="38"/>
  <c r="AE90" i="38"/>
  <c r="U158" i="38"/>
  <c r="AM57" i="38"/>
  <c r="Y90" i="38"/>
  <c r="AQ232" i="38"/>
  <c r="Q57" i="38"/>
  <c r="AO57" i="38"/>
  <c r="AM90" i="38"/>
  <c r="Q90" i="38"/>
  <c r="AO90" i="38"/>
  <c r="S90" i="38"/>
  <c r="AQ90" i="38"/>
  <c r="Q158" i="38"/>
  <c r="AC158" i="38"/>
  <c r="AO158" i="38"/>
  <c r="AG158" i="38"/>
  <c r="AS158" i="38"/>
  <c r="U232" i="38"/>
  <c r="AG232" i="38"/>
  <c r="AS232" i="38"/>
  <c r="R158" i="38"/>
  <c r="AD158" i="38"/>
  <c r="AP158" i="38"/>
  <c r="V232" i="38"/>
  <c r="AH232" i="38"/>
  <c r="AT232" i="38"/>
  <c r="S158" i="38"/>
  <c r="AE158" i="38"/>
  <c r="AQ158" i="38"/>
  <c r="W232" i="38"/>
  <c r="AI232" i="38"/>
  <c r="AU232" i="38"/>
  <c r="R57" i="38"/>
  <c r="AF232" i="38"/>
  <c r="AF158" i="38"/>
  <c r="AJ232" i="38"/>
  <c r="AW232" i="38"/>
  <c r="AF90" i="38"/>
  <c r="AH158" i="38"/>
  <c r="AT158" i="38"/>
  <c r="Z158" i="38"/>
  <c r="AL158" i="38"/>
  <c r="Z232" i="38"/>
  <c r="AL232" i="38"/>
  <c r="AE232" i="38"/>
  <c r="AB57" i="38"/>
  <c r="T232" i="38"/>
  <c r="T158" i="38"/>
  <c r="AV232" i="38"/>
  <c r="AK232" i="38"/>
  <c r="T90" i="38"/>
  <c r="AR90" i="38"/>
  <c r="U90" i="38"/>
  <c r="AG90" i="38"/>
  <c r="AS90" i="38"/>
  <c r="W90" i="38"/>
  <c r="AU90" i="38"/>
  <c r="W158" i="38"/>
  <c r="AI158" i="38"/>
  <c r="AU158" i="38"/>
  <c r="AA158" i="38"/>
  <c r="AM158" i="38"/>
  <c r="AA232" i="38"/>
  <c r="AM232" i="38"/>
  <c r="AW90" i="38"/>
  <c r="S232" i="38"/>
  <c r="AN57" i="38"/>
  <c r="AN92" i="38" s="1"/>
  <c r="AN93" i="38" s="1"/>
  <c r="AR232" i="38"/>
  <c r="AR158" i="38"/>
  <c r="X232" i="38"/>
  <c r="Y232" i="38"/>
  <c r="V158" i="38"/>
  <c r="AI90" i="38"/>
  <c r="V90" i="38"/>
  <c r="AH90" i="38"/>
  <c r="AT90" i="38"/>
  <c r="X90" i="38"/>
  <c r="AJ90" i="38"/>
  <c r="AV90" i="38"/>
  <c r="Z90" i="38"/>
  <c r="AL90" i="38"/>
  <c r="X158" i="38"/>
  <c r="AJ158" i="38"/>
  <c r="AV158" i="38"/>
  <c r="P158" i="38"/>
  <c r="AB158" i="38"/>
  <c r="AN158" i="38"/>
  <c r="P232" i="38"/>
  <c r="AB232" i="38"/>
  <c r="AN232" i="38"/>
  <c r="AP57" i="38"/>
  <c r="S57" i="38"/>
  <c r="AK57" i="38"/>
  <c r="AK159" i="38" s="1"/>
  <c r="AW57" i="38"/>
  <c r="Z57" i="38"/>
  <c r="P57" i="38"/>
  <c r="Y57" i="38"/>
  <c r="AL57" i="38"/>
  <c r="T57" i="38"/>
  <c r="AF57" i="38"/>
  <c r="AG57" i="38"/>
  <c r="AH57" i="38"/>
  <c r="AI57" i="38"/>
  <c r="AV57" i="38"/>
  <c r="AR57" i="38"/>
  <c r="U57" i="38"/>
  <c r="V57" i="38"/>
  <c r="AU57" i="38"/>
  <c r="AJ57" i="38"/>
  <c r="AS57" i="38"/>
  <c r="AT57" i="38"/>
  <c r="W57" i="38"/>
  <c r="X57" i="38"/>
  <c r="AE57" i="38"/>
  <c r="AQ57" i="38"/>
  <c r="CC54" i="1" l="1"/>
  <c r="E38" i="1"/>
  <c r="E49" i="1" s="1"/>
  <c r="E82" i="1" s="1"/>
  <c r="E86" i="1" s="1"/>
  <c r="G9" i="1"/>
  <c r="F31" i="1"/>
  <c r="F30" i="1"/>
  <c r="F27" i="1"/>
  <c r="D88" i="1"/>
  <c r="D49" i="1"/>
  <c r="D82" i="1" s="1"/>
  <c r="D86" i="1" s="1"/>
  <c r="G5" i="49"/>
  <c r="F6" i="49"/>
  <c r="S11" i="46"/>
  <c r="D10" i="46"/>
  <c r="C11" i="46"/>
  <c r="E11" i="46" s="1"/>
  <c r="AP3" i="1"/>
  <c r="N50" i="9"/>
  <c r="N62" i="9"/>
  <c r="N38" i="9"/>
  <c r="N49" i="9"/>
  <c r="N61" i="9"/>
  <c r="N47" i="9"/>
  <c r="N59" i="9"/>
  <c r="N31" i="9"/>
  <c r="F38" i="9"/>
  <c r="F50" i="9"/>
  <c r="F62" i="9"/>
  <c r="F49" i="9"/>
  <c r="F61" i="9"/>
  <c r="F59" i="9"/>
  <c r="F47" i="9"/>
  <c r="F31" i="9"/>
  <c r="AM90" i="43"/>
  <c r="AL90" i="43"/>
  <c r="AK90" i="43"/>
  <c r="AI40" i="43"/>
  <c r="C79" i="43"/>
  <c r="F1" i="1"/>
  <c r="F2" i="1"/>
  <c r="BJ3" i="1"/>
  <c r="BJ11" i="1" s="1"/>
  <c r="BU3" i="1"/>
  <c r="AY3" i="1"/>
  <c r="AY11" i="1" s="1"/>
  <c r="Z22" i="9"/>
  <c r="Z33" i="9"/>
  <c r="AB22" i="9"/>
  <c r="AZ3" i="1"/>
  <c r="AZ11" i="1" s="1"/>
  <c r="AP92" i="38"/>
  <c r="AP93" i="38" s="1"/>
  <c r="AO233" i="38"/>
  <c r="AW159" i="38"/>
  <c r="AC233" i="38"/>
  <c r="R92" i="38"/>
  <c r="R93" i="38" s="1"/>
  <c r="AD235" i="38"/>
  <c r="AD236" i="38" s="1"/>
  <c r="AB92" i="38"/>
  <c r="AB93" i="38" s="1"/>
  <c r="P159" i="38"/>
  <c r="AG159" i="38"/>
  <c r="AB159" i="38"/>
  <c r="AK233" i="38"/>
  <c r="AT233" i="38"/>
  <c r="AC159" i="38"/>
  <c r="Y233" i="38"/>
  <c r="AW233" i="38"/>
  <c r="AH233" i="38"/>
  <c r="AL92" i="38"/>
  <c r="AL93" i="38" s="1"/>
  <c r="AJ92" i="38"/>
  <c r="AJ235" i="38" s="1"/>
  <c r="AJ236" i="38" s="1"/>
  <c r="AA159" i="38"/>
  <c r="P92" i="38"/>
  <c r="P93" i="38" s="1"/>
  <c r="Z92" i="38"/>
  <c r="Z93" i="38" s="1"/>
  <c r="AP159" i="38"/>
  <c r="AA92" i="38"/>
  <c r="AA93" i="38" s="1"/>
  <c r="AJ159" i="38"/>
  <c r="AL233" i="38"/>
  <c r="X159" i="38"/>
  <c r="Z233" i="38"/>
  <c r="AK92" i="38"/>
  <c r="AK93" i="38" s="1"/>
  <c r="AB233" i="38"/>
  <c r="AD233" i="38"/>
  <c r="AN159" i="38"/>
  <c r="AA233" i="38"/>
  <c r="AP233" i="38"/>
  <c r="R159" i="38"/>
  <c r="AN233" i="38"/>
  <c r="S233" i="38"/>
  <c r="V92" i="38"/>
  <c r="V235" i="38" s="1"/>
  <c r="V236" i="38" s="1"/>
  <c r="AW92" i="38"/>
  <c r="AW93" i="38" s="1"/>
  <c r="AP235" i="38"/>
  <c r="AP236" i="38" s="1"/>
  <c r="W92" i="38"/>
  <c r="W235" i="38" s="1"/>
  <c r="W236" i="38" s="1"/>
  <c r="AG233" i="38"/>
  <c r="AS92" i="38"/>
  <c r="AS93" i="38" s="1"/>
  <c r="S159" i="38"/>
  <c r="AO159" i="38"/>
  <c r="AM92" i="38"/>
  <c r="AM93" i="38" s="1"/>
  <c r="AE92" i="38"/>
  <c r="AE93" i="38" s="1"/>
  <c r="AD159" i="38"/>
  <c r="AV159" i="38"/>
  <c r="Y159" i="38"/>
  <c r="AM159" i="38"/>
  <c r="R233" i="38"/>
  <c r="W233" i="38"/>
  <c r="U233" i="38"/>
  <c r="Q92" i="38"/>
  <c r="Q93" i="38" s="1"/>
  <c r="W159" i="38"/>
  <c r="AF92" i="38"/>
  <c r="AF235" i="38" s="1"/>
  <c r="AF236" i="38" s="1"/>
  <c r="AS159" i="38"/>
  <c r="Y92" i="38"/>
  <c r="Y93" i="38" s="1"/>
  <c r="AU92" i="38"/>
  <c r="AU93" i="38" s="1"/>
  <c r="T92" i="38"/>
  <c r="T93" i="38" s="1"/>
  <c r="P233" i="38"/>
  <c r="AM233" i="38"/>
  <c r="AF233" i="38"/>
  <c r="AI92" i="38"/>
  <c r="AI235" i="38" s="1"/>
  <c r="AI236" i="38" s="1"/>
  <c r="AC92" i="38"/>
  <c r="AQ233" i="38"/>
  <c r="Z159" i="38"/>
  <c r="AT92" i="38"/>
  <c r="X233" i="38"/>
  <c r="AN235" i="38"/>
  <c r="AN236" i="38" s="1"/>
  <c r="AJ233" i="38"/>
  <c r="Q233" i="38"/>
  <c r="AR92" i="38"/>
  <c r="AR93" i="38" s="1"/>
  <c r="AS233" i="38"/>
  <c r="X92" i="38"/>
  <c r="X93" i="38" s="1"/>
  <c r="AH92" i="38"/>
  <c r="AH93" i="38" s="1"/>
  <c r="S92" i="38"/>
  <c r="U92" i="38"/>
  <c r="U235" i="38" s="1"/>
  <c r="U236" i="38" s="1"/>
  <c r="Q159" i="38"/>
  <c r="T233" i="38"/>
  <c r="AG92" i="38"/>
  <c r="AG235" i="38" s="1"/>
  <c r="AG236" i="38" s="1"/>
  <c r="AO92" i="38"/>
  <c r="AF159" i="38"/>
  <c r="T159" i="38"/>
  <c r="AR159" i="38"/>
  <c r="AR235" i="38"/>
  <c r="AR236" i="38" s="1"/>
  <c r="AQ159" i="38"/>
  <c r="V233" i="38"/>
  <c r="AL159" i="38"/>
  <c r="AT159" i="38"/>
  <c r="U159" i="38"/>
  <c r="AR233" i="38"/>
  <c r="AU159" i="38"/>
  <c r="AE233" i="38"/>
  <c r="AQ92" i="38"/>
  <c r="AQ93" i="38" s="1"/>
  <c r="AE159" i="38"/>
  <c r="AU233" i="38"/>
  <c r="AI159" i="38"/>
  <c r="AH159" i="38"/>
  <c r="AV233" i="38"/>
  <c r="AI233" i="38"/>
  <c r="AV92" i="38"/>
  <c r="AV235" i="38" s="1"/>
  <c r="AV236" i="38" s="1"/>
  <c r="V159" i="38"/>
  <c r="CD54" i="1" l="1"/>
  <c r="CE54" i="1"/>
  <c r="F38" i="1"/>
  <c r="F49" i="1" s="1"/>
  <c r="F82" i="1" s="1"/>
  <c r="F86" i="1" s="1"/>
  <c r="G27" i="1"/>
  <c r="G30" i="1"/>
  <c r="G31" i="1"/>
  <c r="H9" i="1"/>
  <c r="G6" i="49"/>
  <c r="F7" i="49"/>
  <c r="S12" i="46"/>
  <c r="D11" i="46"/>
  <c r="C12" i="46"/>
  <c r="E12" i="46" s="1"/>
  <c r="AQ3" i="1"/>
  <c r="N54" i="9"/>
  <c r="L12" i="9"/>
  <c r="F54" i="9"/>
  <c r="D12" i="9"/>
  <c r="H12" i="9"/>
  <c r="AI79" i="43"/>
  <c r="C90" i="43"/>
  <c r="AI90" i="43" s="1"/>
  <c r="G1" i="1"/>
  <c r="G2" i="1"/>
  <c r="BV3" i="1"/>
  <c r="BK3" i="1"/>
  <c r="BK11" i="1" s="1"/>
  <c r="BL3" i="1"/>
  <c r="BL11" i="1" s="1"/>
  <c r="Z34" i="9"/>
  <c r="Z23" i="9"/>
  <c r="AB23" i="9"/>
  <c r="BA3" i="1"/>
  <c r="AB235" i="38"/>
  <c r="AB236" i="38" s="1"/>
  <c r="R235" i="38"/>
  <c r="R236" i="38" s="1"/>
  <c r="AA235" i="38"/>
  <c r="AA236" i="38" s="1"/>
  <c r="Y235" i="38"/>
  <c r="Y236" i="38" s="1"/>
  <c r="AH235" i="38"/>
  <c r="AH236" i="38" s="1"/>
  <c r="AU235" i="38"/>
  <c r="AU236" i="38" s="1"/>
  <c r="AL235" i="38"/>
  <c r="AL236" i="38" s="1"/>
  <c r="W93" i="38"/>
  <c r="AS235" i="38"/>
  <c r="AS236" i="38" s="1"/>
  <c r="AJ93" i="38"/>
  <c r="P235" i="38"/>
  <c r="P236" i="38" s="1"/>
  <c r="AW235" i="38"/>
  <c r="AW236" i="38" s="1"/>
  <c r="Z235" i="38"/>
  <c r="Z236" i="38" s="1"/>
  <c r="AK235" i="38"/>
  <c r="AK236" i="38" s="1"/>
  <c r="AM235" i="38"/>
  <c r="AM236" i="38" s="1"/>
  <c r="AE235" i="38"/>
  <c r="AE236" i="38" s="1"/>
  <c r="V93" i="38"/>
  <c r="Q235" i="38"/>
  <c r="Q236" i="38" s="1"/>
  <c r="X235" i="38"/>
  <c r="X236" i="38" s="1"/>
  <c r="AF93" i="38"/>
  <c r="T235" i="38"/>
  <c r="T236" i="38" s="1"/>
  <c r="AO235" i="38"/>
  <c r="AO236" i="38" s="1"/>
  <c r="AO93" i="38"/>
  <c r="AG93" i="38"/>
  <c r="AC93" i="38"/>
  <c r="AC235" i="38"/>
  <c r="AC236" i="38" s="1"/>
  <c r="AT93" i="38"/>
  <c r="AT235" i="38"/>
  <c r="AT236" i="38" s="1"/>
  <c r="AI93" i="38"/>
  <c r="S93" i="38"/>
  <c r="S235" i="38"/>
  <c r="S236" i="38" s="1"/>
  <c r="U93" i="38"/>
  <c r="AV93" i="38"/>
  <c r="AQ235" i="38"/>
  <c r="AQ236" i="38" s="1"/>
  <c r="G38" i="1" l="1"/>
  <c r="G49" i="1" s="1"/>
  <c r="G82" i="1" s="1"/>
  <c r="G86" i="1" s="1"/>
  <c r="H27" i="1"/>
  <c r="H30" i="1"/>
  <c r="H31" i="1"/>
  <c r="I9" i="1"/>
  <c r="J9" i="1" s="1"/>
  <c r="G7" i="49"/>
  <c r="F8" i="49"/>
  <c r="S13" i="46"/>
  <c r="D12" i="46"/>
  <c r="C13" i="46"/>
  <c r="E13" i="46" s="1"/>
  <c r="AR3" i="1"/>
  <c r="M12" i="9"/>
  <c r="N12" i="9" s="1"/>
  <c r="N43" i="9"/>
  <c r="L14" i="9"/>
  <c r="D14" i="9"/>
  <c r="E12" i="9"/>
  <c r="F43" i="9"/>
  <c r="I12" i="9"/>
  <c r="J12" i="9" s="1"/>
  <c r="H14" i="9"/>
  <c r="H1" i="1"/>
  <c r="H2" i="1"/>
  <c r="BW3" i="1"/>
  <c r="BX3" i="1"/>
  <c r="BM3" i="1"/>
  <c r="BM11" i="1" s="1"/>
  <c r="Z35" i="9"/>
  <c r="Z24" i="9"/>
  <c r="AB24" i="9"/>
  <c r="BB3" i="1"/>
  <c r="BB11" i="1" s="1"/>
  <c r="J11" i="11"/>
  <c r="I11" i="11"/>
  <c r="H11" i="11"/>
  <c r="F11" i="11"/>
  <c r="D11" i="11"/>
  <c r="AR402" i="22"/>
  <c r="AS402" i="22"/>
  <c r="AR403" i="22"/>
  <c r="AS403" i="22"/>
  <c r="AR404" i="22"/>
  <c r="AS404" i="22"/>
  <c r="AR405" i="22"/>
  <c r="AS405" i="22"/>
  <c r="AR406" i="22"/>
  <c r="AS406" i="22"/>
  <c r="AR407" i="22"/>
  <c r="AS407" i="22"/>
  <c r="AR408" i="22"/>
  <c r="AS408" i="22"/>
  <c r="AR409" i="22"/>
  <c r="AS409" i="22"/>
  <c r="AR410" i="22"/>
  <c r="AS410" i="22"/>
  <c r="AR411" i="22"/>
  <c r="AS411" i="22"/>
  <c r="AR412" i="22"/>
  <c r="AS412" i="22"/>
  <c r="AR413" i="22"/>
  <c r="AS413" i="22"/>
  <c r="AS41" i="22"/>
  <c r="AS42" i="22"/>
  <c r="AS43" i="22"/>
  <c r="AS44" i="22"/>
  <c r="AS45" i="22"/>
  <c r="AS46" i="22"/>
  <c r="AS47" i="22"/>
  <c r="AS48" i="22"/>
  <c r="AS49" i="22"/>
  <c r="AS50" i="22"/>
  <c r="AS51" i="22"/>
  <c r="AS52" i="22"/>
  <c r="AS53" i="22"/>
  <c r="AS54" i="22"/>
  <c r="AS55" i="22"/>
  <c r="AS56" i="22"/>
  <c r="AS57" i="22"/>
  <c r="AS58" i="22"/>
  <c r="AS59" i="22"/>
  <c r="AS60" i="22"/>
  <c r="AS61" i="22"/>
  <c r="AS62" i="22"/>
  <c r="AS63" i="22"/>
  <c r="AS64" i="22"/>
  <c r="AS65" i="22"/>
  <c r="AS66" i="22"/>
  <c r="AS67" i="22"/>
  <c r="AS68" i="22"/>
  <c r="AS69" i="22"/>
  <c r="AS70" i="22"/>
  <c r="AS71" i="22"/>
  <c r="AS72" i="22"/>
  <c r="AS73" i="22"/>
  <c r="AS74" i="22"/>
  <c r="AS75" i="22"/>
  <c r="AS76" i="22"/>
  <c r="AS77" i="22"/>
  <c r="AS78" i="22"/>
  <c r="AS79" i="22"/>
  <c r="AS80" i="22"/>
  <c r="AS81" i="22"/>
  <c r="AS82" i="22"/>
  <c r="AS83" i="22"/>
  <c r="AS84" i="22"/>
  <c r="AS85" i="22"/>
  <c r="AS86" i="22"/>
  <c r="AS87" i="22"/>
  <c r="AS88" i="22"/>
  <c r="AS89" i="22"/>
  <c r="AS90" i="22"/>
  <c r="AS91" i="22"/>
  <c r="AS92" i="22"/>
  <c r="AS93" i="22"/>
  <c r="AS94" i="22"/>
  <c r="AS95" i="22"/>
  <c r="AS96" i="22"/>
  <c r="AS97" i="22"/>
  <c r="AS98" i="22"/>
  <c r="AS99" i="22"/>
  <c r="AS100" i="22"/>
  <c r="AS101" i="22"/>
  <c r="AS102" i="22"/>
  <c r="AS103" i="22"/>
  <c r="AS104" i="22"/>
  <c r="AS105" i="22"/>
  <c r="AS106" i="22"/>
  <c r="AS107" i="22"/>
  <c r="AS108" i="22"/>
  <c r="AS109" i="22"/>
  <c r="AS110" i="22"/>
  <c r="AS111" i="22"/>
  <c r="AS112" i="22"/>
  <c r="AS113" i="22"/>
  <c r="AS114" i="22"/>
  <c r="AS115" i="22"/>
  <c r="AS116" i="22"/>
  <c r="AS117" i="22"/>
  <c r="AS118" i="22"/>
  <c r="AS119" i="22"/>
  <c r="AS120" i="22"/>
  <c r="AS121" i="22"/>
  <c r="AS122" i="22"/>
  <c r="AS123" i="22"/>
  <c r="AS124" i="22"/>
  <c r="AS125" i="22"/>
  <c r="AS126" i="22"/>
  <c r="AS127" i="22"/>
  <c r="AS128" i="22"/>
  <c r="AS129" i="22"/>
  <c r="AS130" i="22"/>
  <c r="AS131" i="22"/>
  <c r="AS132" i="22"/>
  <c r="AS133" i="22"/>
  <c r="AS134" i="22"/>
  <c r="AS135" i="22"/>
  <c r="AS136" i="22"/>
  <c r="AS137" i="22"/>
  <c r="AS138" i="22"/>
  <c r="AS139" i="22"/>
  <c r="AS140" i="22"/>
  <c r="AS141" i="22"/>
  <c r="AS142" i="22"/>
  <c r="AS143" i="22"/>
  <c r="AS144" i="22"/>
  <c r="AS145" i="22"/>
  <c r="AS146" i="22"/>
  <c r="AS147" i="22"/>
  <c r="AS148" i="22"/>
  <c r="AS149" i="22"/>
  <c r="AS150" i="22"/>
  <c r="AS151" i="22"/>
  <c r="AS152" i="22"/>
  <c r="AS153" i="22"/>
  <c r="AS154" i="22"/>
  <c r="AS155" i="22"/>
  <c r="AS156" i="22"/>
  <c r="AS157" i="22"/>
  <c r="AS158" i="22"/>
  <c r="AS159" i="22"/>
  <c r="AS160" i="22"/>
  <c r="AS161" i="22"/>
  <c r="AS162" i="22"/>
  <c r="AS163" i="22"/>
  <c r="AS164" i="22"/>
  <c r="AS165" i="22"/>
  <c r="AS166" i="22"/>
  <c r="AS167" i="22"/>
  <c r="AS168" i="22"/>
  <c r="AS169" i="22"/>
  <c r="AS170" i="22"/>
  <c r="AS171" i="22"/>
  <c r="AS172" i="22"/>
  <c r="AS173" i="22"/>
  <c r="AS174" i="22"/>
  <c r="AS175" i="22"/>
  <c r="AS176" i="22"/>
  <c r="AS177" i="22"/>
  <c r="AS178" i="22"/>
  <c r="AS179" i="22"/>
  <c r="AS180" i="22"/>
  <c r="AS181" i="22"/>
  <c r="AS182" i="22"/>
  <c r="AS183" i="22"/>
  <c r="AS184" i="22"/>
  <c r="AS185" i="22"/>
  <c r="AS186" i="22"/>
  <c r="AS187" i="22"/>
  <c r="AS188" i="22"/>
  <c r="AS189" i="22"/>
  <c r="AS190" i="22"/>
  <c r="AS191" i="22"/>
  <c r="AS192" i="22"/>
  <c r="AS193" i="22"/>
  <c r="AS194" i="22"/>
  <c r="AS195" i="22"/>
  <c r="AS196" i="22"/>
  <c r="AS197" i="22"/>
  <c r="AS198" i="22"/>
  <c r="AS199" i="22"/>
  <c r="AS200" i="22"/>
  <c r="AS201" i="22"/>
  <c r="AS202" i="22"/>
  <c r="AS203" i="22"/>
  <c r="AS204" i="22"/>
  <c r="AS205" i="22"/>
  <c r="AS206" i="22"/>
  <c r="AS207" i="22"/>
  <c r="AS208" i="22"/>
  <c r="AS209" i="22"/>
  <c r="AS210" i="22"/>
  <c r="AS211" i="22"/>
  <c r="AS212" i="22"/>
  <c r="AS213" i="22"/>
  <c r="AS214" i="22"/>
  <c r="AS215" i="22"/>
  <c r="AS216" i="22"/>
  <c r="AS217" i="22"/>
  <c r="AS218" i="22"/>
  <c r="AS219" i="22"/>
  <c r="AS220" i="22"/>
  <c r="AS221" i="22"/>
  <c r="AS222" i="22"/>
  <c r="AS223" i="22"/>
  <c r="AS224" i="22"/>
  <c r="AS225" i="22"/>
  <c r="AS226" i="22"/>
  <c r="AS227" i="22"/>
  <c r="AS228" i="22"/>
  <c r="AS229" i="22"/>
  <c r="AS230" i="22"/>
  <c r="AS231" i="22"/>
  <c r="AS232" i="22"/>
  <c r="AS233" i="22"/>
  <c r="AS234" i="22"/>
  <c r="AS235" i="22"/>
  <c r="AS236" i="22"/>
  <c r="AS237" i="22"/>
  <c r="AS238" i="22"/>
  <c r="AS239" i="22"/>
  <c r="AS240" i="22"/>
  <c r="AS241" i="22"/>
  <c r="AS242" i="22"/>
  <c r="AS243" i="22"/>
  <c r="AS244" i="22"/>
  <c r="AS245" i="22"/>
  <c r="AS246" i="22"/>
  <c r="AS247" i="22"/>
  <c r="AS248" i="22"/>
  <c r="AS249" i="22"/>
  <c r="AS250" i="22"/>
  <c r="AS251" i="22"/>
  <c r="AS252" i="22"/>
  <c r="AS253" i="22"/>
  <c r="AS254" i="22"/>
  <c r="AS255" i="22"/>
  <c r="AS256" i="22"/>
  <c r="AS257" i="22"/>
  <c r="AS258" i="22"/>
  <c r="AS259" i="22"/>
  <c r="AS260" i="22"/>
  <c r="AS261" i="22"/>
  <c r="AS262" i="22"/>
  <c r="AS263" i="22"/>
  <c r="AS264" i="22"/>
  <c r="AS265" i="22"/>
  <c r="AS266" i="22"/>
  <c r="AS267" i="22"/>
  <c r="AS268" i="22"/>
  <c r="AS269" i="22"/>
  <c r="AS270" i="22"/>
  <c r="AS271" i="22"/>
  <c r="AS272" i="22"/>
  <c r="AS273" i="22"/>
  <c r="AS274" i="22"/>
  <c r="AS275" i="22"/>
  <c r="AS276" i="22"/>
  <c r="AS277" i="22"/>
  <c r="AS278" i="22"/>
  <c r="AS279" i="22"/>
  <c r="AS280" i="22"/>
  <c r="AS281" i="22"/>
  <c r="AS282" i="22"/>
  <c r="AS283" i="22"/>
  <c r="AS284" i="22"/>
  <c r="AS285" i="22"/>
  <c r="AS286" i="22"/>
  <c r="AS287" i="22"/>
  <c r="AS288" i="22"/>
  <c r="AS289" i="22"/>
  <c r="AS290" i="22"/>
  <c r="AS291" i="22"/>
  <c r="AS292" i="22"/>
  <c r="AS293" i="22"/>
  <c r="AS294" i="22"/>
  <c r="AS295" i="22"/>
  <c r="AS296" i="22"/>
  <c r="AS297" i="22"/>
  <c r="AS298" i="22"/>
  <c r="AS299" i="22"/>
  <c r="AS300" i="22"/>
  <c r="AS301" i="22"/>
  <c r="AS302" i="22"/>
  <c r="AS303" i="22"/>
  <c r="AS304" i="22"/>
  <c r="AS305" i="22"/>
  <c r="AS306" i="22"/>
  <c r="AS307" i="22"/>
  <c r="AS308" i="22"/>
  <c r="AS309" i="22"/>
  <c r="AS310" i="22"/>
  <c r="AS311" i="22"/>
  <c r="AS312" i="22"/>
  <c r="AS313" i="22"/>
  <c r="AS314" i="22"/>
  <c r="AS315" i="22"/>
  <c r="AS316" i="22"/>
  <c r="AS317" i="22"/>
  <c r="AS318" i="22"/>
  <c r="AS319" i="22"/>
  <c r="AS320" i="22"/>
  <c r="AS321" i="22"/>
  <c r="AS322" i="22"/>
  <c r="AS323" i="22"/>
  <c r="AS324" i="22"/>
  <c r="AS325" i="22"/>
  <c r="AS326" i="22"/>
  <c r="AS327" i="22"/>
  <c r="AS328" i="22"/>
  <c r="AS329" i="22"/>
  <c r="AS330" i="22"/>
  <c r="AS331" i="22"/>
  <c r="AS332" i="22"/>
  <c r="AS333" i="22"/>
  <c r="AS334" i="22"/>
  <c r="AS335" i="22"/>
  <c r="AS336" i="22"/>
  <c r="AS337" i="22"/>
  <c r="AS338" i="22"/>
  <c r="AS339" i="22"/>
  <c r="AS340" i="22"/>
  <c r="AS341" i="22"/>
  <c r="AS342" i="22"/>
  <c r="AS343" i="22"/>
  <c r="AS344" i="22"/>
  <c r="AS345" i="22"/>
  <c r="AS346" i="22"/>
  <c r="AS347" i="22"/>
  <c r="AS348" i="22"/>
  <c r="AS349" i="22"/>
  <c r="AS350" i="22"/>
  <c r="AS351" i="22"/>
  <c r="AS352" i="22"/>
  <c r="AS353" i="22"/>
  <c r="AS354" i="22"/>
  <c r="AS355" i="22"/>
  <c r="AS356" i="22"/>
  <c r="AS357" i="22"/>
  <c r="AS358" i="22"/>
  <c r="AS359" i="22"/>
  <c r="AS360" i="22"/>
  <c r="AS361" i="22"/>
  <c r="AS362" i="22"/>
  <c r="AS363" i="22"/>
  <c r="AS364" i="22"/>
  <c r="AS365" i="22"/>
  <c r="AS366" i="22"/>
  <c r="AS367" i="22"/>
  <c r="AS368" i="22"/>
  <c r="AS369" i="22"/>
  <c r="AS370" i="22"/>
  <c r="AS371" i="22"/>
  <c r="AS372" i="22"/>
  <c r="AS373" i="22"/>
  <c r="AS374" i="22"/>
  <c r="AS375" i="22"/>
  <c r="AS376" i="22"/>
  <c r="AS377" i="22"/>
  <c r="AS378" i="22"/>
  <c r="AS379" i="22"/>
  <c r="AS380" i="22"/>
  <c r="AS381" i="22"/>
  <c r="AS382" i="22"/>
  <c r="AS383" i="22"/>
  <c r="AS384" i="22"/>
  <c r="AS385" i="22"/>
  <c r="AS386" i="22"/>
  <c r="AS387" i="22"/>
  <c r="AS388" i="22"/>
  <c r="AS389" i="22"/>
  <c r="AS390" i="22"/>
  <c r="AS391" i="22"/>
  <c r="AS392" i="22"/>
  <c r="AS393" i="22"/>
  <c r="AS394" i="22"/>
  <c r="AS395" i="22"/>
  <c r="AS396" i="22"/>
  <c r="AS397" i="22"/>
  <c r="AS398" i="22"/>
  <c r="AS399" i="22"/>
  <c r="AS400" i="22"/>
  <c r="AS401" i="22"/>
  <c r="AS40" i="22"/>
  <c r="L11" i="11"/>
  <c r="AE413" i="22"/>
  <c r="AD413" i="22"/>
  <c r="AC413" i="22"/>
  <c r="AB413" i="22"/>
  <c r="AA413" i="22"/>
  <c r="Z413" i="22"/>
  <c r="Y413" i="22"/>
  <c r="X413" i="22"/>
  <c r="W413" i="22"/>
  <c r="V413" i="22"/>
  <c r="U413" i="22"/>
  <c r="T413" i="22"/>
  <c r="S413" i="22"/>
  <c r="R413" i="22"/>
  <c r="Q413" i="22"/>
  <c r="P413" i="22"/>
  <c r="O413" i="22"/>
  <c r="N413" i="22"/>
  <c r="M413" i="22"/>
  <c r="L413" i="22"/>
  <c r="K413" i="22"/>
  <c r="J413" i="22"/>
  <c r="I413" i="22"/>
  <c r="H413" i="22"/>
  <c r="G413" i="22"/>
  <c r="AE412" i="22"/>
  <c r="AD412" i="22"/>
  <c r="AC412" i="22"/>
  <c r="AB412" i="22"/>
  <c r="AA412" i="22"/>
  <c r="Z412" i="22"/>
  <c r="Y412" i="22"/>
  <c r="X412" i="22"/>
  <c r="W412" i="22"/>
  <c r="V412" i="22"/>
  <c r="U412" i="22"/>
  <c r="T412" i="22"/>
  <c r="S412" i="22"/>
  <c r="R412" i="22"/>
  <c r="Q412" i="22"/>
  <c r="P412" i="22"/>
  <c r="O412" i="22"/>
  <c r="N412" i="22"/>
  <c r="M412" i="22"/>
  <c r="L412" i="22"/>
  <c r="K412" i="22"/>
  <c r="J412" i="22"/>
  <c r="I412" i="22"/>
  <c r="H412" i="22"/>
  <c r="G412" i="22"/>
  <c r="AE411" i="22"/>
  <c r="AC411" i="22"/>
  <c r="AB411" i="22"/>
  <c r="AA411" i="22"/>
  <c r="Z411" i="22"/>
  <c r="Y411" i="22"/>
  <c r="X411" i="22"/>
  <c r="W411" i="22"/>
  <c r="V411" i="22"/>
  <c r="U411" i="22"/>
  <c r="T411" i="22"/>
  <c r="S411" i="22"/>
  <c r="Q411" i="22"/>
  <c r="P411" i="22"/>
  <c r="O411" i="22"/>
  <c r="N411" i="22"/>
  <c r="M411" i="22"/>
  <c r="L411" i="22"/>
  <c r="K411" i="22"/>
  <c r="J411" i="22"/>
  <c r="I411" i="22"/>
  <c r="H411" i="22"/>
  <c r="G411" i="22"/>
  <c r="AE410" i="22"/>
  <c r="AC410" i="22"/>
  <c r="AB410" i="22"/>
  <c r="AA410" i="22"/>
  <c r="Z410" i="22"/>
  <c r="Y410" i="22"/>
  <c r="X410" i="22"/>
  <c r="W410" i="22"/>
  <c r="V410" i="22"/>
  <c r="U410" i="22"/>
  <c r="T410" i="22"/>
  <c r="S410" i="22"/>
  <c r="Q410" i="22"/>
  <c r="P410" i="22"/>
  <c r="O410" i="22"/>
  <c r="N410" i="22"/>
  <c r="M410" i="22"/>
  <c r="L410" i="22"/>
  <c r="K410" i="22"/>
  <c r="J410" i="22"/>
  <c r="I410" i="22"/>
  <c r="H410" i="22"/>
  <c r="G410" i="22"/>
  <c r="AE409" i="22"/>
  <c r="AD409" i="22"/>
  <c r="AC409" i="22"/>
  <c r="AB409" i="22"/>
  <c r="AA409" i="22"/>
  <c r="Z409" i="22"/>
  <c r="Y409" i="22"/>
  <c r="X409" i="22"/>
  <c r="W409" i="22"/>
  <c r="V409" i="22"/>
  <c r="U409" i="22"/>
  <c r="T409" i="22"/>
  <c r="S409" i="22"/>
  <c r="R409" i="22"/>
  <c r="Q409" i="22"/>
  <c r="P409" i="22"/>
  <c r="O409" i="22"/>
  <c r="N409" i="22"/>
  <c r="M409" i="22"/>
  <c r="L409" i="22"/>
  <c r="K409" i="22"/>
  <c r="J409" i="22"/>
  <c r="I409" i="22"/>
  <c r="H409" i="22"/>
  <c r="G409" i="22"/>
  <c r="AE408" i="22"/>
  <c r="AD408" i="22"/>
  <c r="AC408" i="22"/>
  <c r="AB408" i="22"/>
  <c r="AA408" i="22"/>
  <c r="Z408" i="22"/>
  <c r="Y408" i="22"/>
  <c r="X408" i="22"/>
  <c r="W408" i="22"/>
  <c r="V408" i="22"/>
  <c r="U408" i="22"/>
  <c r="T408" i="22"/>
  <c r="S408" i="22"/>
  <c r="R408" i="22"/>
  <c r="Q408" i="22"/>
  <c r="P408" i="22"/>
  <c r="O408" i="22"/>
  <c r="N408" i="22"/>
  <c r="M408" i="22"/>
  <c r="L408" i="22"/>
  <c r="K408" i="22"/>
  <c r="J408" i="22"/>
  <c r="I408" i="22"/>
  <c r="H408" i="22"/>
  <c r="G408" i="22"/>
  <c r="AE407" i="22"/>
  <c r="AC407" i="22"/>
  <c r="AB407" i="22"/>
  <c r="AA407" i="22"/>
  <c r="Z407" i="22"/>
  <c r="Y407" i="22"/>
  <c r="X407" i="22"/>
  <c r="W407" i="22"/>
  <c r="V407" i="22"/>
  <c r="U407" i="22"/>
  <c r="T407" i="22"/>
  <c r="S407" i="22"/>
  <c r="Q407" i="22"/>
  <c r="P407" i="22"/>
  <c r="O407" i="22"/>
  <c r="N407" i="22"/>
  <c r="M407" i="22"/>
  <c r="L407" i="22"/>
  <c r="K407" i="22"/>
  <c r="J407" i="22"/>
  <c r="I407" i="22"/>
  <c r="H407" i="22"/>
  <c r="G407" i="22"/>
  <c r="AE406" i="22"/>
  <c r="AD406" i="22"/>
  <c r="AC406" i="22"/>
  <c r="AB406" i="22"/>
  <c r="AA406" i="22"/>
  <c r="Z406" i="22"/>
  <c r="Y406" i="22"/>
  <c r="X406" i="22"/>
  <c r="W406" i="22"/>
  <c r="V406" i="22"/>
  <c r="U406" i="22"/>
  <c r="T406" i="22"/>
  <c r="S406" i="22"/>
  <c r="R406" i="22"/>
  <c r="Q406" i="22"/>
  <c r="P406" i="22"/>
  <c r="O406" i="22"/>
  <c r="N406" i="22"/>
  <c r="M406" i="22"/>
  <c r="L406" i="22"/>
  <c r="K406" i="22"/>
  <c r="J406" i="22"/>
  <c r="I406" i="22"/>
  <c r="H406" i="22"/>
  <c r="G406" i="22"/>
  <c r="AE405" i="22"/>
  <c r="AC405" i="22"/>
  <c r="AB405" i="22"/>
  <c r="AA405" i="22"/>
  <c r="Z405" i="22"/>
  <c r="Y405" i="22"/>
  <c r="X405" i="22"/>
  <c r="W405" i="22"/>
  <c r="V405" i="22"/>
  <c r="U405" i="22"/>
  <c r="T405" i="22"/>
  <c r="S405" i="22"/>
  <c r="Q405" i="22"/>
  <c r="P405" i="22"/>
  <c r="O405" i="22"/>
  <c r="N405" i="22"/>
  <c r="M405" i="22"/>
  <c r="L405" i="22"/>
  <c r="K405" i="22"/>
  <c r="J405" i="22"/>
  <c r="I405" i="22"/>
  <c r="H405" i="22"/>
  <c r="G405" i="22"/>
  <c r="AE404" i="22"/>
  <c r="AD404" i="22"/>
  <c r="AC404" i="22"/>
  <c r="AB404" i="22"/>
  <c r="AA404" i="22"/>
  <c r="Z404" i="22"/>
  <c r="Y404" i="22"/>
  <c r="X404" i="22"/>
  <c r="W404" i="22"/>
  <c r="V404" i="22"/>
  <c r="U404" i="22"/>
  <c r="T404" i="22"/>
  <c r="S404" i="22"/>
  <c r="R404" i="22"/>
  <c r="Q404" i="22"/>
  <c r="P404" i="22"/>
  <c r="O404" i="22"/>
  <c r="N404" i="22"/>
  <c r="M404" i="22"/>
  <c r="L404" i="22"/>
  <c r="K404" i="22"/>
  <c r="J404" i="22"/>
  <c r="I404" i="22"/>
  <c r="H404" i="22"/>
  <c r="G404" i="22"/>
  <c r="AE403" i="22"/>
  <c r="AD403" i="22"/>
  <c r="AC403" i="22"/>
  <c r="AB403" i="22"/>
  <c r="AA403" i="22"/>
  <c r="Z403" i="22"/>
  <c r="Y403" i="22"/>
  <c r="X403" i="22"/>
  <c r="W403" i="22"/>
  <c r="V403" i="22"/>
  <c r="U403" i="22"/>
  <c r="T403" i="22"/>
  <c r="S403" i="22"/>
  <c r="R403" i="22"/>
  <c r="Q403" i="22"/>
  <c r="P403" i="22"/>
  <c r="O403" i="22"/>
  <c r="N403" i="22"/>
  <c r="M403" i="22"/>
  <c r="L403" i="22"/>
  <c r="K403" i="22"/>
  <c r="J403" i="22"/>
  <c r="I403" i="22"/>
  <c r="H403" i="22"/>
  <c r="G403" i="22"/>
  <c r="AE402" i="22"/>
  <c r="AD402" i="22"/>
  <c r="AC402" i="22"/>
  <c r="AB402" i="22"/>
  <c r="AA402" i="22"/>
  <c r="Z402" i="22"/>
  <c r="Y402" i="22"/>
  <c r="X402" i="22"/>
  <c r="W402" i="22"/>
  <c r="V402" i="22"/>
  <c r="U402" i="22"/>
  <c r="T402" i="22"/>
  <c r="S402" i="22"/>
  <c r="R402" i="22"/>
  <c r="Q402" i="22"/>
  <c r="P402" i="22"/>
  <c r="O402" i="22"/>
  <c r="N402" i="22"/>
  <c r="M402" i="22"/>
  <c r="L402" i="22"/>
  <c r="K402" i="22"/>
  <c r="J402" i="22"/>
  <c r="I402" i="22"/>
  <c r="H402" i="22"/>
  <c r="G402" i="22"/>
  <c r="AE401" i="22"/>
  <c r="AD401" i="22"/>
  <c r="AC401" i="22"/>
  <c r="AB401" i="22"/>
  <c r="AA401" i="22"/>
  <c r="Z401" i="22"/>
  <c r="Y401" i="22"/>
  <c r="X401" i="22"/>
  <c r="W401" i="22"/>
  <c r="V401" i="22"/>
  <c r="U401" i="22"/>
  <c r="T401" i="22"/>
  <c r="S401" i="22"/>
  <c r="R401" i="22"/>
  <c r="Q401" i="22"/>
  <c r="P401" i="22"/>
  <c r="O401" i="22"/>
  <c r="N401" i="22"/>
  <c r="M401" i="22"/>
  <c r="L401" i="22"/>
  <c r="K401" i="22"/>
  <c r="J401" i="22"/>
  <c r="I401" i="22"/>
  <c r="H401" i="22"/>
  <c r="G401" i="22"/>
  <c r="AE400" i="22"/>
  <c r="AD400" i="22"/>
  <c r="AC400" i="22"/>
  <c r="AB400" i="22"/>
  <c r="AA400" i="22"/>
  <c r="Z400" i="22"/>
  <c r="Y400" i="22"/>
  <c r="X400" i="22"/>
  <c r="W400" i="22"/>
  <c r="V400" i="22"/>
  <c r="U400" i="22"/>
  <c r="T400" i="22"/>
  <c r="S400" i="22"/>
  <c r="R400" i="22"/>
  <c r="Q400" i="22"/>
  <c r="P400" i="22"/>
  <c r="O400" i="22"/>
  <c r="N400" i="22"/>
  <c r="M400" i="22"/>
  <c r="L400" i="22"/>
  <c r="K400" i="22"/>
  <c r="J400" i="22"/>
  <c r="I400" i="22"/>
  <c r="H400" i="22"/>
  <c r="G400" i="22"/>
  <c r="AE399" i="22"/>
  <c r="AC399" i="22"/>
  <c r="AB399" i="22"/>
  <c r="AA399" i="22"/>
  <c r="Z399" i="22"/>
  <c r="Y399" i="22"/>
  <c r="X399" i="22"/>
  <c r="W399" i="22"/>
  <c r="V399" i="22"/>
  <c r="U399" i="22"/>
  <c r="T399" i="22"/>
  <c r="S399" i="22"/>
  <c r="Q399" i="22"/>
  <c r="P399" i="22"/>
  <c r="O399" i="22"/>
  <c r="N399" i="22"/>
  <c r="M399" i="22"/>
  <c r="L399" i="22"/>
  <c r="K399" i="22"/>
  <c r="J399" i="22"/>
  <c r="I399" i="22"/>
  <c r="H399" i="22"/>
  <c r="G399" i="22"/>
  <c r="AE398" i="22"/>
  <c r="AC398" i="22"/>
  <c r="AB398" i="22"/>
  <c r="AA398" i="22"/>
  <c r="Z398" i="22"/>
  <c r="Y398" i="22"/>
  <c r="X398" i="22"/>
  <c r="W398" i="22"/>
  <c r="V398" i="22"/>
  <c r="U398" i="22"/>
  <c r="T398" i="22"/>
  <c r="S398" i="22"/>
  <c r="Q398" i="22"/>
  <c r="P398" i="22"/>
  <c r="O398" i="22"/>
  <c r="N398" i="22"/>
  <c r="M398" i="22"/>
  <c r="L398" i="22"/>
  <c r="K398" i="22"/>
  <c r="J398" i="22"/>
  <c r="I398" i="22"/>
  <c r="H398" i="22"/>
  <c r="G398" i="22"/>
  <c r="AE397" i="22"/>
  <c r="AD397" i="22"/>
  <c r="AC397" i="22"/>
  <c r="AB397" i="22"/>
  <c r="AA397" i="22"/>
  <c r="Z397" i="22"/>
  <c r="Y397" i="22"/>
  <c r="X397" i="22"/>
  <c r="W397" i="22"/>
  <c r="V397" i="22"/>
  <c r="U397" i="22"/>
  <c r="T397" i="22"/>
  <c r="S397" i="22"/>
  <c r="R397" i="22"/>
  <c r="Q397" i="22"/>
  <c r="P397" i="22"/>
  <c r="O397" i="22"/>
  <c r="N397" i="22"/>
  <c r="M397" i="22"/>
  <c r="L397" i="22"/>
  <c r="K397" i="22"/>
  <c r="J397" i="22"/>
  <c r="I397" i="22"/>
  <c r="H397" i="22"/>
  <c r="G397" i="22"/>
  <c r="AE396" i="22"/>
  <c r="AD396" i="22"/>
  <c r="AC396" i="22"/>
  <c r="AB396" i="22"/>
  <c r="AA396" i="22"/>
  <c r="Z396" i="22"/>
  <c r="Y396" i="22"/>
  <c r="X396" i="22"/>
  <c r="W396" i="22"/>
  <c r="V396" i="22"/>
  <c r="U396" i="22"/>
  <c r="T396" i="22"/>
  <c r="S396" i="22"/>
  <c r="R396" i="22"/>
  <c r="Q396" i="22"/>
  <c r="P396" i="22"/>
  <c r="O396" i="22"/>
  <c r="N396" i="22"/>
  <c r="M396" i="22"/>
  <c r="L396" i="22"/>
  <c r="K396" i="22"/>
  <c r="J396" i="22"/>
  <c r="I396" i="22"/>
  <c r="H396" i="22"/>
  <c r="G396" i="22"/>
  <c r="AE395" i="22"/>
  <c r="AD395" i="22"/>
  <c r="AC395" i="22"/>
  <c r="AB395" i="22"/>
  <c r="AA395" i="22"/>
  <c r="Z395" i="22"/>
  <c r="Y395" i="22"/>
  <c r="X395" i="22"/>
  <c r="W395" i="22"/>
  <c r="V395" i="22"/>
  <c r="U395" i="22"/>
  <c r="T395" i="22"/>
  <c r="S395" i="22"/>
  <c r="R395" i="22"/>
  <c r="Q395" i="22"/>
  <c r="P395" i="22"/>
  <c r="O395" i="22"/>
  <c r="N395" i="22"/>
  <c r="M395" i="22"/>
  <c r="L395" i="22"/>
  <c r="K395" i="22"/>
  <c r="J395" i="22"/>
  <c r="I395" i="22"/>
  <c r="H395" i="22"/>
  <c r="G395" i="22"/>
  <c r="AE394" i="22"/>
  <c r="AD394" i="22"/>
  <c r="AC394" i="22"/>
  <c r="AB394" i="22"/>
  <c r="AA394" i="22"/>
  <c r="Z394" i="22"/>
  <c r="Y394" i="22"/>
  <c r="X394" i="22"/>
  <c r="W394" i="22"/>
  <c r="V394" i="22"/>
  <c r="U394" i="22"/>
  <c r="T394" i="22"/>
  <c r="S394" i="22"/>
  <c r="R394" i="22"/>
  <c r="Q394" i="22"/>
  <c r="P394" i="22"/>
  <c r="O394" i="22"/>
  <c r="N394" i="22"/>
  <c r="M394" i="22"/>
  <c r="L394" i="22"/>
  <c r="K394" i="22"/>
  <c r="J394" i="22"/>
  <c r="I394" i="22"/>
  <c r="H394" i="22"/>
  <c r="G394" i="22"/>
  <c r="AE393" i="22"/>
  <c r="AC393" i="22"/>
  <c r="AB393" i="22"/>
  <c r="AA393" i="22"/>
  <c r="Z393" i="22"/>
  <c r="Y393" i="22"/>
  <c r="X393" i="22"/>
  <c r="W393" i="22"/>
  <c r="V393" i="22"/>
  <c r="U393" i="22"/>
  <c r="T393" i="22"/>
  <c r="S393" i="22"/>
  <c r="Q393" i="22"/>
  <c r="P393" i="22"/>
  <c r="O393" i="22"/>
  <c r="N393" i="22"/>
  <c r="M393" i="22"/>
  <c r="L393" i="22"/>
  <c r="K393" i="22"/>
  <c r="J393" i="22"/>
  <c r="I393" i="22"/>
  <c r="H393" i="22"/>
  <c r="G393" i="22"/>
  <c r="AE392" i="22"/>
  <c r="AD392" i="22"/>
  <c r="AC392" i="22"/>
  <c r="AB392" i="22"/>
  <c r="AA392" i="22"/>
  <c r="Z392" i="22"/>
  <c r="Y392" i="22"/>
  <c r="X392" i="22"/>
  <c r="W392" i="22"/>
  <c r="V392" i="22"/>
  <c r="U392" i="22"/>
  <c r="T392" i="22"/>
  <c r="S392" i="22"/>
  <c r="R392" i="22"/>
  <c r="Q392" i="22"/>
  <c r="P392" i="22"/>
  <c r="O392" i="22"/>
  <c r="N392" i="22"/>
  <c r="M392" i="22"/>
  <c r="L392" i="22"/>
  <c r="K392" i="22"/>
  <c r="J392" i="22"/>
  <c r="I392" i="22"/>
  <c r="H392" i="22"/>
  <c r="G392" i="22"/>
  <c r="AE391" i="22"/>
  <c r="AD391" i="22"/>
  <c r="AC391" i="22"/>
  <c r="AB391" i="22"/>
  <c r="AA391" i="22"/>
  <c r="Z391" i="22"/>
  <c r="Y391" i="22"/>
  <c r="X391" i="22"/>
  <c r="W391" i="22"/>
  <c r="V391" i="22"/>
  <c r="U391" i="22"/>
  <c r="T391" i="22"/>
  <c r="S391" i="22"/>
  <c r="R391" i="22"/>
  <c r="Q391" i="22"/>
  <c r="P391" i="22"/>
  <c r="O391" i="22"/>
  <c r="N391" i="22"/>
  <c r="M391" i="22"/>
  <c r="L391" i="22"/>
  <c r="K391" i="22"/>
  <c r="J391" i="22"/>
  <c r="I391" i="22"/>
  <c r="H391" i="22"/>
  <c r="G391" i="22"/>
  <c r="AE390" i="22"/>
  <c r="AD390" i="22"/>
  <c r="AC390" i="22"/>
  <c r="AB390" i="22"/>
  <c r="AA390" i="22"/>
  <c r="Z390" i="22"/>
  <c r="Y390" i="22"/>
  <c r="X390" i="22"/>
  <c r="W390" i="22"/>
  <c r="V390" i="22"/>
  <c r="U390" i="22"/>
  <c r="T390" i="22"/>
  <c r="S390" i="22"/>
  <c r="R390" i="22"/>
  <c r="Q390" i="22"/>
  <c r="P390" i="22"/>
  <c r="O390" i="22"/>
  <c r="N390" i="22"/>
  <c r="M390" i="22"/>
  <c r="L390" i="22"/>
  <c r="K390" i="22"/>
  <c r="J390" i="22"/>
  <c r="I390" i="22"/>
  <c r="H390" i="22"/>
  <c r="G390" i="22"/>
  <c r="AE389" i="22"/>
  <c r="AD389" i="22"/>
  <c r="AC389" i="22"/>
  <c r="AB389" i="22"/>
  <c r="AA389" i="22"/>
  <c r="Z389" i="22"/>
  <c r="Y389" i="22"/>
  <c r="X389" i="22"/>
  <c r="W389" i="22"/>
  <c r="V389" i="22"/>
  <c r="U389" i="22"/>
  <c r="T389" i="22"/>
  <c r="S389" i="22"/>
  <c r="R389" i="22"/>
  <c r="Q389" i="22"/>
  <c r="P389" i="22"/>
  <c r="O389" i="22"/>
  <c r="N389" i="22"/>
  <c r="M389" i="22"/>
  <c r="L389" i="22"/>
  <c r="K389" i="22"/>
  <c r="J389" i="22"/>
  <c r="I389" i="22"/>
  <c r="H389" i="22"/>
  <c r="G389" i="22"/>
  <c r="AE388" i="22"/>
  <c r="AD388" i="22"/>
  <c r="AC388" i="22"/>
  <c r="AB388" i="22"/>
  <c r="AA388" i="22"/>
  <c r="Z388" i="22"/>
  <c r="Y388" i="22"/>
  <c r="X388" i="22"/>
  <c r="W388" i="22"/>
  <c r="V388" i="22"/>
  <c r="U388" i="22"/>
  <c r="T388" i="22"/>
  <c r="S388" i="22"/>
  <c r="R388" i="22"/>
  <c r="Q388" i="22"/>
  <c r="P388" i="22"/>
  <c r="O388" i="22"/>
  <c r="N388" i="22"/>
  <c r="M388" i="22"/>
  <c r="L388" i="22"/>
  <c r="K388" i="22"/>
  <c r="J388" i="22"/>
  <c r="I388" i="22"/>
  <c r="H388" i="22"/>
  <c r="G388" i="22"/>
  <c r="AE387" i="22"/>
  <c r="AC387" i="22"/>
  <c r="AB387" i="22"/>
  <c r="AA387" i="22"/>
  <c r="Z387" i="22"/>
  <c r="Y387" i="22"/>
  <c r="X387" i="22"/>
  <c r="W387" i="22"/>
  <c r="V387" i="22"/>
  <c r="U387" i="22"/>
  <c r="T387" i="22"/>
  <c r="S387" i="22"/>
  <c r="Q387" i="22"/>
  <c r="P387" i="22"/>
  <c r="O387" i="22"/>
  <c r="N387" i="22"/>
  <c r="M387" i="22"/>
  <c r="L387" i="22"/>
  <c r="K387" i="22"/>
  <c r="J387" i="22"/>
  <c r="I387" i="22"/>
  <c r="H387" i="22"/>
  <c r="G387" i="22"/>
  <c r="AE386" i="22"/>
  <c r="AC386" i="22"/>
  <c r="AB386" i="22"/>
  <c r="AA386" i="22"/>
  <c r="Z386" i="22"/>
  <c r="Y386" i="22"/>
  <c r="X386" i="22"/>
  <c r="W386" i="22"/>
  <c r="V386" i="22"/>
  <c r="U386" i="22"/>
  <c r="T386" i="22"/>
  <c r="S386" i="22"/>
  <c r="Q386" i="22"/>
  <c r="P386" i="22"/>
  <c r="O386" i="22"/>
  <c r="N386" i="22"/>
  <c r="M386" i="22"/>
  <c r="L386" i="22"/>
  <c r="K386" i="22"/>
  <c r="J386" i="22"/>
  <c r="I386" i="22"/>
  <c r="H386" i="22"/>
  <c r="G386" i="22"/>
  <c r="AE385" i="22"/>
  <c r="AD385" i="22"/>
  <c r="AC385" i="22"/>
  <c r="AB385" i="22"/>
  <c r="AA385" i="22"/>
  <c r="Z385" i="22"/>
  <c r="Y385" i="22"/>
  <c r="X385" i="22"/>
  <c r="W385" i="22"/>
  <c r="V385" i="22"/>
  <c r="U385" i="22"/>
  <c r="T385" i="22"/>
  <c r="S385" i="22"/>
  <c r="R385" i="22"/>
  <c r="Q385" i="22"/>
  <c r="P385" i="22"/>
  <c r="O385" i="22"/>
  <c r="N385" i="22"/>
  <c r="M385" i="22"/>
  <c r="L385" i="22"/>
  <c r="K385" i="22"/>
  <c r="J385" i="22"/>
  <c r="I385" i="22"/>
  <c r="H385" i="22"/>
  <c r="G385" i="22"/>
  <c r="AE384" i="22"/>
  <c r="AD384" i="22"/>
  <c r="AC384" i="22"/>
  <c r="AB384" i="22"/>
  <c r="AA384" i="22"/>
  <c r="Z384" i="22"/>
  <c r="Y384" i="22"/>
  <c r="X384" i="22"/>
  <c r="W384" i="22"/>
  <c r="V384" i="22"/>
  <c r="U384" i="22"/>
  <c r="T384" i="22"/>
  <c r="S384" i="22"/>
  <c r="R384" i="22"/>
  <c r="Q384" i="22"/>
  <c r="P384" i="22"/>
  <c r="O384" i="22"/>
  <c r="N384" i="22"/>
  <c r="M384" i="22"/>
  <c r="L384" i="22"/>
  <c r="K384" i="22"/>
  <c r="J384" i="22"/>
  <c r="I384" i="22"/>
  <c r="H384" i="22"/>
  <c r="G384" i="22"/>
  <c r="AE383" i="22"/>
  <c r="AD383" i="22"/>
  <c r="AC383" i="22"/>
  <c r="AB383" i="22"/>
  <c r="AA383" i="22"/>
  <c r="Z383" i="22"/>
  <c r="Y383" i="22"/>
  <c r="X383" i="22"/>
  <c r="W383" i="22"/>
  <c r="V383" i="22"/>
  <c r="U383" i="22"/>
  <c r="T383" i="22"/>
  <c r="S383" i="22"/>
  <c r="R383" i="22"/>
  <c r="Q383" i="22"/>
  <c r="P383" i="22"/>
  <c r="O383" i="22"/>
  <c r="N383" i="22"/>
  <c r="M383" i="22"/>
  <c r="L383" i="22"/>
  <c r="K383" i="22"/>
  <c r="J383" i="22"/>
  <c r="I383" i="22"/>
  <c r="H383" i="22"/>
  <c r="G383" i="22"/>
  <c r="AE382" i="22"/>
  <c r="AC382" i="22"/>
  <c r="AB382" i="22"/>
  <c r="AA382" i="22"/>
  <c r="Z382" i="22"/>
  <c r="Y382" i="22"/>
  <c r="X382" i="22"/>
  <c r="W382" i="22"/>
  <c r="V382" i="22"/>
  <c r="U382" i="22"/>
  <c r="T382" i="22"/>
  <c r="S382" i="22"/>
  <c r="Q382" i="22"/>
  <c r="P382" i="22"/>
  <c r="O382" i="22"/>
  <c r="N382" i="22"/>
  <c r="M382" i="22"/>
  <c r="L382" i="22"/>
  <c r="K382" i="22"/>
  <c r="J382" i="22"/>
  <c r="I382" i="22"/>
  <c r="H382" i="22"/>
  <c r="G382" i="22"/>
  <c r="AE381" i="22"/>
  <c r="AD381" i="22"/>
  <c r="AC381" i="22"/>
  <c r="AB381" i="22"/>
  <c r="AA381" i="22"/>
  <c r="Z381" i="22"/>
  <c r="Y381" i="22"/>
  <c r="X381" i="22"/>
  <c r="W381" i="22"/>
  <c r="V381" i="22"/>
  <c r="U381" i="22"/>
  <c r="T381" i="22"/>
  <c r="S381" i="22"/>
  <c r="R381" i="22"/>
  <c r="Q381" i="22"/>
  <c r="P381" i="22"/>
  <c r="O381" i="22"/>
  <c r="N381" i="22"/>
  <c r="M381" i="22"/>
  <c r="L381" i="22"/>
  <c r="K381" i="22"/>
  <c r="J381" i="22"/>
  <c r="I381" i="22"/>
  <c r="H381" i="22"/>
  <c r="G381" i="22"/>
  <c r="AE380" i="22"/>
  <c r="AD380" i="22"/>
  <c r="AC380" i="22"/>
  <c r="AB380" i="22"/>
  <c r="AA380" i="22"/>
  <c r="Z380" i="22"/>
  <c r="Y380" i="22"/>
  <c r="X380" i="22"/>
  <c r="W380" i="22"/>
  <c r="V380" i="22"/>
  <c r="U380" i="22"/>
  <c r="T380" i="22"/>
  <c r="S380" i="22"/>
  <c r="R380" i="22"/>
  <c r="Q380" i="22"/>
  <c r="P380" i="22"/>
  <c r="O380" i="22"/>
  <c r="N380" i="22"/>
  <c r="M380" i="22"/>
  <c r="L380" i="22"/>
  <c r="K380" i="22"/>
  <c r="J380" i="22"/>
  <c r="I380" i="22"/>
  <c r="H380" i="22"/>
  <c r="G380" i="22"/>
  <c r="AH39" i="22"/>
  <c r="AI39" i="22" s="1"/>
  <c r="AJ39" i="22" s="1"/>
  <c r="AK39" i="22" s="1"/>
  <c r="AL39" i="22" s="1"/>
  <c r="AM39" i="22" s="1"/>
  <c r="AN39" i="22" s="1"/>
  <c r="AO39" i="22" s="1"/>
  <c r="AP39" i="22" s="1"/>
  <c r="R39" i="22"/>
  <c r="Q39" i="22" s="1"/>
  <c r="P39" i="22"/>
  <c r="O39" i="22"/>
  <c r="N39" i="22" s="1"/>
  <c r="M39" i="22" s="1"/>
  <c r="L39" i="22" s="1"/>
  <c r="K39" i="22" s="1"/>
  <c r="J39" i="22" s="1"/>
  <c r="I39" i="22" s="1"/>
  <c r="H39" i="22" s="1"/>
  <c r="G39" i="22" s="1"/>
  <c r="AH38" i="22"/>
  <c r="AI38" i="22" s="1"/>
  <c r="AJ38" i="22" s="1"/>
  <c r="AK38" i="22" s="1"/>
  <c r="AL38" i="22" s="1"/>
  <c r="AM38" i="22" s="1"/>
  <c r="AN38" i="22" s="1"/>
  <c r="AO38" i="22" s="1"/>
  <c r="AP38" i="22" s="1"/>
  <c r="AE38" i="22"/>
  <c r="AF38" i="22" s="1"/>
  <c r="AG38" i="22" s="1"/>
  <c r="S38" i="22"/>
  <c r="R38" i="22" s="1"/>
  <c r="Q38" i="22" s="1"/>
  <c r="P38" i="22" s="1"/>
  <c r="O38" i="22" s="1"/>
  <c r="N38" i="22" s="1"/>
  <c r="M38" i="22" s="1"/>
  <c r="L38" i="22" s="1"/>
  <c r="K38" i="22" s="1"/>
  <c r="J38" i="22" s="1"/>
  <c r="I38" i="22" s="1"/>
  <c r="H38" i="22" s="1"/>
  <c r="G38" i="22" s="1"/>
  <c r="AE37" i="22"/>
  <c r="AF37" i="22" s="1"/>
  <c r="AG37" i="22" s="1"/>
  <c r="AH37" i="22" s="1"/>
  <c r="AI37" i="22" s="1"/>
  <c r="AJ37" i="22" s="1"/>
  <c r="AK37" i="22" s="1"/>
  <c r="AL37" i="22" s="1"/>
  <c r="AM37" i="22" s="1"/>
  <c r="AN37" i="22" s="1"/>
  <c r="AO37" i="22" s="1"/>
  <c r="AP37" i="22" s="1"/>
  <c r="R37" i="22"/>
  <c r="Q37" i="22" s="1"/>
  <c r="P37" i="22" s="1"/>
  <c r="O37" i="22" s="1"/>
  <c r="N37" i="22" s="1"/>
  <c r="M37" i="22" s="1"/>
  <c r="L37" i="22" s="1"/>
  <c r="K37" i="22" s="1"/>
  <c r="J37" i="22" s="1"/>
  <c r="I37" i="22" s="1"/>
  <c r="H37" i="22" s="1"/>
  <c r="G37" i="22" s="1"/>
  <c r="AF36" i="22"/>
  <c r="AG36" i="22" s="1"/>
  <c r="AH36" i="22" s="1"/>
  <c r="AI36" i="22" s="1"/>
  <c r="AJ36" i="22" s="1"/>
  <c r="AK36" i="22" s="1"/>
  <c r="AL36" i="22" s="1"/>
  <c r="AM36" i="22" s="1"/>
  <c r="AN36" i="22" s="1"/>
  <c r="AO36" i="22" s="1"/>
  <c r="AP36" i="22" s="1"/>
  <c r="AE36" i="22"/>
  <c r="S36" i="22"/>
  <c r="R36" i="22" s="1"/>
  <c r="Q36" i="22" s="1"/>
  <c r="P36" i="22" s="1"/>
  <c r="O36" i="22" s="1"/>
  <c r="N36" i="22" s="1"/>
  <c r="M36" i="22" s="1"/>
  <c r="L36" i="22" s="1"/>
  <c r="K36" i="22" s="1"/>
  <c r="J36" i="22" s="1"/>
  <c r="I36" i="22" s="1"/>
  <c r="H36" i="22" s="1"/>
  <c r="G36" i="22" s="1"/>
  <c r="AP35" i="22"/>
  <c r="AF35" i="22"/>
  <c r="AG35" i="22" s="1"/>
  <c r="AH35" i="22" s="1"/>
  <c r="AI35" i="22" s="1"/>
  <c r="AJ35" i="22" s="1"/>
  <c r="AK35" i="22" s="1"/>
  <c r="AL35" i="22" s="1"/>
  <c r="AM35" i="22" s="1"/>
  <c r="AN35" i="22" s="1"/>
  <c r="T35" i="22"/>
  <c r="U35" i="22" s="1"/>
  <c r="V35" i="22" s="1"/>
  <c r="W35" i="22" s="1"/>
  <c r="X35" i="22" s="1"/>
  <c r="Y35" i="22" s="1"/>
  <c r="Z35" i="22" s="1"/>
  <c r="AA35" i="22" s="1"/>
  <c r="AB35" i="22" s="1"/>
  <c r="AC35" i="22" s="1"/>
  <c r="AD35" i="22" s="1"/>
  <c r="R35" i="22"/>
  <c r="Q35" i="22" s="1"/>
  <c r="P35" i="22" s="1"/>
  <c r="O35" i="22" s="1"/>
  <c r="AE34" i="22"/>
  <c r="AF34" i="22" s="1"/>
  <c r="AG34" i="22" s="1"/>
  <c r="AH34" i="22" s="1"/>
  <c r="AI34" i="22" s="1"/>
  <c r="AJ34" i="22" s="1"/>
  <c r="AK34" i="22" s="1"/>
  <c r="AL34" i="22" s="1"/>
  <c r="AM34" i="22" s="1"/>
  <c r="AN34" i="22" s="1"/>
  <c r="AO34" i="22" s="1"/>
  <c r="AP34" i="22" s="1"/>
  <c r="S34" i="22"/>
  <c r="T34" i="22" s="1"/>
  <c r="U34" i="22" s="1"/>
  <c r="V34" i="22" s="1"/>
  <c r="W34" i="22" s="1"/>
  <c r="X34" i="22" s="1"/>
  <c r="Y34" i="22" s="1"/>
  <c r="Z34" i="22" s="1"/>
  <c r="AA34" i="22" s="1"/>
  <c r="AB34" i="22" s="1"/>
  <c r="AC34" i="22" s="1"/>
  <c r="AD34" i="22" s="1"/>
  <c r="AE33" i="22"/>
  <c r="AF33" i="22" s="1"/>
  <c r="AG33" i="22" s="1"/>
  <c r="AH33" i="22" s="1"/>
  <c r="AI33" i="22" s="1"/>
  <c r="AJ33" i="22" s="1"/>
  <c r="AK33" i="22" s="1"/>
  <c r="AL33" i="22" s="1"/>
  <c r="AM33" i="22" s="1"/>
  <c r="AN33" i="22" s="1"/>
  <c r="AO33" i="22" s="1"/>
  <c r="AP33" i="22" s="1"/>
  <c r="S33" i="22"/>
  <c r="T33" i="22" s="1"/>
  <c r="U33" i="22" s="1"/>
  <c r="V33" i="22" s="1"/>
  <c r="W33" i="22" s="1"/>
  <c r="X33" i="22" s="1"/>
  <c r="Y33" i="22" s="1"/>
  <c r="Z33" i="22" s="1"/>
  <c r="AA33" i="22" s="1"/>
  <c r="AB33" i="22" s="1"/>
  <c r="AC33" i="22" s="1"/>
  <c r="AD33" i="22" s="1"/>
  <c r="AE31" i="22"/>
  <c r="AF31" i="22" s="1"/>
  <c r="AG31" i="22" s="1"/>
  <c r="AH31" i="22" s="1"/>
  <c r="AI31" i="22" s="1"/>
  <c r="AJ31" i="22" s="1"/>
  <c r="AK31" i="22" s="1"/>
  <c r="AL31" i="22" s="1"/>
  <c r="AM31" i="22" s="1"/>
  <c r="AN31" i="22" s="1"/>
  <c r="AO31" i="22" s="1"/>
  <c r="AP31" i="22" s="1"/>
  <c r="S31" i="22"/>
  <c r="T31" i="22" s="1"/>
  <c r="U31" i="22" s="1"/>
  <c r="V31" i="22" s="1"/>
  <c r="W31" i="22" s="1"/>
  <c r="X31" i="22" s="1"/>
  <c r="Y31" i="22" s="1"/>
  <c r="Z31" i="22" s="1"/>
  <c r="AA31" i="22" s="1"/>
  <c r="AB31" i="22" s="1"/>
  <c r="AC31" i="22" s="1"/>
  <c r="AD31" i="22" s="1"/>
  <c r="R31" i="22"/>
  <c r="Q31" i="22" s="1"/>
  <c r="P31" i="22" s="1"/>
  <c r="O31" i="22" s="1"/>
  <c r="N31" i="22" s="1"/>
  <c r="M31" i="22" s="1"/>
  <c r="L31" i="22" s="1"/>
  <c r="K31" i="22" s="1"/>
  <c r="J31" i="22" s="1"/>
  <c r="I31" i="22" s="1"/>
  <c r="H31" i="22" s="1"/>
  <c r="G31" i="22" s="1"/>
  <c r="AE30" i="22"/>
  <c r="AF30" i="22" s="1"/>
  <c r="AG30" i="22" s="1"/>
  <c r="AH30" i="22" s="1"/>
  <c r="AI30" i="22" s="1"/>
  <c r="AJ30" i="22" s="1"/>
  <c r="AK30" i="22" s="1"/>
  <c r="AL30" i="22" s="1"/>
  <c r="AM30" i="22" s="1"/>
  <c r="AN30" i="22" s="1"/>
  <c r="AO30" i="22" s="1"/>
  <c r="AP30" i="22" s="1"/>
  <c r="S30" i="22"/>
  <c r="T30" i="22" s="1"/>
  <c r="U30" i="22" s="1"/>
  <c r="V30" i="22" s="1"/>
  <c r="W30" i="22" s="1"/>
  <c r="X30" i="22" s="1"/>
  <c r="Y30" i="22" s="1"/>
  <c r="Z30" i="22" s="1"/>
  <c r="AA30" i="22" s="1"/>
  <c r="AB30" i="22" s="1"/>
  <c r="AC30" i="22" s="1"/>
  <c r="AD30" i="22" s="1"/>
  <c r="R30" i="22"/>
  <c r="Q30" i="22" s="1"/>
  <c r="P30" i="22" s="1"/>
  <c r="O30" i="22" s="1"/>
  <c r="N30" i="22" s="1"/>
  <c r="M30" i="22" s="1"/>
  <c r="L30" i="22" s="1"/>
  <c r="K30" i="22" s="1"/>
  <c r="J30" i="22" s="1"/>
  <c r="I30" i="22" s="1"/>
  <c r="H30" i="22" s="1"/>
  <c r="G30" i="22" s="1"/>
  <c r="AE29" i="22"/>
  <c r="AF29" i="22" s="1"/>
  <c r="AG29" i="22" s="1"/>
  <c r="AH29" i="22" s="1"/>
  <c r="AI29" i="22" s="1"/>
  <c r="AJ29" i="22" s="1"/>
  <c r="AK29" i="22" s="1"/>
  <c r="AL29" i="22" s="1"/>
  <c r="AM29" i="22" s="1"/>
  <c r="AN29" i="22" s="1"/>
  <c r="AO29" i="22" s="1"/>
  <c r="AP29" i="22" s="1"/>
  <c r="W29" i="22"/>
  <c r="X29" i="22" s="1"/>
  <c r="Y29" i="22" s="1"/>
  <c r="Z29" i="22" s="1"/>
  <c r="AA29" i="22" s="1"/>
  <c r="AB29" i="22" s="1"/>
  <c r="AC29" i="22" s="1"/>
  <c r="AD29" i="22" s="1"/>
  <c r="R29" i="22"/>
  <c r="Q29" i="22" s="1"/>
  <c r="P29" i="22" s="1"/>
  <c r="O29" i="22" s="1"/>
  <c r="N29" i="22" s="1"/>
  <c r="M29" i="22" s="1"/>
  <c r="L29" i="22" s="1"/>
  <c r="K29" i="22" s="1"/>
  <c r="J29" i="22" s="1"/>
  <c r="I29" i="22" s="1"/>
  <c r="H29" i="22" s="1"/>
  <c r="G29" i="22" s="1"/>
  <c r="AE28" i="22"/>
  <c r="AF28" i="22" s="1"/>
  <c r="AG28" i="22" s="1"/>
  <c r="AH28" i="22" s="1"/>
  <c r="AI28" i="22" s="1"/>
  <c r="AJ28" i="22" s="1"/>
  <c r="AK28" i="22" s="1"/>
  <c r="AL28" i="22" s="1"/>
  <c r="AM28" i="22" s="1"/>
  <c r="AN28" i="22" s="1"/>
  <c r="AO28" i="22" s="1"/>
  <c r="AP28" i="22" s="1"/>
  <c r="S28" i="22"/>
  <c r="T28" i="22" s="1"/>
  <c r="U28" i="22" s="1"/>
  <c r="V28" i="22" s="1"/>
  <c r="W28" i="22" s="1"/>
  <c r="X28" i="22" s="1"/>
  <c r="Y28" i="22" s="1"/>
  <c r="Z28" i="22" s="1"/>
  <c r="AA28" i="22" s="1"/>
  <c r="AB28" i="22" s="1"/>
  <c r="AC28" i="22" s="1"/>
  <c r="AD28" i="22" s="1"/>
  <c r="AE27" i="22"/>
  <c r="AF27" i="22" s="1"/>
  <c r="AG27" i="22" s="1"/>
  <c r="AH27" i="22" s="1"/>
  <c r="AI27" i="22" s="1"/>
  <c r="AJ27" i="22" s="1"/>
  <c r="AK27" i="22" s="1"/>
  <c r="AL27" i="22" s="1"/>
  <c r="AM27" i="22" s="1"/>
  <c r="AN27" i="22" s="1"/>
  <c r="AO27" i="22" s="1"/>
  <c r="AP27" i="22" s="1"/>
  <c r="U27" i="22"/>
  <c r="V27" i="22" s="1"/>
  <c r="W27" i="22" s="1"/>
  <c r="X27" i="22" s="1"/>
  <c r="Y27" i="22" s="1"/>
  <c r="Z27" i="22" s="1"/>
  <c r="AA27" i="22" s="1"/>
  <c r="AB27" i="22" s="1"/>
  <c r="AC27" i="22" s="1"/>
  <c r="AD27" i="22" s="1"/>
  <c r="S27" i="22"/>
  <c r="T27" i="22" s="1"/>
  <c r="AE26" i="22"/>
  <c r="AF26" i="22" s="1"/>
  <c r="AG26" i="22" s="1"/>
  <c r="AH26" i="22" s="1"/>
  <c r="AI26" i="22" s="1"/>
  <c r="AJ26" i="22" s="1"/>
  <c r="AK26" i="22" s="1"/>
  <c r="AL26" i="22" s="1"/>
  <c r="AM26" i="22" s="1"/>
  <c r="AN26" i="22" s="1"/>
  <c r="AO26" i="22" s="1"/>
  <c r="AP26" i="22" s="1"/>
  <c r="S26" i="22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R25" i="22"/>
  <c r="Q25" i="22" s="1"/>
  <c r="P25" i="22" s="1"/>
  <c r="O25" i="22" s="1"/>
  <c r="N25" i="22" s="1"/>
  <c r="M25" i="22" s="1"/>
  <c r="L25" i="22" s="1"/>
  <c r="K25" i="22" s="1"/>
  <c r="J25" i="22" s="1"/>
  <c r="I25" i="22" s="1"/>
  <c r="H25" i="22" s="1"/>
  <c r="G25" i="22" s="1"/>
  <c r="AE24" i="22"/>
  <c r="AF24" i="22" s="1"/>
  <c r="AG24" i="22" s="1"/>
  <c r="AH24" i="22" s="1"/>
  <c r="AI24" i="22" s="1"/>
  <c r="AJ24" i="22" s="1"/>
  <c r="AK24" i="22" s="1"/>
  <c r="AL24" i="22" s="1"/>
  <c r="AM24" i="22" s="1"/>
  <c r="AN24" i="22" s="1"/>
  <c r="AO24" i="22" s="1"/>
  <c r="AP24" i="22" s="1"/>
  <c r="S24" i="22"/>
  <c r="AG23" i="22"/>
  <c r="AH23" i="22" s="1"/>
  <c r="AI23" i="22" s="1"/>
  <c r="AJ23" i="22" s="1"/>
  <c r="AK23" i="22" s="1"/>
  <c r="AL23" i="22" s="1"/>
  <c r="AM23" i="22" s="1"/>
  <c r="AN23" i="22" s="1"/>
  <c r="AO23" i="22" s="1"/>
  <c r="AP23" i="22" s="1"/>
  <c r="AE23" i="22"/>
  <c r="AF23" i="22" s="1"/>
  <c r="S23" i="22"/>
  <c r="T23" i="22" s="1"/>
  <c r="U23" i="22" s="1"/>
  <c r="V23" i="22" s="1"/>
  <c r="W23" i="22" s="1"/>
  <c r="X23" i="22" s="1"/>
  <c r="Y23" i="22" s="1"/>
  <c r="Z23" i="22" s="1"/>
  <c r="AA23" i="22" s="1"/>
  <c r="AB23" i="22" s="1"/>
  <c r="AC23" i="22" s="1"/>
  <c r="AD23" i="22" s="1"/>
  <c r="AG22" i="22"/>
  <c r="AH22" i="22" s="1"/>
  <c r="AI22" i="22" s="1"/>
  <c r="AJ22" i="22" s="1"/>
  <c r="AK22" i="22" s="1"/>
  <c r="AL22" i="22" s="1"/>
  <c r="AM22" i="22" s="1"/>
  <c r="AN22" i="22" s="1"/>
  <c r="AO22" i="22" s="1"/>
  <c r="AP22" i="22" s="1"/>
  <c r="AE22" i="22"/>
  <c r="AF22" i="22" s="1"/>
  <c r="S22" i="22"/>
  <c r="AE21" i="22"/>
  <c r="AF21" i="22" s="1"/>
  <c r="AG21" i="22" s="1"/>
  <c r="AH21" i="22" s="1"/>
  <c r="AI21" i="22" s="1"/>
  <c r="AJ21" i="22" s="1"/>
  <c r="AK21" i="22" s="1"/>
  <c r="AL21" i="22" s="1"/>
  <c r="AM21" i="22" s="1"/>
  <c r="AN21" i="22" s="1"/>
  <c r="AO21" i="22" s="1"/>
  <c r="AP21" i="22" s="1"/>
  <c r="S21" i="22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0" i="22"/>
  <c r="AF20" i="22" s="1"/>
  <c r="AG20" i="22" s="1"/>
  <c r="AH20" i="22" s="1"/>
  <c r="AI20" i="22" s="1"/>
  <c r="AJ20" i="22" s="1"/>
  <c r="AK20" i="22" s="1"/>
  <c r="AL20" i="22" s="1"/>
  <c r="AM20" i="22" s="1"/>
  <c r="AN20" i="22" s="1"/>
  <c r="AO20" i="22" s="1"/>
  <c r="AP20" i="22" s="1"/>
  <c r="S20" i="22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19" i="22"/>
  <c r="AF19" i="22" s="1"/>
  <c r="AG19" i="22" s="1"/>
  <c r="AH19" i="22" s="1"/>
  <c r="AI19" i="22" s="1"/>
  <c r="AJ19" i="22" s="1"/>
  <c r="AK19" i="22" s="1"/>
  <c r="AL19" i="22" s="1"/>
  <c r="AM19" i="22" s="1"/>
  <c r="AN19" i="22" s="1"/>
  <c r="AO19" i="22" s="1"/>
  <c r="AP19" i="22" s="1"/>
  <c r="S19" i="22"/>
  <c r="T19" i="22" s="1"/>
  <c r="U19" i="22" s="1"/>
  <c r="V19" i="22" s="1"/>
  <c r="W19" i="22" s="1"/>
  <c r="X19" i="22" s="1"/>
  <c r="Y19" i="22" s="1"/>
  <c r="Z19" i="22" s="1"/>
  <c r="AA19" i="22" s="1"/>
  <c r="AB19" i="22" s="1"/>
  <c r="AC19" i="22" s="1"/>
  <c r="AD19" i="22" s="1"/>
  <c r="AE18" i="22"/>
  <c r="AF18" i="22" s="1"/>
  <c r="AG18" i="22" s="1"/>
  <c r="AH18" i="22" s="1"/>
  <c r="AI18" i="22" s="1"/>
  <c r="AJ18" i="22" s="1"/>
  <c r="AK18" i="22" s="1"/>
  <c r="AL18" i="22" s="1"/>
  <c r="AM18" i="22" s="1"/>
  <c r="AN18" i="22" s="1"/>
  <c r="AO18" i="22" s="1"/>
  <c r="AP18" i="22" s="1"/>
  <c r="S18" i="22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7" i="22"/>
  <c r="AF17" i="22" s="1"/>
  <c r="AG17" i="22" s="1"/>
  <c r="AH17" i="22" s="1"/>
  <c r="AI17" i="22" s="1"/>
  <c r="AJ17" i="22" s="1"/>
  <c r="AK17" i="22" s="1"/>
  <c r="AL17" i="22" s="1"/>
  <c r="AM17" i="22" s="1"/>
  <c r="AN17" i="22" s="1"/>
  <c r="AO17" i="22" s="1"/>
  <c r="AP17" i="22" s="1"/>
  <c r="S17" i="22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G16" i="22"/>
  <c r="AH16" i="22" s="1"/>
  <c r="AI16" i="22" s="1"/>
  <c r="AJ16" i="22" s="1"/>
  <c r="AK16" i="22" s="1"/>
  <c r="AL16" i="22" s="1"/>
  <c r="AM16" i="22" s="1"/>
  <c r="AN16" i="22" s="1"/>
  <c r="AO16" i="22" s="1"/>
  <c r="AP16" i="22" s="1"/>
  <c r="R16" i="22"/>
  <c r="Q16" i="22"/>
  <c r="P16" i="22" s="1"/>
  <c r="O16" i="22" s="1"/>
  <c r="N16" i="22" s="1"/>
  <c r="M16" i="22" s="1"/>
  <c r="L16" i="22" s="1"/>
  <c r="K16" i="22" s="1"/>
  <c r="J16" i="22" s="1"/>
  <c r="I16" i="22" s="1"/>
  <c r="H16" i="22" s="1"/>
  <c r="G16" i="22" s="1"/>
  <c r="AE15" i="22"/>
  <c r="AF15" i="22" s="1"/>
  <c r="AG15" i="22" s="1"/>
  <c r="AH15" i="22" s="1"/>
  <c r="AI15" i="22" s="1"/>
  <c r="AJ15" i="22" s="1"/>
  <c r="AK15" i="22" s="1"/>
  <c r="AL15" i="22" s="1"/>
  <c r="AM15" i="22" s="1"/>
  <c r="AN15" i="22" s="1"/>
  <c r="AO15" i="22" s="1"/>
  <c r="AP15" i="22" s="1"/>
  <c r="S15" i="22"/>
  <c r="R15" i="22" s="1"/>
  <c r="Q15" i="22" s="1"/>
  <c r="P15" i="22" s="1"/>
  <c r="O15" i="22" s="1"/>
  <c r="N15" i="22" s="1"/>
  <c r="M15" i="22" s="1"/>
  <c r="L15" i="22" s="1"/>
  <c r="K15" i="22" s="1"/>
  <c r="J15" i="22" s="1"/>
  <c r="I15" i="22" s="1"/>
  <c r="H15" i="22" s="1"/>
  <c r="G15" i="22" s="1"/>
  <c r="AE14" i="22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S14" i="22"/>
  <c r="R14" i="22" s="1"/>
  <c r="Q14" i="22" s="1"/>
  <c r="P14" i="22" s="1"/>
  <c r="O14" i="22" s="1"/>
  <c r="N14" i="22" s="1"/>
  <c r="M14" i="22" s="1"/>
  <c r="L14" i="22" s="1"/>
  <c r="K14" i="22" s="1"/>
  <c r="J14" i="22" s="1"/>
  <c r="I14" i="22" s="1"/>
  <c r="H14" i="22" s="1"/>
  <c r="G14" i="22" s="1"/>
  <c r="AE13" i="22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S13" i="22"/>
  <c r="R13" i="22" s="1"/>
  <c r="Q13" i="22" s="1"/>
  <c r="P13" i="22" s="1"/>
  <c r="O13" i="22" s="1"/>
  <c r="N13" i="22" s="1"/>
  <c r="M13" i="22" s="1"/>
  <c r="L13" i="22" s="1"/>
  <c r="K13" i="22" s="1"/>
  <c r="J13" i="22" s="1"/>
  <c r="I13" i="22" s="1"/>
  <c r="H13" i="22" s="1"/>
  <c r="G13" i="22" s="1"/>
  <c r="AE12" i="22"/>
  <c r="AF12" i="22" s="1"/>
  <c r="AG12" i="22" s="1"/>
  <c r="AH12" i="22" s="1"/>
  <c r="AI12" i="22" s="1"/>
  <c r="AJ12" i="22" s="1"/>
  <c r="AK12" i="22" s="1"/>
  <c r="AL12" i="22" s="1"/>
  <c r="AM12" i="22" s="1"/>
  <c r="AN12" i="22" s="1"/>
  <c r="AO12" i="22" s="1"/>
  <c r="AP12" i="22" s="1"/>
  <c r="S12" i="22"/>
  <c r="R12" i="22" s="1"/>
  <c r="Q12" i="22" s="1"/>
  <c r="P12" i="22" s="1"/>
  <c r="O12" i="22" s="1"/>
  <c r="N12" i="22" s="1"/>
  <c r="M12" i="22" s="1"/>
  <c r="L12" i="22" s="1"/>
  <c r="K12" i="22" s="1"/>
  <c r="J12" i="22" s="1"/>
  <c r="I12" i="22" s="1"/>
  <c r="H12" i="22" s="1"/>
  <c r="G12" i="22" s="1"/>
  <c r="AE11" i="22"/>
  <c r="AF11" i="22" s="1"/>
  <c r="AG11" i="22" s="1"/>
  <c r="AH11" i="22" s="1"/>
  <c r="AI11" i="22" s="1"/>
  <c r="AJ11" i="22" s="1"/>
  <c r="AK11" i="22" s="1"/>
  <c r="AL11" i="22" s="1"/>
  <c r="AM11" i="22" s="1"/>
  <c r="AN11" i="22" s="1"/>
  <c r="AO11" i="22" s="1"/>
  <c r="AP11" i="22" s="1"/>
  <c r="T11" i="22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S11" i="22"/>
  <c r="R11" i="22" s="1"/>
  <c r="Q11" i="22"/>
  <c r="P11" i="22" s="1"/>
  <c r="O11" i="22" s="1"/>
  <c r="N11" i="22" s="1"/>
  <c r="M11" i="22" s="1"/>
  <c r="L11" i="22" s="1"/>
  <c r="K11" i="22" s="1"/>
  <c r="J11" i="22" s="1"/>
  <c r="I11" i="22" s="1"/>
  <c r="H11" i="22" s="1"/>
  <c r="G11" i="22" s="1"/>
  <c r="AE10" i="22"/>
  <c r="AF10" i="22" s="1"/>
  <c r="AG10" i="22" s="1"/>
  <c r="AH10" i="22" s="1"/>
  <c r="AI10" i="22" s="1"/>
  <c r="AJ10" i="22" s="1"/>
  <c r="AK10" i="22" s="1"/>
  <c r="AL10" i="22" s="1"/>
  <c r="AM10" i="22" s="1"/>
  <c r="AN10" i="22" s="1"/>
  <c r="AO10" i="22" s="1"/>
  <c r="AP10" i="22" s="1"/>
  <c r="T10" i="22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S10" i="22"/>
  <c r="R10" i="22" s="1"/>
  <c r="Q10" i="22"/>
  <c r="P10" i="22" s="1"/>
  <c r="O10" i="22" s="1"/>
  <c r="N10" i="22" s="1"/>
  <c r="M10" i="22" s="1"/>
  <c r="L10" i="22" s="1"/>
  <c r="K10" i="22" s="1"/>
  <c r="J10" i="22" s="1"/>
  <c r="I10" i="22" s="1"/>
  <c r="H10" i="22" s="1"/>
  <c r="G10" i="22" s="1"/>
  <c r="AE9" i="22"/>
  <c r="AF9" i="22" s="1"/>
  <c r="AG9" i="22" s="1"/>
  <c r="AH9" i="22" s="1"/>
  <c r="AI9" i="22" s="1"/>
  <c r="AJ9" i="22" s="1"/>
  <c r="AK9" i="22" s="1"/>
  <c r="AL9" i="22" s="1"/>
  <c r="AM9" i="22" s="1"/>
  <c r="AN9" i="22" s="1"/>
  <c r="AO9" i="22" s="1"/>
  <c r="AP9" i="22" s="1"/>
  <c r="T9" i="22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S9" i="22"/>
  <c r="R9" i="22" s="1"/>
  <c r="Q9" i="22" s="1"/>
  <c r="P9" i="22" s="1"/>
  <c r="O9" i="22" s="1"/>
  <c r="N9" i="22" s="1"/>
  <c r="M9" i="22" s="1"/>
  <c r="L9" i="22" s="1"/>
  <c r="K9" i="22" s="1"/>
  <c r="J9" i="22" s="1"/>
  <c r="I9" i="22" s="1"/>
  <c r="H9" i="22" s="1"/>
  <c r="G9" i="22" s="1"/>
  <c r="AE8" i="22"/>
  <c r="AF8" i="22" s="1"/>
  <c r="AG8" i="22" s="1"/>
  <c r="AH8" i="22" s="1"/>
  <c r="AI8" i="22" s="1"/>
  <c r="AJ8" i="22" s="1"/>
  <c r="AK8" i="22" s="1"/>
  <c r="AL8" i="22" s="1"/>
  <c r="AM8" i="22" s="1"/>
  <c r="AN8" i="22" s="1"/>
  <c r="AO8" i="22" s="1"/>
  <c r="AP8" i="22" s="1"/>
  <c r="S8" i="22"/>
  <c r="R8" i="22" s="1"/>
  <c r="Q8" i="22" s="1"/>
  <c r="P8" i="22" s="1"/>
  <c r="O8" i="22" s="1"/>
  <c r="N8" i="22" s="1"/>
  <c r="M8" i="22" s="1"/>
  <c r="L8" i="22" s="1"/>
  <c r="K8" i="22" s="1"/>
  <c r="J8" i="22" s="1"/>
  <c r="I8" i="22" s="1"/>
  <c r="H8" i="22" s="1"/>
  <c r="G8" i="22" s="1"/>
  <c r="AE7" i="22"/>
  <c r="AF7" i="22" s="1"/>
  <c r="AG7" i="22" s="1"/>
  <c r="AH7" i="22" s="1"/>
  <c r="AI7" i="22" s="1"/>
  <c r="AJ7" i="22" s="1"/>
  <c r="AK7" i="22" s="1"/>
  <c r="AL7" i="22" s="1"/>
  <c r="AM7" i="22" s="1"/>
  <c r="AN7" i="22" s="1"/>
  <c r="AO7" i="22" s="1"/>
  <c r="AP7" i="22" s="1"/>
  <c r="U7" i="22"/>
  <c r="V7" i="22" s="1"/>
  <c r="W7" i="22" s="1"/>
  <c r="X7" i="22" s="1"/>
  <c r="Y7" i="22" s="1"/>
  <c r="Z7" i="22" s="1"/>
  <c r="AA7" i="22" s="1"/>
  <c r="AB7" i="22" s="1"/>
  <c r="AC7" i="22" s="1"/>
  <c r="AD7" i="22" s="1"/>
  <c r="T7" i="22"/>
  <c r="S7" i="22"/>
  <c r="R7" i="22" s="1"/>
  <c r="Q7" i="22" s="1"/>
  <c r="P7" i="22" s="1"/>
  <c r="O7" i="22" s="1"/>
  <c r="N7" i="22" s="1"/>
  <c r="M7" i="22" s="1"/>
  <c r="L7" i="22" s="1"/>
  <c r="K7" i="22" s="1"/>
  <c r="J7" i="22" s="1"/>
  <c r="I7" i="22" s="1"/>
  <c r="H7" i="22" s="1"/>
  <c r="G7" i="22" s="1"/>
  <c r="AE6" i="22"/>
  <c r="AF6" i="22" s="1"/>
  <c r="S6" i="22"/>
  <c r="R6" i="22" s="1"/>
  <c r="Q6" i="22" s="1"/>
  <c r="P6" i="22" s="1"/>
  <c r="O6" i="22" s="1"/>
  <c r="N6" i="22" s="1"/>
  <c r="M6" i="22" s="1"/>
  <c r="L6" i="22" s="1"/>
  <c r="K6" i="22" s="1"/>
  <c r="J6" i="22" s="1"/>
  <c r="I6" i="22" s="1"/>
  <c r="H6" i="22" s="1"/>
  <c r="G6" i="22" s="1"/>
  <c r="AF3" i="22"/>
  <c r="AF391" i="22" s="1"/>
  <c r="CK58" i="1"/>
  <c r="H38" i="1" l="1"/>
  <c r="H49" i="1" s="1"/>
  <c r="H82" i="1" s="1"/>
  <c r="H86" i="1" s="1"/>
  <c r="J27" i="1"/>
  <c r="J31" i="1"/>
  <c r="J30" i="1"/>
  <c r="K9" i="1"/>
  <c r="I30" i="1"/>
  <c r="I31" i="1"/>
  <c r="I27" i="1"/>
  <c r="F12" i="9"/>
  <c r="F60" i="15"/>
  <c r="F9" i="49"/>
  <c r="G9" i="49" s="1"/>
  <c r="G8" i="49"/>
  <c r="S14" i="46"/>
  <c r="D13" i="46"/>
  <c r="C14" i="46"/>
  <c r="E14" i="46" s="1"/>
  <c r="AS3" i="1"/>
  <c r="M14" i="9"/>
  <c r="N14" i="9" s="1"/>
  <c r="N55" i="9"/>
  <c r="E14" i="9"/>
  <c r="F55" i="9"/>
  <c r="I14" i="9"/>
  <c r="J14" i="9" s="1"/>
  <c r="I1" i="1"/>
  <c r="I2" i="1"/>
  <c r="BN3" i="1"/>
  <c r="BN11" i="1" s="1"/>
  <c r="Z36" i="9"/>
  <c r="Z25" i="9"/>
  <c r="AB25" i="9"/>
  <c r="BC3" i="1"/>
  <c r="BC11" i="1" s="1"/>
  <c r="T15" i="22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R20" i="22"/>
  <c r="Q20" i="22" s="1"/>
  <c r="P20" i="22" s="1"/>
  <c r="O20" i="22" s="1"/>
  <c r="N20" i="22" s="1"/>
  <c r="M20" i="22" s="1"/>
  <c r="L20" i="22" s="1"/>
  <c r="K20" i="22" s="1"/>
  <c r="J20" i="22" s="1"/>
  <c r="I20" i="22" s="1"/>
  <c r="H20" i="22" s="1"/>
  <c r="G20" i="22" s="1"/>
  <c r="R33" i="22"/>
  <c r="Q33" i="22" s="1"/>
  <c r="P33" i="22" s="1"/>
  <c r="O33" i="22" s="1"/>
  <c r="N33" i="22" s="1"/>
  <c r="M33" i="22" s="1"/>
  <c r="L33" i="22" s="1"/>
  <c r="K33" i="22" s="1"/>
  <c r="J33" i="22" s="1"/>
  <c r="I33" i="22" s="1"/>
  <c r="H33" i="22" s="1"/>
  <c r="G33" i="22" s="1"/>
  <c r="R27" i="22"/>
  <c r="Q27" i="22" s="1"/>
  <c r="P27" i="22" s="1"/>
  <c r="O27" i="22" s="1"/>
  <c r="N27" i="22" s="1"/>
  <c r="M27" i="22" s="1"/>
  <c r="L27" i="22" s="1"/>
  <c r="K27" i="22" s="1"/>
  <c r="J27" i="22" s="1"/>
  <c r="I27" i="22" s="1"/>
  <c r="H27" i="22" s="1"/>
  <c r="G27" i="22" s="1"/>
  <c r="R19" i="22"/>
  <c r="Q19" i="22" s="1"/>
  <c r="P19" i="22" s="1"/>
  <c r="O19" i="22" s="1"/>
  <c r="N19" i="22" s="1"/>
  <c r="M19" i="22" s="1"/>
  <c r="L19" i="22" s="1"/>
  <c r="K19" i="22" s="1"/>
  <c r="J19" i="22" s="1"/>
  <c r="I19" i="22" s="1"/>
  <c r="H19" i="22" s="1"/>
  <c r="G19" i="22" s="1"/>
  <c r="R28" i="22"/>
  <c r="Q28" i="22" s="1"/>
  <c r="P28" i="22" s="1"/>
  <c r="O28" i="22" s="1"/>
  <c r="N28" i="22" s="1"/>
  <c r="M28" i="22" s="1"/>
  <c r="L28" i="22" s="1"/>
  <c r="K28" i="22" s="1"/>
  <c r="J28" i="22" s="1"/>
  <c r="I28" i="22" s="1"/>
  <c r="H28" i="22" s="1"/>
  <c r="G28" i="22" s="1"/>
  <c r="AF1" i="22"/>
  <c r="AG6" i="22"/>
  <c r="AF381" i="22"/>
  <c r="AG3" i="22"/>
  <c r="T38" i="22"/>
  <c r="U38" i="22" s="1"/>
  <c r="V38" i="22" s="1"/>
  <c r="W38" i="22" s="1"/>
  <c r="X38" i="22" s="1"/>
  <c r="Y38" i="22" s="1"/>
  <c r="Z38" i="22" s="1"/>
  <c r="AA38" i="22" s="1"/>
  <c r="AB38" i="22" s="1"/>
  <c r="AC38" i="22" s="1"/>
  <c r="AD38" i="22" s="1"/>
  <c r="R382" i="22"/>
  <c r="AD382" i="22"/>
  <c r="R393" i="22"/>
  <c r="AD393" i="22"/>
  <c r="R405" i="22"/>
  <c r="AD405" i="22"/>
  <c r="T6" i="22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R21" i="22"/>
  <c r="Q21" i="22" s="1"/>
  <c r="P21" i="22" s="1"/>
  <c r="O21" i="22" s="1"/>
  <c r="R407" i="22"/>
  <c r="AD407" i="22"/>
  <c r="AF383" i="22"/>
  <c r="T8" i="22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T12" i="22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T14" i="22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R386" i="22"/>
  <c r="AD386" i="22"/>
  <c r="R398" i="22"/>
  <c r="AD398" i="22"/>
  <c r="R410" i="22"/>
  <c r="AD410" i="22"/>
  <c r="R387" i="22"/>
  <c r="AD387" i="22"/>
  <c r="R399" i="22"/>
  <c r="AD399" i="22"/>
  <c r="R411" i="22"/>
  <c r="AD411" i="22"/>
  <c r="R17" i="22"/>
  <c r="Q17" i="22" s="1"/>
  <c r="P17" i="22" s="1"/>
  <c r="O17" i="22" s="1"/>
  <c r="N17" i="22" s="1"/>
  <c r="M17" i="22" s="1"/>
  <c r="L17" i="22" s="1"/>
  <c r="K17" i="22" s="1"/>
  <c r="J17" i="22" s="1"/>
  <c r="I17" i="22" s="1"/>
  <c r="H17" i="22" s="1"/>
  <c r="G17" i="22" s="1"/>
  <c r="AF380" i="22"/>
  <c r="T13" i="22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R18" i="22"/>
  <c r="Q18" i="22" s="1"/>
  <c r="P18" i="22" s="1"/>
  <c r="O18" i="22" s="1"/>
  <c r="N18" i="22" s="1"/>
  <c r="M18" i="22" s="1"/>
  <c r="L18" i="22" s="1"/>
  <c r="K18" i="22" s="1"/>
  <c r="J18" i="22" s="1"/>
  <c r="I18" i="22" s="1"/>
  <c r="H18" i="22" s="1"/>
  <c r="G18" i="22" s="1"/>
  <c r="AG1" i="22"/>
  <c r="T24" i="22"/>
  <c r="U24" i="22" s="1"/>
  <c r="V24" i="22" s="1"/>
  <c r="W24" i="22" s="1"/>
  <c r="X24" i="22" s="1"/>
  <c r="Y24" i="22" s="1"/>
  <c r="Z24" i="22" s="1"/>
  <c r="AA24" i="22" s="1"/>
  <c r="AB24" i="22" s="1"/>
  <c r="AC24" i="22" s="1"/>
  <c r="AD24" i="22" s="1"/>
  <c r="R24" i="22"/>
  <c r="Q24" i="22" s="1"/>
  <c r="P24" i="22" s="1"/>
  <c r="O24" i="22" s="1"/>
  <c r="N24" i="22" s="1"/>
  <c r="M24" i="22" s="1"/>
  <c r="L24" i="22" s="1"/>
  <c r="K24" i="22" s="1"/>
  <c r="J24" i="22" s="1"/>
  <c r="I24" i="22" s="1"/>
  <c r="H24" i="22" s="1"/>
  <c r="G24" i="22" s="1"/>
  <c r="AH6" i="22"/>
  <c r="T36" i="22"/>
  <c r="U36" i="22" s="1"/>
  <c r="V36" i="22" s="1"/>
  <c r="W36" i="22" s="1"/>
  <c r="X36" i="22" s="1"/>
  <c r="Y36" i="22" s="1"/>
  <c r="Z36" i="22" s="1"/>
  <c r="AA36" i="22" s="1"/>
  <c r="AB36" i="22" s="1"/>
  <c r="AC36" i="22" s="1"/>
  <c r="AD36" i="22" s="1"/>
  <c r="AF409" i="22"/>
  <c r="AF412" i="22"/>
  <c r="AF404" i="22"/>
  <c r="AF403" i="22"/>
  <c r="AF402" i="22"/>
  <c r="AF401" i="22"/>
  <c r="AF400" i="22"/>
  <c r="AF399" i="22"/>
  <c r="AF398" i="22"/>
  <c r="AF397" i="22"/>
  <c r="AF396" i="22"/>
  <c r="AF395" i="22"/>
  <c r="AF394" i="22"/>
  <c r="AF393" i="22"/>
  <c r="AF392" i="22"/>
  <c r="AF406" i="22"/>
  <c r="AF390" i="22"/>
  <c r="AF384" i="22"/>
  <c r="AF407" i="22"/>
  <c r="AF386" i="22"/>
  <c r="AF413" i="22"/>
  <c r="AF410" i="22"/>
  <c r="AF387" i="22"/>
  <c r="AF408" i="22"/>
  <c r="AF405" i="22"/>
  <c r="AF411" i="22"/>
  <c r="AG412" i="22"/>
  <c r="AG404" i="22"/>
  <c r="AG403" i="22"/>
  <c r="AG402" i="22"/>
  <c r="AG401" i="22"/>
  <c r="AG400" i="22"/>
  <c r="AG399" i="22"/>
  <c r="AG398" i="22"/>
  <c r="AG397" i="22"/>
  <c r="AG396" i="22"/>
  <c r="AG395" i="22"/>
  <c r="AG394" i="22"/>
  <c r="AG393" i="22"/>
  <c r="AG392" i="22"/>
  <c r="AG391" i="22"/>
  <c r="AG390" i="22"/>
  <c r="AG389" i="22"/>
  <c r="AG388" i="22"/>
  <c r="AG387" i="22"/>
  <c r="AG386" i="22"/>
  <c r="AG385" i="22"/>
  <c r="AG384" i="22"/>
  <c r="AG383" i="22"/>
  <c r="AG405" i="22"/>
  <c r="AG409" i="22"/>
  <c r="AG407" i="22"/>
  <c r="AG413" i="22"/>
  <c r="AG410" i="22"/>
  <c r="AG380" i="22"/>
  <c r="AG411" i="22"/>
  <c r="AG406" i="22"/>
  <c r="AE1" i="22"/>
  <c r="AH3" i="22"/>
  <c r="R34" i="22"/>
  <c r="Q34" i="22" s="1"/>
  <c r="P34" i="22" s="1"/>
  <c r="O34" i="22" s="1"/>
  <c r="N34" i="22" s="1"/>
  <c r="M34" i="22" s="1"/>
  <c r="L34" i="22" s="1"/>
  <c r="K34" i="22" s="1"/>
  <c r="J34" i="22" s="1"/>
  <c r="I34" i="22" s="1"/>
  <c r="H34" i="22" s="1"/>
  <c r="G34" i="22" s="1"/>
  <c r="AF388" i="22"/>
  <c r="AF382" i="22"/>
  <c r="AG382" i="22"/>
  <c r="AF385" i="22"/>
  <c r="T22" i="22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R22" i="22"/>
  <c r="Q22" i="22" s="1"/>
  <c r="P22" i="22" s="1"/>
  <c r="O22" i="22" s="1"/>
  <c r="N22" i="22" s="1"/>
  <c r="M22" i="22" s="1"/>
  <c r="L22" i="22" s="1"/>
  <c r="K22" i="22" s="1"/>
  <c r="J22" i="22" s="1"/>
  <c r="I22" i="22" s="1"/>
  <c r="H22" i="22" s="1"/>
  <c r="G22" i="22" s="1"/>
  <c r="R26" i="22"/>
  <c r="Q26" i="22" s="1"/>
  <c r="P26" i="22" s="1"/>
  <c r="O26" i="22" s="1"/>
  <c r="N26" i="22" s="1"/>
  <c r="M26" i="22" s="1"/>
  <c r="L26" i="22" s="1"/>
  <c r="K26" i="22" s="1"/>
  <c r="J26" i="22" s="1"/>
  <c r="I26" i="22" s="1"/>
  <c r="H26" i="22" s="1"/>
  <c r="G26" i="22" s="1"/>
  <c r="R23" i="22"/>
  <c r="Q23" i="22" s="1"/>
  <c r="P23" i="22" s="1"/>
  <c r="O23" i="22" s="1"/>
  <c r="N23" i="22" s="1"/>
  <c r="M23" i="22" s="1"/>
  <c r="L23" i="22" s="1"/>
  <c r="K23" i="22" s="1"/>
  <c r="J23" i="22" s="1"/>
  <c r="I23" i="22" s="1"/>
  <c r="H23" i="22" s="1"/>
  <c r="G23" i="22" s="1"/>
  <c r="AF389" i="22"/>
  <c r="I38" i="1" l="1"/>
  <c r="I49" i="1" s="1"/>
  <c r="I82" i="1" s="1"/>
  <c r="I86" i="1" s="1"/>
  <c r="K27" i="1"/>
  <c r="K30" i="1"/>
  <c r="L9" i="1"/>
  <c r="K31" i="1"/>
  <c r="J38" i="1"/>
  <c r="J49" i="1" s="1"/>
  <c r="J82" i="1" s="1"/>
  <c r="J86" i="1" s="1"/>
  <c r="F14" i="9"/>
  <c r="G60" i="15"/>
  <c r="S15" i="46"/>
  <c r="D14" i="46"/>
  <c r="C15" i="46"/>
  <c r="E15" i="46" s="1"/>
  <c r="AT3" i="1"/>
  <c r="J1" i="1"/>
  <c r="J2" i="1"/>
  <c r="BO3" i="1"/>
  <c r="BO11" i="1" s="1"/>
  <c r="Z37" i="9"/>
  <c r="Z26" i="9"/>
  <c r="AB26" i="9"/>
  <c r="BD3" i="1"/>
  <c r="BD11" i="1" s="1"/>
  <c r="AG408" i="22"/>
  <c r="AG381" i="22"/>
  <c r="AH410" i="22"/>
  <c r="AH405" i="22"/>
  <c r="AH413" i="22"/>
  <c r="AH406" i="22"/>
  <c r="AH412" i="22"/>
  <c r="AH403" i="22"/>
  <c r="AH399" i="22"/>
  <c r="AH395" i="22"/>
  <c r="AH391" i="22"/>
  <c r="AH385" i="22"/>
  <c r="AH407" i="22"/>
  <c r="AH404" i="22"/>
  <c r="AH400" i="22"/>
  <c r="AH396" i="22"/>
  <c r="AH392" i="22"/>
  <c r="AH408" i="22"/>
  <c r="AH381" i="22"/>
  <c r="AH409" i="22"/>
  <c r="AH397" i="22"/>
  <c r="AH387" i="22"/>
  <c r="AH382" i="22"/>
  <c r="AH402" i="22"/>
  <c r="AH411" i="22"/>
  <c r="AH394" i="22"/>
  <c r="AH390" i="22"/>
  <c r="AH401" i="22"/>
  <c r="AH388" i="22"/>
  <c r="AI3" i="22"/>
  <c r="AH383" i="22"/>
  <c r="AH380" i="22"/>
  <c r="AH386" i="22"/>
  <c r="AH393" i="22"/>
  <c r="AH398" i="22"/>
  <c r="AH384" i="22"/>
  <c r="AH389" i="22"/>
  <c r="AH1" i="22"/>
  <c r="AI6" i="22"/>
  <c r="M9" i="1" l="1"/>
  <c r="L27" i="1"/>
  <c r="L31" i="1"/>
  <c r="L30" i="1"/>
  <c r="K38" i="1"/>
  <c r="K49" i="1" s="1"/>
  <c r="K82" i="1" s="1"/>
  <c r="K86" i="1" s="1"/>
  <c r="S16" i="46"/>
  <c r="D15" i="46"/>
  <c r="C16" i="46"/>
  <c r="E16" i="46" s="1"/>
  <c r="K1" i="1"/>
  <c r="K2" i="1"/>
  <c r="BP3" i="1"/>
  <c r="BP11" i="1" s="1"/>
  <c r="Z38" i="9"/>
  <c r="Z27" i="9"/>
  <c r="AB27" i="9"/>
  <c r="BE3" i="1"/>
  <c r="BE11" i="1" s="1"/>
  <c r="AI413" i="22"/>
  <c r="AI406" i="22"/>
  <c r="AI407" i="22"/>
  <c r="AI403" i="22"/>
  <c r="AI399" i="22"/>
  <c r="AI395" i="22"/>
  <c r="AI391" i="22"/>
  <c r="AI385" i="22"/>
  <c r="AI410" i="22"/>
  <c r="AI404" i="22"/>
  <c r="AI400" i="22"/>
  <c r="AI396" i="22"/>
  <c r="AI387" i="22"/>
  <c r="AI408" i="22"/>
  <c r="AI411" i="22"/>
  <c r="AI401" i="22"/>
  <c r="AI397" i="22"/>
  <c r="AI393" i="22"/>
  <c r="AI388" i="22"/>
  <c r="AI382" i="22"/>
  <c r="AI412" i="22"/>
  <c r="AI402" i="22"/>
  <c r="AI392" i="22"/>
  <c r="AI394" i="22"/>
  <c r="AI390" i="22"/>
  <c r="AJ3" i="22"/>
  <c r="AI405" i="22"/>
  <c r="AI383" i="22"/>
  <c r="AI380" i="22"/>
  <c r="AI386" i="22"/>
  <c r="AI409" i="22"/>
  <c r="AI398" i="22"/>
  <c r="AI384" i="22"/>
  <c r="AI381" i="22"/>
  <c r="AI389" i="22"/>
  <c r="AI1" i="22"/>
  <c r="AJ6" i="22"/>
  <c r="N9" i="1" l="1"/>
  <c r="M30" i="1"/>
  <c r="M31" i="1"/>
  <c r="M27" i="1"/>
  <c r="L38" i="1"/>
  <c r="L49" i="1" s="1"/>
  <c r="L82" i="1" s="1"/>
  <c r="L86" i="1" s="1"/>
  <c r="S17" i="46"/>
  <c r="D16" i="46"/>
  <c r="C17" i="46"/>
  <c r="E17" i="46" s="1"/>
  <c r="L1" i="1"/>
  <c r="L2" i="1"/>
  <c r="BQ3" i="1"/>
  <c r="BQ11" i="1" s="1"/>
  <c r="Z39" i="9"/>
  <c r="Z28" i="9"/>
  <c r="AB28" i="9"/>
  <c r="BF3" i="1"/>
  <c r="BF11" i="1" s="1"/>
  <c r="AU3" i="1"/>
  <c r="AJ411" i="22"/>
  <c r="AJ407" i="22"/>
  <c r="AJ408" i="22"/>
  <c r="AJ386" i="22"/>
  <c r="AJ410" i="22"/>
  <c r="AJ404" i="22"/>
  <c r="AJ400" i="22"/>
  <c r="AJ396" i="22"/>
  <c r="AJ413" i="22"/>
  <c r="AJ401" i="22"/>
  <c r="AJ405" i="22"/>
  <c r="AJ402" i="22"/>
  <c r="AJ409" i="22"/>
  <c r="AJ403" i="22"/>
  <c r="AJ382" i="22"/>
  <c r="AJ392" i="22"/>
  <c r="AJ385" i="22"/>
  <c r="AJ412" i="22"/>
  <c r="AJ394" i="22"/>
  <c r="AJ390" i="22"/>
  <c r="AJ406" i="22"/>
  <c r="AJ399" i="22"/>
  <c r="AK3" i="22"/>
  <c r="AJ388" i="22"/>
  <c r="AJ383" i="22"/>
  <c r="AJ380" i="22"/>
  <c r="AJ398" i="22"/>
  <c r="AJ393" i="22"/>
  <c r="AJ391" i="22"/>
  <c r="AJ384" i="22"/>
  <c r="AJ381" i="22"/>
  <c r="AJ389" i="22"/>
  <c r="AJ395" i="22"/>
  <c r="AJ397" i="22"/>
  <c r="AJ387" i="22"/>
  <c r="AJ1" i="22"/>
  <c r="AK6" i="22"/>
  <c r="M38" i="1" l="1"/>
  <c r="M49" i="1" s="1"/>
  <c r="M82" i="1" s="1"/>
  <c r="M86" i="1" s="1"/>
  <c r="O9" i="1"/>
  <c r="N27" i="1"/>
  <c r="N30" i="1"/>
  <c r="N31" i="1"/>
  <c r="S18" i="46"/>
  <c r="D17" i="46"/>
  <c r="C18" i="46"/>
  <c r="E18" i="46" s="1"/>
  <c r="M1" i="1"/>
  <c r="M2" i="1"/>
  <c r="BR3" i="1"/>
  <c r="BR11" i="1" s="1"/>
  <c r="Z40" i="9"/>
  <c r="Z29" i="9"/>
  <c r="AB29" i="9"/>
  <c r="BG3" i="1"/>
  <c r="BG11" i="1" s="1"/>
  <c r="AV3" i="1"/>
  <c r="AK413" i="22"/>
  <c r="AK412" i="22"/>
  <c r="AK411" i="22"/>
  <c r="AK410" i="22"/>
  <c r="AK409" i="22"/>
  <c r="AK408" i="22"/>
  <c r="AK386" i="22"/>
  <c r="AK407" i="22"/>
  <c r="AK404" i="22"/>
  <c r="AK400" i="22"/>
  <c r="AK396" i="22"/>
  <c r="AK392" i="22"/>
  <c r="AK401" i="22"/>
  <c r="AK397" i="22"/>
  <c r="AK393" i="22"/>
  <c r="AK388" i="22"/>
  <c r="AK405" i="22"/>
  <c r="AK389" i="22"/>
  <c r="AK383" i="22"/>
  <c r="AK406" i="22"/>
  <c r="AK385" i="22"/>
  <c r="AK402" i="22"/>
  <c r="AK394" i="22"/>
  <c r="AK390" i="22"/>
  <c r="AK399" i="22"/>
  <c r="AL3" i="22"/>
  <c r="AK380" i="22"/>
  <c r="AK398" i="22"/>
  <c r="AK391" i="22"/>
  <c r="AK384" i="22"/>
  <c r="AK381" i="22"/>
  <c r="AK395" i="22"/>
  <c r="AK387" i="22"/>
  <c r="AK403" i="22"/>
  <c r="AK382" i="22"/>
  <c r="AK1" i="22"/>
  <c r="AL6" i="22"/>
  <c r="P9" i="1" l="1"/>
  <c r="O31" i="1"/>
  <c r="O30" i="1"/>
  <c r="O27" i="1"/>
  <c r="O38" i="1" s="1"/>
  <c r="O49" i="1" s="1"/>
  <c r="O82" i="1" s="1"/>
  <c r="O86" i="1" s="1"/>
  <c r="N38" i="1"/>
  <c r="N49" i="1" s="1"/>
  <c r="N82" i="1" s="1"/>
  <c r="N86" i="1" s="1"/>
  <c r="S19" i="46"/>
  <c r="D18" i="46"/>
  <c r="C19" i="46"/>
  <c r="E19" i="46" s="1"/>
  <c r="N1" i="1"/>
  <c r="N2" i="1"/>
  <c r="BS3" i="1"/>
  <c r="BS11" i="1" s="1"/>
  <c r="BH3" i="1"/>
  <c r="BH11" i="1" s="1"/>
  <c r="Z41" i="9"/>
  <c r="Z30" i="9"/>
  <c r="Z42" i="9" s="1"/>
  <c r="AB30" i="9"/>
  <c r="AL404" i="22"/>
  <c r="AL403" i="22"/>
  <c r="AL402" i="22"/>
  <c r="AL401" i="22"/>
  <c r="AL400" i="22"/>
  <c r="AL399" i="22"/>
  <c r="AL398" i="22"/>
  <c r="AL397" i="22"/>
  <c r="AL396" i="22"/>
  <c r="AL395" i="22"/>
  <c r="AL394" i="22"/>
  <c r="AL393" i="22"/>
  <c r="AL392" i="22"/>
  <c r="AL391" i="22"/>
  <c r="AL390" i="22"/>
  <c r="AL389" i="22"/>
  <c r="AL388" i="22"/>
  <c r="AL387" i="22"/>
  <c r="AL386" i="22"/>
  <c r="AL385" i="22"/>
  <c r="AL384" i="22"/>
  <c r="AL383" i="22"/>
  <c r="AL382" i="22"/>
  <c r="AL381" i="22"/>
  <c r="AL380" i="22"/>
  <c r="AL408" i="22"/>
  <c r="AL407" i="22"/>
  <c r="AL410" i="22"/>
  <c r="AL413" i="22"/>
  <c r="AL405" i="22"/>
  <c r="AL411" i="22"/>
  <c r="AL409" i="22"/>
  <c r="AL406" i="22"/>
  <c r="AL412" i="22"/>
  <c r="AM3" i="22"/>
  <c r="AM6" i="22"/>
  <c r="AL1" i="22"/>
  <c r="P31" i="1" l="1"/>
  <c r="P30" i="1"/>
  <c r="P27" i="1"/>
  <c r="P2" i="1"/>
  <c r="P1" i="1"/>
  <c r="Q9" i="1"/>
  <c r="D19" i="46"/>
  <c r="C20" i="46"/>
  <c r="E20" i="46" s="1"/>
  <c r="O1" i="1"/>
  <c r="O2" i="1"/>
  <c r="BT3" i="1"/>
  <c r="BT11" i="1" s="1"/>
  <c r="AM412" i="22"/>
  <c r="AM405" i="22"/>
  <c r="AM409" i="22"/>
  <c r="AM410" i="22"/>
  <c r="AM404" i="22"/>
  <c r="AM400" i="22"/>
  <c r="AM396" i="22"/>
  <c r="AM392" i="22"/>
  <c r="AM413" i="22"/>
  <c r="AM387" i="22"/>
  <c r="AM380" i="22"/>
  <c r="AM401" i="22"/>
  <c r="AM397" i="22"/>
  <c r="AM393" i="22"/>
  <c r="AM411" i="22"/>
  <c r="AM408" i="22"/>
  <c r="AM402" i="22"/>
  <c r="AM398" i="22"/>
  <c r="AM394" i="22"/>
  <c r="AM407" i="22"/>
  <c r="AM390" i="22"/>
  <c r="AN3" i="22"/>
  <c r="AM399" i="22"/>
  <c r="AM406" i="22"/>
  <c r="AM388" i="22"/>
  <c r="AM383" i="22"/>
  <c r="AM386" i="22"/>
  <c r="AM391" i="22"/>
  <c r="AM384" i="22"/>
  <c r="AM381" i="22"/>
  <c r="AM395" i="22"/>
  <c r="AM389" i="22"/>
  <c r="AM403" i="22"/>
  <c r="AM382" i="22"/>
  <c r="AM385" i="22"/>
  <c r="AN6" i="22"/>
  <c r="AM1" i="22"/>
  <c r="W16" i="9"/>
  <c r="W15" i="9"/>
  <c r="W14" i="9"/>
  <c r="W12" i="9"/>
  <c r="CC84" i="1" l="1"/>
  <c r="F40" i="41"/>
  <c r="F42" i="41" s="1"/>
  <c r="E40" i="41"/>
  <c r="E42" i="41" s="1"/>
  <c r="G40" i="41"/>
  <c r="G42" i="41" s="1"/>
  <c r="CD84" i="1"/>
  <c r="CE84" i="1"/>
  <c r="D33" i="41"/>
  <c r="D35" i="41" s="1"/>
  <c r="E33" i="41"/>
  <c r="E35" i="41" s="1"/>
  <c r="D40" i="41"/>
  <c r="D42" i="41" s="1"/>
  <c r="G33" i="41"/>
  <c r="G35" i="41" s="1"/>
  <c r="E26" i="41"/>
  <c r="E28" i="41" s="1"/>
  <c r="D26" i="41"/>
  <c r="D28" i="41" s="1"/>
  <c r="P38" i="1"/>
  <c r="P49" i="1" s="1"/>
  <c r="P82" i="1" s="1"/>
  <c r="P86" i="1" s="1"/>
  <c r="Q30" i="1"/>
  <c r="R9" i="1"/>
  <c r="Q2" i="1"/>
  <c r="Q1" i="1"/>
  <c r="Q27" i="1"/>
  <c r="Q31" i="1"/>
  <c r="D20" i="46"/>
  <c r="C21" i="46"/>
  <c r="E21" i="46" s="1"/>
  <c r="E56" i="41"/>
  <c r="D56" i="41"/>
  <c r="D63" i="41"/>
  <c r="E63" i="41"/>
  <c r="AN406" i="22"/>
  <c r="AN409" i="22"/>
  <c r="AN413" i="22"/>
  <c r="AN387" i="22"/>
  <c r="AN380" i="22"/>
  <c r="AN381" i="22"/>
  <c r="AN401" i="22"/>
  <c r="AN397" i="22"/>
  <c r="AN411" i="22"/>
  <c r="AN408" i="22"/>
  <c r="AN405" i="22"/>
  <c r="AN389" i="22"/>
  <c r="AN402" i="22"/>
  <c r="AN390" i="22"/>
  <c r="AN384" i="22"/>
  <c r="AN412" i="22"/>
  <c r="AN403" i="22"/>
  <c r="AN410" i="22"/>
  <c r="AN404" i="22"/>
  <c r="AN407" i="22"/>
  <c r="AN399" i="22"/>
  <c r="AN394" i="22"/>
  <c r="AN392" i="22"/>
  <c r="AN388" i="22"/>
  <c r="AN383" i="22"/>
  <c r="AN396" i="22"/>
  <c r="AN386" i="22"/>
  <c r="AN398" i="22"/>
  <c r="AN391" i="22"/>
  <c r="AN393" i="22"/>
  <c r="AN395" i="22"/>
  <c r="AN400" i="22"/>
  <c r="AN382" i="22"/>
  <c r="AN385" i="22"/>
  <c r="AO3" i="22"/>
  <c r="AO6" i="22"/>
  <c r="AN1" i="22"/>
  <c r="CK55" i="1"/>
  <c r="P15" i="9"/>
  <c r="Q15" i="9"/>
  <c r="P16" i="9"/>
  <c r="Q16" i="9"/>
  <c r="Q14" i="9"/>
  <c r="P14" i="9"/>
  <c r="Q12" i="9"/>
  <c r="P12" i="9"/>
  <c r="R30" i="1" l="1"/>
  <c r="R27" i="1"/>
  <c r="R31" i="1"/>
  <c r="R1" i="1"/>
  <c r="R2" i="1"/>
  <c r="S9" i="1"/>
  <c r="Q38" i="1"/>
  <c r="Q49" i="1" s="1"/>
  <c r="Q82" i="1" s="1"/>
  <c r="Q86" i="1" s="1"/>
  <c r="D21" i="46"/>
  <c r="C22" i="46"/>
  <c r="E22" i="46" s="1"/>
  <c r="AW71" i="1"/>
  <c r="AX71" i="1"/>
  <c r="AY71" i="1"/>
  <c r="AZ71" i="1"/>
  <c r="BA71" i="1"/>
  <c r="BB71" i="1"/>
  <c r="BC71" i="1"/>
  <c r="BD71" i="1"/>
  <c r="BE71" i="1"/>
  <c r="BF71" i="1"/>
  <c r="BG71" i="1"/>
  <c r="BH71" i="1"/>
  <c r="R16" i="9"/>
  <c r="AP6" i="22"/>
  <c r="AP1" i="22" s="1"/>
  <c r="AO1" i="22"/>
  <c r="AO413" i="22"/>
  <c r="AO407" i="22"/>
  <c r="AO410" i="22"/>
  <c r="AO381" i="22"/>
  <c r="AO401" i="22"/>
  <c r="AO397" i="22"/>
  <c r="AO393" i="22"/>
  <c r="AO388" i="22"/>
  <c r="AO382" i="22"/>
  <c r="AP3" i="22"/>
  <c r="AO411" i="22"/>
  <c r="AO408" i="22"/>
  <c r="AO405" i="22"/>
  <c r="AO402" i="22"/>
  <c r="AO398" i="22"/>
  <c r="AO394" i="22"/>
  <c r="AO406" i="22"/>
  <c r="AO412" i="22"/>
  <c r="AO383" i="22"/>
  <c r="AO380" i="22"/>
  <c r="AO396" i="22"/>
  <c r="AO386" i="22"/>
  <c r="AO391" i="22"/>
  <c r="AO384" i="22"/>
  <c r="AO395" i="22"/>
  <c r="AO409" i="22"/>
  <c r="AO404" i="22"/>
  <c r="AO389" i="22"/>
  <c r="AO400" i="22"/>
  <c r="AO403" i="22"/>
  <c r="AO387" i="22"/>
  <c r="AO385" i="22"/>
  <c r="AO399" i="22"/>
  <c r="AO392" i="22"/>
  <c r="AO390" i="22"/>
  <c r="R15" i="9"/>
  <c r="R14" i="9"/>
  <c r="E54" i="15"/>
  <c r="E88" i="15" s="1"/>
  <c r="E87" i="15"/>
  <c r="T9" i="1" l="1"/>
  <c r="S1" i="1"/>
  <c r="S2" i="1"/>
  <c r="S27" i="1"/>
  <c r="S30" i="1"/>
  <c r="S31" i="1"/>
  <c r="R38" i="1"/>
  <c r="R49" i="1" s="1"/>
  <c r="R82" i="1" s="1"/>
  <c r="R86" i="1" s="1"/>
  <c r="D22" i="46"/>
  <c r="C23" i="46"/>
  <c r="E23" i="46" s="1"/>
  <c r="AK71" i="1"/>
  <c r="AL71" i="1"/>
  <c r="AM71" i="1"/>
  <c r="AN71" i="1"/>
  <c r="AO71" i="1"/>
  <c r="AP71" i="1"/>
  <c r="AQ71" i="1"/>
  <c r="AR71" i="1"/>
  <c r="AS71" i="1"/>
  <c r="AT71" i="1"/>
  <c r="AU71" i="1"/>
  <c r="AV71" i="1"/>
  <c r="BI71" i="1"/>
  <c r="BU71" i="1" s="1"/>
  <c r="BJ71" i="1"/>
  <c r="BV71" i="1" s="1"/>
  <c r="BK71" i="1"/>
  <c r="BW71" i="1" s="1"/>
  <c r="BL71" i="1"/>
  <c r="BX71" i="1" s="1"/>
  <c r="BM71" i="1"/>
  <c r="BN71" i="1"/>
  <c r="BO71" i="1"/>
  <c r="BP71" i="1"/>
  <c r="BQ71" i="1"/>
  <c r="BR71" i="1"/>
  <c r="BS71" i="1"/>
  <c r="BT71" i="1"/>
  <c r="AP413" i="22"/>
  <c r="AP412" i="22"/>
  <c r="AP411" i="22"/>
  <c r="AP410" i="22"/>
  <c r="AP409" i="22"/>
  <c r="AP408" i="22"/>
  <c r="AP407" i="22"/>
  <c r="AP406" i="22"/>
  <c r="AP405" i="22"/>
  <c r="AP404" i="22"/>
  <c r="AP401" i="22"/>
  <c r="AP397" i="22"/>
  <c r="AP393" i="22"/>
  <c r="AP388" i="22"/>
  <c r="AP382" i="22"/>
  <c r="AP402" i="22"/>
  <c r="AP398" i="22"/>
  <c r="AP394" i="22"/>
  <c r="AP390" i="22"/>
  <c r="AP403" i="22"/>
  <c r="AP399" i="22"/>
  <c r="AP395" i="22"/>
  <c r="AP391" i="22"/>
  <c r="AP385" i="22"/>
  <c r="AP383" i="22"/>
  <c r="AP380" i="22"/>
  <c r="AP396" i="22"/>
  <c r="AP386" i="22"/>
  <c r="AP384" i="22"/>
  <c r="AP381" i="22"/>
  <c r="AP389" i="22"/>
  <c r="AP400" i="22"/>
  <c r="AP387" i="22"/>
  <c r="AP392" i="22"/>
  <c r="S38" i="1" l="1"/>
  <c r="S49" i="1" s="1"/>
  <c r="S82" i="1" s="1"/>
  <c r="S86" i="1" s="1"/>
  <c r="T2" i="1"/>
  <c r="T27" i="1"/>
  <c r="T1" i="1"/>
  <c r="T30" i="1"/>
  <c r="T31" i="1"/>
  <c r="U9" i="1"/>
  <c r="D23" i="46"/>
  <c r="C24" i="46"/>
  <c r="E24" i="46" s="1"/>
  <c r="R78" i="9"/>
  <c r="R77" i="9"/>
  <c r="R76" i="9"/>
  <c r="R75" i="9"/>
  <c r="R74" i="9"/>
  <c r="R73" i="9"/>
  <c r="R72" i="9"/>
  <c r="R71" i="9"/>
  <c r="R70" i="9"/>
  <c r="R69" i="9"/>
  <c r="R68" i="9"/>
  <c r="R67" i="9"/>
  <c r="U30" i="1" l="1"/>
  <c r="U27" i="1"/>
  <c r="U31" i="1"/>
  <c r="V9" i="1"/>
  <c r="U1" i="1"/>
  <c r="U2" i="1"/>
  <c r="T38" i="1"/>
  <c r="T49" i="1" s="1"/>
  <c r="T82" i="1" s="1"/>
  <c r="T86" i="1" s="1"/>
  <c r="D24" i="46"/>
  <c r="C25" i="46"/>
  <c r="E25" i="46" s="1"/>
  <c r="V27" i="1" l="1"/>
  <c r="V30" i="1"/>
  <c r="V31" i="1"/>
  <c r="V2" i="1"/>
  <c r="V1" i="1"/>
  <c r="W9" i="1"/>
  <c r="U38" i="1"/>
  <c r="U49" i="1" s="1"/>
  <c r="U82" i="1" s="1"/>
  <c r="U86" i="1" s="1"/>
  <c r="D25" i="46"/>
  <c r="C26" i="46"/>
  <c r="E26" i="46" s="1"/>
  <c r="R30" i="9"/>
  <c r="R29" i="9"/>
  <c r="R28" i="9"/>
  <c r="R27" i="9"/>
  <c r="R26" i="9"/>
  <c r="R25" i="9"/>
  <c r="R24" i="9"/>
  <c r="R23" i="9"/>
  <c r="R22" i="9"/>
  <c r="R21" i="9"/>
  <c r="R20" i="9"/>
  <c r="R19" i="9"/>
  <c r="CC53" i="1"/>
  <c r="CD53" i="1"/>
  <c r="CE53" i="1"/>
  <c r="CD52" i="1"/>
  <c r="CE52" i="1"/>
  <c r="I30" i="15"/>
  <c r="I31" i="15"/>
  <c r="I33" i="15"/>
  <c r="I34" i="15"/>
  <c r="I35" i="15"/>
  <c r="I36" i="15"/>
  <c r="I37" i="15"/>
  <c r="W2" i="1" l="1"/>
  <c r="W1" i="1"/>
  <c r="W27" i="1"/>
  <c r="W31" i="1"/>
  <c r="X9" i="1"/>
  <c r="W30" i="1"/>
  <c r="V38" i="1"/>
  <c r="V49" i="1" s="1"/>
  <c r="V82" i="1" s="1"/>
  <c r="V86" i="1" s="1"/>
  <c r="D26" i="46"/>
  <c r="C27" i="46"/>
  <c r="E27" i="46" s="1"/>
  <c r="AK53" i="1"/>
  <c r="AL53" i="1"/>
  <c r="AQ53" i="1"/>
  <c r="AS53" i="1"/>
  <c r="AO53" i="1"/>
  <c r="AT53" i="1"/>
  <c r="AM53" i="1"/>
  <c r="AV53" i="1"/>
  <c r="AN53" i="1"/>
  <c r="AU53" i="1"/>
  <c r="AP53" i="1"/>
  <c r="AR53" i="1"/>
  <c r="BF53" i="1"/>
  <c r="AW53" i="1"/>
  <c r="AX53" i="1"/>
  <c r="BE53" i="1"/>
  <c r="BD53" i="1"/>
  <c r="AY53" i="1"/>
  <c r="BC53" i="1"/>
  <c r="AZ53" i="1"/>
  <c r="BH53" i="1"/>
  <c r="BB53" i="1"/>
  <c r="BG53" i="1"/>
  <c r="BA53" i="1"/>
  <c r="BO53" i="1"/>
  <c r="BP53" i="1"/>
  <c r="BQ53" i="1"/>
  <c r="BR53" i="1"/>
  <c r="BS53" i="1"/>
  <c r="BJ53" i="1"/>
  <c r="BV53" i="1" s="1"/>
  <c r="BT53" i="1"/>
  <c r="BI53" i="1"/>
  <c r="BU53" i="1" s="1"/>
  <c r="BK53" i="1"/>
  <c r="BW53" i="1" s="1"/>
  <c r="BL53" i="1"/>
  <c r="BX53" i="1" s="1"/>
  <c r="BM53" i="1"/>
  <c r="BN53" i="1"/>
  <c r="BE52" i="1"/>
  <c r="AW52" i="1"/>
  <c r="AY52" i="1"/>
  <c r="AX52" i="1"/>
  <c r="AZ52" i="1"/>
  <c r="BH52" i="1"/>
  <c r="BB52" i="1"/>
  <c r="BA52" i="1"/>
  <c r="BF52" i="1"/>
  <c r="BD52" i="1"/>
  <c r="BG52" i="1"/>
  <c r="BC52" i="1"/>
  <c r="BQ52" i="1"/>
  <c r="BI52" i="1"/>
  <c r="BO52" i="1"/>
  <c r="BP52" i="1"/>
  <c r="BL52" i="1"/>
  <c r="BX52" i="1" s="1"/>
  <c r="BT52" i="1"/>
  <c r="BK52" i="1"/>
  <c r="BM52" i="1"/>
  <c r="BJ52" i="1"/>
  <c r="BR52" i="1"/>
  <c r="BS52" i="1"/>
  <c r="BN52" i="1"/>
  <c r="AK52" i="1"/>
  <c r="AT52" i="1"/>
  <c r="AV52" i="1"/>
  <c r="AQ52" i="1"/>
  <c r="AP52" i="1"/>
  <c r="AS52" i="1"/>
  <c r="AO52" i="1"/>
  <c r="AR52" i="1"/>
  <c r="AN52" i="1"/>
  <c r="AM52" i="1"/>
  <c r="AU52" i="1"/>
  <c r="AL52" i="1"/>
  <c r="CB9" i="1"/>
  <c r="D50" i="11"/>
  <c r="R12" i="9"/>
  <c r="D63" i="11"/>
  <c r="D51" i="11"/>
  <c r="D64" i="11"/>
  <c r="D54" i="11"/>
  <c r="D62" i="11"/>
  <c r="D59" i="11"/>
  <c r="D61" i="11"/>
  <c r="D52" i="11"/>
  <c r="D56" i="11"/>
  <c r="D58" i="11"/>
  <c r="D55" i="11"/>
  <c r="D49" i="11"/>
  <c r="D53" i="11"/>
  <c r="D57" i="11"/>
  <c r="D60" i="11"/>
  <c r="X31" i="1" l="1"/>
  <c r="X1" i="1"/>
  <c r="X2" i="1"/>
  <c r="Y9" i="1"/>
  <c r="X30" i="1"/>
  <c r="X27" i="1"/>
  <c r="W38" i="1"/>
  <c r="W49" i="1" s="1"/>
  <c r="W82" i="1" s="1"/>
  <c r="W86" i="1" s="1"/>
  <c r="D27" i="46"/>
  <c r="C28" i="46"/>
  <c r="E28" i="46" s="1"/>
  <c r="BU52" i="1"/>
  <c r="BW52" i="1"/>
  <c r="BV52" i="1"/>
  <c r="X38" i="1" l="1"/>
  <c r="X49" i="1" s="1"/>
  <c r="X82" i="1" s="1"/>
  <c r="X86" i="1" s="1"/>
  <c r="Y30" i="1"/>
  <c r="Y31" i="1"/>
  <c r="Z9" i="1"/>
  <c r="Y27" i="1"/>
  <c r="Y38" i="1" s="1"/>
  <c r="Y49" i="1" s="1"/>
  <c r="Y82" i="1" s="1"/>
  <c r="Y86" i="1" s="1"/>
  <c r="Y2" i="1"/>
  <c r="Y1" i="1"/>
  <c r="D28" i="46"/>
  <c r="C29" i="46"/>
  <c r="E29" i="46" s="1"/>
  <c r="AR40" i="22"/>
  <c r="AR41" i="22"/>
  <c r="AR42" i="22"/>
  <c r="AR43" i="22"/>
  <c r="AR44" i="22"/>
  <c r="AR45" i="22"/>
  <c r="AR46" i="22"/>
  <c r="AR47" i="22"/>
  <c r="AR48" i="22"/>
  <c r="AR49" i="22"/>
  <c r="AR50" i="22"/>
  <c r="AR51" i="22"/>
  <c r="AR52" i="22"/>
  <c r="AR53" i="22"/>
  <c r="AR54" i="22"/>
  <c r="AR55" i="22"/>
  <c r="AR56" i="22"/>
  <c r="AR57" i="22"/>
  <c r="AR58" i="22"/>
  <c r="AR59" i="22"/>
  <c r="AR60" i="22"/>
  <c r="AR61" i="22"/>
  <c r="AR62" i="22"/>
  <c r="AR63" i="22"/>
  <c r="AR64" i="22"/>
  <c r="AR65" i="22"/>
  <c r="AR66" i="22"/>
  <c r="AR67" i="22"/>
  <c r="AR68" i="22"/>
  <c r="AR69" i="22"/>
  <c r="AR70" i="22"/>
  <c r="AR71" i="22"/>
  <c r="AR72" i="22"/>
  <c r="AR73" i="22"/>
  <c r="AR74" i="22"/>
  <c r="AR75" i="22"/>
  <c r="AR76" i="22"/>
  <c r="AR77" i="22"/>
  <c r="AR78" i="22"/>
  <c r="AR79" i="22"/>
  <c r="AR80" i="22"/>
  <c r="AR81" i="22"/>
  <c r="AR82" i="22"/>
  <c r="AR83" i="22"/>
  <c r="AR84" i="22"/>
  <c r="AR85" i="22"/>
  <c r="AR86" i="22"/>
  <c r="AR87" i="22"/>
  <c r="AR88" i="22"/>
  <c r="AR89" i="22"/>
  <c r="AR90" i="22"/>
  <c r="AR91" i="22"/>
  <c r="AR92" i="22"/>
  <c r="AR93" i="22"/>
  <c r="AR94" i="22"/>
  <c r="AR95" i="22"/>
  <c r="AR96" i="22"/>
  <c r="AR97" i="22"/>
  <c r="AR98" i="22"/>
  <c r="AR99" i="22"/>
  <c r="AR100" i="22"/>
  <c r="AR101" i="22"/>
  <c r="AR102" i="22"/>
  <c r="AR103" i="22"/>
  <c r="AR104" i="22"/>
  <c r="AR105" i="22"/>
  <c r="AR106" i="22"/>
  <c r="AR107" i="22"/>
  <c r="AR108" i="22"/>
  <c r="AR109" i="22"/>
  <c r="AR110" i="22"/>
  <c r="AR111" i="22"/>
  <c r="AR112" i="22"/>
  <c r="AR113" i="22"/>
  <c r="AR114" i="22"/>
  <c r="AR115" i="22"/>
  <c r="AR116" i="22"/>
  <c r="AR117" i="22"/>
  <c r="AR118" i="22"/>
  <c r="AR119" i="22"/>
  <c r="AR120" i="22"/>
  <c r="AR121" i="22"/>
  <c r="AR122" i="22"/>
  <c r="AR123" i="22"/>
  <c r="AR124" i="22"/>
  <c r="AR125" i="22"/>
  <c r="AR126" i="22"/>
  <c r="AR127" i="22"/>
  <c r="AR128" i="22"/>
  <c r="AR129" i="22"/>
  <c r="AR130" i="22"/>
  <c r="AR131" i="22"/>
  <c r="AR132" i="22"/>
  <c r="AR133" i="22"/>
  <c r="AR134" i="22"/>
  <c r="AR135" i="22"/>
  <c r="AR136" i="22"/>
  <c r="AR137" i="22"/>
  <c r="AR138" i="22"/>
  <c r="AR139" i="22"/>
  <c r="AR140" i="22"/>
  <c r="AR141" i="22"/>
  <c r="AR142" i="22"/>
  <c r="AR143" i="22"/>
  <c r="AR144" i="22"/>
  <c r="AR145" i="22"/>
  <c r="AR146" i="22"/>
  <c r="AR147" i="22"/>
  <c r="AR148" i="22"/>
  <c r="AR149" i="22"/>
  <c r="AR150" i="22"/>
  <c r="AR151" i="22"/>
  <c r="AR152" i="22"/>
  <c r="AR153" i="22"/>
  <c r="AR154" i="22"/>
  <c r="AR155" i="22"/>
  <c r="AR156" i="22"/>
  <c r="AR157" i="22"/>
  <c r="AR158" i="22"/>
  <c r="AR159" i="22"/>
  <c r="AR160" i="22"/>
  <c r="AR161" i="22"/>
  <c r="AR162" i="22"/>
  <c r="AR163" i="22"/>
  <c r="AR164" i="22"/>
  <c r="AR165" i="22"/>
  <c r="AR166" i="22"/>
  <c r="AR167" i="22"/>
  <c r="AR168" i="22"/>
  <c r="AR169" i="22"/>
  <c r="AR170" i="22"/>
  <c r="AR171" i="22"/>
  <c r="AR172" i="22"/>
  <c r="AR173" i="22"/>
  <c r="AR174" i="22"/>
  <c r="AR175" i="22"/>
  <c r="AR176" i="22"/>
  <c r="AR177" i="22"/>
  <c r="AR178" i="22"/>
  <c r="AR179" i="22"/>
  <c r="AR180" i="22"/>
  <c r="AR181" i="22"/>
  <c r="AR182" i="22"/>
  <c r="AR183" i="22"/>
  <c r="AR184" i="22"/>
  <c r="AR185" i="22"/>
  <c r="AR186" i="22"/>
  <c r="AR187" i="22"/>
  <c r="AR188" i="22"/>
  <c r="AR189" i="22"/>
  <c r="AR190" i="22"/>
  <c r="AR191" i="22"/>
  <c r="AR192" i="22"/>
  <c r="AR193" i="22"/>
  <c r="AR194" i="22"/>
  <c r="AR195" i="22"/>
  <c r="AR196" i="22"/>
  <c r="AR197" i="22"/>
  <c r="AR198" i="22"/>
  <c r="AR199" i="22"/>
  <c r="AR200" i="22"/>
  <c r="AR201" i="22"/>
  <c r="AR202" i="22"/>
  <c r="AR203" i="22"/>
  <c r="AR204" i="22"/>
  <c r="AR205" i="22"/>
  <c r="AR206" i="22"/>
  <c r="AR207" i="22"/>
  <c r="AR208" i="22"/>
  <c r="AR209" i="22"/>
  <c r="AR210" i="22"/>
  <c r="AR211" i="22"/>
  <c r="AR212" i="22"/>
  <c r="AR213" i="22"/>
  <c r="AR214" i="22"/>
  <c r="AR215" i="22"/>
  <c r="AR216" i="22"/>
  <c r="AR217" i="22"/>
  <c r="AR218" i="22"/>
  <c r="AR219" i="22"/>
  <c r="AR220" i="22"/>
  <c r="AR221" i="22"/>
  <c r="AR222" i="22"/>
  <c r="AR223" i="22"/>
  <c r="AR224" i="22"/>
  <c r="AR225" i="22"/>
  <c r="AR226" i="22"/>
  <c r="AR227" i="22"/>
  <c r="AR228" i="22"/>
  <c r="AR229" i="22"/>
  <c r="AR230" i="22"/>
  <c r="AR231" i="22"/>
  <c r="AR232" i="22"/>
  <c r="AR233" i="22"/>
  <c r="AR234" i="22"/>
  <c r="AR235" i="22"/>
  <c r="AR236" i="22"/>
  <c r="AR237" i="22"/>
  <c r="AR238" i="22"/>
  <c r="AR239" i="22"/>
  <c r="AR240" i="22"/>
  <c r="AR241" i="22"/>
  <c r="AR242" i="22"/>
  <c r="AR243" i="22"/>
  <c r="AR244" i="22"/>
  <c r="AR245" i="22"/>
  <c r="AR246" i="22"/>
  <c r="AR247" i="22"/>
  <c r="AR248" i="22"/>
  <c r="AR249" i="22"/>
  <c r="AR250" i="22"/>
  <c r="AR251" i="22"/>
  <c r="AR252" i="22"/>
  <c r="AR253" i="22"/>
  <c r="AR254" i="22"/>
  <c r="AR255" i="22"/>
  <c r="AR256" i="22"/>
  <c r="AR257" i="22"/>
  <c r="AR258" i="22"/>
  <c r="AR259" i="22"/>
  <c r="AR260" i="22"/>
  <c r="AR261" i="22"/>
  <c r="AR262" i="22"/>
  <c r="AR263" i="22"/>
  <c r="AR264" i="22"/>
  <c r="AR265" i="22"/>
  <c r="AR266" i="22"/>
  <c r="AR267" i="22"/>
  <c r="AR268" i="22"/>
  <c r="AR269" i="22"/>
  <c r="AR270" i="22"/>
  <c r="AR271" i="22"/>
  <c r="AR272" i="22"/>
  <c r="AR273" i="22"/>
  <c r="AR274" i="22"/>
  <c r="AR275" i="22"/>
  <c r="AR276" i="22"/>
  <c r="AR277" i="22"/>
  <c r="AR278" i="22"/>
  <c r="AR279" i="22"/>
  <c r="AR280" i="22"/>
  <c r="AR281" i="22"/>
  <c r="AR282" i="22"/>
  <c r="AR283" i="22"/>
  <c r="AR284" i="22"/>
  <c r="AR285" i="22"/>
  <c r="AR286" i="22"/>
  <c r="AR287" i="22"/>
  <c r="AR288" i="22"/>
  <c r="AR289" i="22"/>
  <c r="AR290" i="22"/>
  <c r="AR291" i="22"/>
  <c r="AR292" i="22"/>
  <c r="AR293" i="22"/>
  <c r="AR294" i="22"/>
  <c r="AR295" i="22"/>
  <c r="AR296" i="22"/>
  <c r="AR297" i="22"/>
  <c r="AR298" i="22"/>
  <c r="AR299" i="22"/>
  <c r="AR300" i="22"/>
  <c r="AR301" i="22"/>
  <c r="AR302" i="22"/>
  <c r="AR303" i="22"/>
  <c r="AR304" i="22"/>
  <c r="AR305" i="22"/>
  <c r="AR306" i="22"/>
  <c r="AR307" i="22"/>
  <c r="AR308" i="22"/>
  <c r="AR309" i="22"/>
  <c r="AR310" i="22"/>
  <c r="AR311" i="22"/>
  <c r="AR312" i="22"/>
  <c r="AR313" i="22"/>
  <c r="AR314" i="22"/>
  <c r="AR315" i="22"/>
  <c r="AR316" i="22"/>
  <c r="AR317" i="22"/>
  <c r="AR318" i="22"/>
  <c r="AR319" i="22"/>
  <c r="AR320" i="22"/>
  <c r="AR321" i="22"/>
  <c r="AR322" i="22"/>
  <c r="AR323" i="22"/>
  <c r="AR324" i="22"/>
  <c r="AR325" i="22"/>
  <c r="AR326" i="22"/>
  <c r="AR327" i="22"/>
  <c r="AR328" i="22"/>
  <c r="AR329" i="22"/>
  <c r="AR330" i="22"/>
  <c r="AR331" i="22"/>
  <c r="AR332" i="22"/>
  <c r="AR333" i="22"/>
  <c r="AR334" i="22"/>
  <c r="AR335" i="22"/>
  <c r="AR336" i="22"/>
  <c r="AR337" i="22"/>
  <c r="AR338" i="22"/>
  <c r="AR339" i="22"/>
  <c r="AR340" i="22"/>
  <c r="AR341" i="22"/>
  <c r="AR342" i="22"/>
  <c r="AR343" i="22"/>
  <c r="AR344" i="22"/>
  <c r="AR345" i="22"/>
  <c r="AR346" i="22"/>
  <c r="AR347" i="22"/>
  <c r="AR348" i="22"/>
  <c r="AR349" i="22"/>
  <c r="AR350" i="22"/>
  <c r="AR351" i="22"/>
  <c r="AR352" i="22"/>
  <c r="AR353" i="22"/>
  <c r="AR354" i="22"/>
  <c r="AR355" i="22"/>
  <c r="AR356" i="22"/>
  <c r="AR357" i="22"/>
  <c r="AR358" i="22"/>
  <c r="AR359" i="22"/>
  <c r="AR360" i="22"/>
  <c r="AR361" i="22"/>
  <c r="AR362" i="22"/>
  <c r="AR363" i="22"/>
  <c r="AR364" i="22"/>
  <c r="AR365" i="22"/>
  <c r="AR366" i="22"/>
  <c r="AR367" i="22"/>
  <c r="AR368" i="22"/>
  <c r="AR369" i="22"/>
  <c r="AR370" i="22"/>
  <c r="AR371" i="22"/>
  <c r="AR372" i="22"/>
  <c r="AR373" i="22"/>
  <c r="AR374" i="22"/>
  <c r="AR375" i="22"/>
  <c r="AR376" i="22"/>
  <c r="AR377" i="22"/>
  <c r="AR378" i="22"/>
  <c r="AR379" i="22"/>
  <c r="AR380" i="22"/>
  <c r="AR381" i="22"/>
  <c r="AR382" i="22"/>
  <c r="AR383" i="22"/>
  <c r="AR384" i="22"/>
  <c r="AR385" i="22"/>
  <c r="AR386" i="22"/>
  <c r="AR387" i="22"/>
  <c r="AR388" i="22"/>
  <c r="AR389" i="22"/>
  <c r="AR390" i="22"/>
  <c r="AR391" i="22"/>
  <c r="AR392" i="22"/>
  <c r="AR393" i="22"/>
  <c r="AR394" i="22"/>
  <c r="AR395" i="22"/>
  <c r="AR396" i="22"/>
  <c r="AR397" i="22"/>
  <c r="AR398" i="22"/>
  <c r="AR399" i="22"/>
  <c r="AR400" i="22"/>
  <c r="AR401" i="22"/>
  <c r="O51" i="15"/>
  <c r="O50" i="15"/>
  <c r="O49" i="15"/>
  <c r="O48" i="15"/>
  <c r="O47" i="15"/>
  <c r="Z30" i="1" l="1"/>
  <c r="Z1" i="1"/>
  <c r="Z2" i="1"/>
  <c r="Z31" i="1"/>
  <c r="AA9" i="1"/>
  <c r="Z27" i="1"/>
  <c r="Z38" i="1" s="1"/>
  <c r="Z49" i="1" s="1"/>
  <c r="Z82" i="1" s="1"/>
  <c r="Z86" i="1" s="1"/>
  <c r="D29" i="46"/>
  <c r="C30" i="46"/>
  <c r="E30" i="46" s="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M6" i="11"/>
  <c r="S3" i="38" s="1"/>
  <c r="N6" i="11"/>
  <c r="U3" i="38" s="1"/>
  <c r="O6" i="11"/>
  <c r="W3" i="38" s="1"/>
  <c r="P6" i="11"/>
  <c r="Z3" i="38" s="1"/>
  <c r="Q6" i="11"/>
  <c r="T3" i="38" s="1"/>
  <c r="R6" i="11"/>
  <c r="AB3" i="38" s="1"/>
  <c r="S6" i="11"/>
  <c r="AC3" i="38" s="1"/>
  <c r="T6" i="11"/>
  <c r="AD3" i="38" s="1"/>
  <c r="U6" i="11"/>
  <c r="AE3" i="38" s="1"/>
  <c r="V6" i="11"/>
  <c r="AF3" i="38" s="1"/>
  <c r="W6" i="11"/>
  <c r="AG3" i="38" s="1"/>
  <c r="X6" i="11"/>
  <c r="P3" i="38" s="1"/>
  <c r="Y6" i="11"/>
  <c r="R3" i="38" s="1"/>
  <c r="Z6" i="11"/>
  <c r="V3" i="38" s="1"/>
  <c r="AA6" i="11"/>
  <c r="Y3" i="38" s="1"/>
  <c r="AB6" i="11"/>
  <c r="AA3" i="38" s="1"/>
  <c r="AC6" i="11"/>
  <c r="AH3" i="38" s="1"/>
  <c r="AD6" i="11"/>
  <c r="AE6" i="11"/>
  <c r="AJ3" i="38" s="1"/>
  <c r="AF6" i="11"/>
  <c r="AK3" i="38" s="1"/>
  <c r="AG6" i="11"/>
  <c r="AL3" i="38" s="1"/>
  <c r="AH6" i="11"/>
  <c r="AM3" i="38" s="1"/>
  <c r="AI6" i="11"/>
  <c r="AN3" i="38" s="1"/>
  <c r="AJ6" i="11"/>
  <c r="AO3" i="38" s="1"/>
  <c r="AK6" i="11"/>
  <c r="AP3" i="38" s="1"/>
  <c r="AL6" i="11"/>
  <c r="AR3" i="38" s="1"/>
  <c r="AM6" i="11"/>
  <c r="AT3" i="38" s="1"/>
  <c r="AN6" i="11"/>
  <c r="AU3" i="38" s="1"/>
  <c r="AO6" i="11"/>
  <c r="AV3" i="38" s="1"/>
  <c r="AP6" i="11"/>
  <c r="AS3" i="38" s="1"/>
  <c r="AQ6" i="11"/>
  <c r="AW3" i="38" s="1"/>
  <c r="AR6" i="11"/>
  <c r="X3" i="38" s="1"/>
  <c r="L6" i="11"/>
  <c r="Q13" i="11"/>
  <c r="R13" i="11"/>
  <c r="AA13" i="11"/>
  <c r="AD13" i="11"/>
  <c r="AL13" i="11"/>
  <c r="S14" i="11"/>
  <c r="S34" i="11" s="1"/>
  <c r="AD14" i="11"/>
  <c r="AD34" i="11" s="1"/>
  <c r="AK14" i="11"/>
  <c r="P15" i="11"/>
  <c r="P35" i="11" s="1"/>
  <c r="AB15" i="11"/>
  <c r="AB35" i="11" s="1"/>
  <c r="AD15" i="11"/>
  <c r="AD35" i="11" s="1"/>
  <c r="AN15" i="11"/>
  <c r="AN35" i="11" s="1"/>
  <c r="J15" i="11"/>
  <c r="S16" i="11"/>
  <c r="S36" i="11" s="1"/>
  <c r="V16" i="11"/>
  <c r="V36" i="11" s="1"/>
  <c r="Y16" i="11"/>
  <c r="AD16" i="11"/>
  <c r="AE16" i="11"/>
  <c r="AE36" i="11" s="1"/>
  <c r="AH16" i="11"/>
  <c r="AH36" i="11" s="1"/>
  <c r="U17" i="11"/>
  <c r="U37" i="11" s="1"/>
  <c r="V17" i="11"/>
  <c r="X17" i="11"/>
  <c r="AD17" i="11"/>
  <c r="AD37" i="11" s="1"/>
  <c r="AF17" i="11"/>
  <c r="AG17" i="11"/>
  <c r="AG37" i="11" s="1"/>
  <c r="J17" i="11"/>
  <c r="AR17" i="11"/>
  <c r="V18" i="11"/>
  <c r="V38" i="11" s="1"/>
  <c r="W18" i="11"/>
  <c r="W38" i="11" s="1"/>
  <c r="AD18" i="11"/>
  <c r="AH18" i="11"/>
  <c r="AH38" i="11" s="1"/>
  <c r="AI18" i="11"/>
  <c r="AB9" i="1" l="1"/>
  <c r="AA30" i="1"/>
  <c r="AA31" i="1"/>
  <c r="AA2" i="1"/>
  <c r="AA1" i="1"/>
  <c r="AA27" i="1"/>
  <c r="D30" i="46"/>
  <c r="C31" i="46"/>
  <c r="E31" i="46" s="1"/>
  <c r="G42" i="11"/>
  <c r="G37" i="11"/>
  <c r="G35" i="11"/>
  <c r="G34" i="11"/>
  <c r="G43" i="11"/>
  <c r="G45" i="11"/>
  <c r="G44" i="11"/>
  <c r="Q3" i="38"/>
  <c r="G40" i="11"/>
  <c r="G39" i="11"/>
  <c r="AL45" i="11"/>
  <c r="AL39" i="11"/>
  <c r="AD45" i="11"/>
  <c r="AD39" i="11"/>
  <c r="AA45" i="11"/>
  <c r="AA39" i="11"/>
  <c r="R45" i="11"/>
  <c r="R39" i="11"/>
  <c r="Q45" i="11"/>
  <c r="Q39" i="11"/>
  <c r="AF18" i="11"/>
  <c r="AF38" i="11" s="1"/>
  <c r="J18" i="11"/>
  <c r="S18" i="11"/>
  <c r="Y14" i="11"/>
  <c r="Y34" i="11" s="1"/>
  <c r="U13" i="11"/>
  <c r="AP13" i="11"/>
  <c r="N15" i="11"/>
  <c r="N22" i="11" s="1"/>
  <c r="Z15" i="11"/>
  <c r="Z35" i="11" s="1"/>
  <c r="AB16" i="11"/>
  <c r="AB36" i="11" s="1"/>
  <c r="Y15" i="11"/>
  <c r="Y22" i="11" s="1"/>
  <c r="AC16" i="11"/>
  <c r="AC23" i="11" s="1"/>
  <c r="AK15" i="11"/>
  <c r="AK35" i="11" s="1"/>
  <c r="T18" i="11"/>
  <c r="T25" i="11" s="1"/>
  <c r="AC17" i="11"/>
  <c r="AC37" i="11" s="1"/>
  <c r="Q17" i="11"/>
  <c r="Q37" i="11" s="1"/>
  <c r="AL16" i="11"/>
  <c r="AL36" i="11" s="1"/>
  <c r="AR14" i="11"/>
  <c r="AR34" i="11" s="1"/>
  <c r="AR18" i="11"/>
  <c r="AR25" i="11" s="1"/>
  <c r="AO17" i="11"/>
  <c r="AO37" i="11" s="1"/>
  <c r="AE18" i="11"/>
  <c r="AE25" i="11" s="1"/>
  <c r="AN17" i="11"/>
  <c r="AN37" i="11" s="1"/>
  <c r="J14" i="11"/>
  <c r="AI13" i="11"/>
  <c r="W13" i="11"/>
  <c r="AH13" i="11"/>
  <c r="AH20" i="11" s="1"/>
  <c r="AA14" i="11"/>
  <c r="AA34" i="11" s="1"/>
  <c r="O14" i="11"/>
  <c r="Q15" i="11"/>
  <c r="AL14" i="11"/>
  <c r="AL34" i="11" s="1"/>
  <c r="T13" i="11"/>
  <c r="AE13" i="11"/>
  <c r="AE40" i="11" s="1"/>
  <c r="AP16" i="11"/>
  <c r="M15" i="11"/>
  <c r="M22" i="11" s="1"/>
  <c r="AG14" i="11"/>
  <c r="AG21" i="11" s="1"/>
  <c r="Y13" i="11"/>
  <c r="M13" i="11"/>
  <c r="AN18" i="11"/>
  <c r="AN38" i="11" s="1"/>
  <c r="Y17" i="11"/>
  <c r="Y37" i="11" s="1"/>
  <c r="M17" i="11"/>
  <c r="M37" i="11" s="1"/>
  <c r="V13" i="11"/>
  <c r="L17" i="11"/>
  <c r="L37" i="11" s="1"/>
  <c r="AG13" i="11"/>
  <c r="AK17" i="11"/>
  <c r="AK37" i="11" s="1"/>
  <c r="Z14" i="11"/>
  <c r="Z34" i="11" s="1"/>
  <c r="N14" i="11"/>
  <c r="N34" i="11" s="1"/>
  <c r="AR13" i="11"/>
  <c r="M14" i="11"/>
  <c r="R16" i="11"/>
  <c r="R29" i="11" s="1"/>
  <c r="AM15" i="11"/>
  <c r="AM35" i="11" s="1"/>
  <c r="AA15" i="11"/>
  <c r="AA35" i="11" s="1"/>
  <c r="O15" i="11"/>
  <c r="O35" i="11" s="1"/>
  <c r="T17" i="11"/>
  <c r="T37" i="11" s="1"/>
  <c r="AO16" i="11"/>
  <c r="AO23" i="11" s="1"/>
  <c r="Q16" i="11"/>
  <c r="Q23" i="11" s="1"/>
  <c r="AL15" i="11"/>
  <c r="AL28" i="11" s="1"/>
  <c r="AI14" i="11"/>
  <c r="AI34" i="11" s="1"/>
  <c r="W14" i="11"/>
  <c r="W21" i="11" s="1"/>
  <c r="AO13" i="11"/>
  <c r="AH14" i="11"/>
  <c r="AH21" i="11" s="1"/>
  <c r="V14" i="11"/>
  <c r="V21" i="11" s="1"/>
  <c r="AN13" i="11"/>
  <c r="AN20" i="11" s="1"/>
  <c r="AA16" i="11"/>
  <c r="AA23" i="11" s="1"/>
  <c r="O16" i="11"/>
  <c r="O23" i="11" s="1"/>
  <c r="U14" i="11"/>
  <c r="O13" i="11"/>
  <c r="O20" i="11" s="1"/>
  <c r="Z16" i="11"/>
  <c r="Z36" i="11" s="1"/>
  <c r="AI15" i="11"/>
  <c r="AI35" i="11" s="1"/>
  <c r="W15" i="11"/>
  <c r="W35" i="11" s="1"/>
  <c r="Z13" i="11"/>
  <c r="AB17" i="11"/>
  <c r="AB37" i="11" s="1"/>
  <c r="P17" i="11"/>
  <c r="P37" i="11" s="1"/>
  <c r="AK16" i="11"/>
  <c r="AK36" i="11" s="1"/>
  <c r="M16" i="11"/>
  <c r="M23" i="11" s="1"/>
  <c r="AE14" i="11"/>
  <c r="AE34" i="11" s="1"/>
  <c r="AE15" i="11"/>
  <c r="AE35" i="11" s="1"/>
  <c r="S15" i="11"/>
  <c r="S35" i="11" s="1"/>
  <c r="AN14" i="11"/>
  <c r="AN34" i="11" s="1"/>
  <c r="AB14" i="11"/>
  <c r="AB34" i="11" s="1"/>
  <c r="P14" i="11"/>
  <c r="P34" i="11" s="1"/>
  <c r="T14" i="11"/>
  <c r="T34" i="11" s="1"/>
  <c r="AB18" i="11"/>
  <c r="AB38" i="11" s="1"/>
  <c r="AM18" i="11"/>
  <c r="AM25" i="11" s="1"/>
  <c r="O18" i="11"/>
  <c r="O25" i="11" s="1"/>
  <c r="U16" i="11"/>
  <c r="U36" i="11" s="1"/>
  <c r="AM14" i="11"/>
  <c r="AM21" i="11" s="1"/>
  <c r="AA18" i="11"/>
  <c r="AA38" i="11" s="1"/>
  <c r="AG16" i="11"/>
  <c r="AG36" i="11" s="1"/>
  <c r="AP15" i="11"/>
  <c r="AP35" i="11" s="1"/>
  <c r="R15" i="11"/>
  <c r="R35" i="11" s="1"/>
  <c r="AL18" i="11"/>
  <c r="AL25" i="11" s="1"/>
  <c r="Z18" i="11"/>
  <c r="Z38" i="11" s="1"/>
  <c r="N18" i="11"/>
  <c r="N25" i="11" s="1"/>
  <c r="AI17" i="11"/>
  <c r="AI37" i="11" s="1"/>
  <c r="W17" i="11"/>
  <c r="W24" i="11" s="1"/>
  <c r="AR16" i="11"/>
  <c r="AR23" i="11" s="1"/>
  <c r="AF16" i="11"/>
  <c r="AF36" i="11" s="1"/>
  <c r="AO15" i="11"/>
  <c r="AF13" i="11"/>
  <c r="AF14" i="11"/>
  <c r="AF34" i="11" s="1"/>
  <c r="AK18" i="11"/>
  <c r="AK25" i="11" s="1"/>
  <c r="M18" i="11"/>
  <c r="M25" i="11" s="1"/>
  <c r="AQ16" i="11"/>
  <c r="AQ36" i="11" s="1"/>
  <c r="AQ13" i="11"/>
  <c r="S13" i="11"/>
  <c r="P18" i="11"/>
  <c r="P38" i="11" s="1"/>
  <c r="Y18" i="11"/>
  <c r="Y38" i="11" s="1"/>
  <c r="AH17" i="11"/>
  <c r="AJ18" i="11"/>
  <c r="AJ25" i="11" s="1"/>
  <c r="X18" i="11"/>
  <c r="X38" i="11" s="1"/>
  <c r="L18" i="11"/>
  <c r="L38" i="11" s="1"/>
  <c r="AJ14" i="11"/>
  <c r="X14" i="11"/>
  <c r="X34" i="11" s="1"/>
  <c r="AE17" i="11"/>
  <c r="AE37" i="11" s="1"/>
  <c r="S17" i="11"/>
  <c r="S37" i="11" s="1"/>
  <c r="P16" i="11"/>
  <c r="P36" i="11" s="1"/>
  <c r="AB13" i="11"/>
  <c r="AG18" i="11"/>
  <c r="AG38" i="11" s="1"/>
  <c r="U18" i="11"/>
  <c r="U38" i="11" s="1"/>
  <c r="AP17" i="11"/>
  <c r="AP37" i="11" s="1"/>
  <c r="R17" i="11"/>
  <c r="R37" i="11" s="1"/>
  <c r="AM16" i="11"/>
  <c r="AM36" i="11" s="1"/>
  <c r="X15" i="11"/>
  <c r="X35" i="11" s="1"/>
  <c r="AM13" i="11"/>
  <c r="AH15" i="11"/>
  <c r="AH35" i="11" s="1"/>
  <c r="AK13" i="11"/>
  <c r="AM17" i="11"/>
  <c r="AA17" i="11"/>
  <c r="AA37" i="11" s="1"/>
  <c r="AJ16" i="11"/>
  <c r="AJ36" i="11" s="1"/>
  <c r="X16" i="11"/>
  <c r="X36" i="11" s="1"/>
  <c r="L16" i="11"/>
  <c r="L23" i="11" s="1"/>
  <c r="AG15" i="11"/>
  <c r="AG35" i="11" s="1"/>
  <c r="U15" i="11"/>
  <c r="U28" i="11" s="1"/>
  <c r="AP14" i="11"/>
  <c r="AP34" i="11" s="1"/>
  <c r="R14" i="11"/>
  <c r="R34" i="11" s="1"/>
  <c r="AJ13" i="11"/>
  <c r="AJ44" i="11" s="1"/>
  <c r="X13" i="11"/>
  <c r="V15" i="11"/>
  <c r="V35" i="11" s="1"/>
  <c r="AP18" i="11"/>
  <c r="AP25" i="11" s="1"/>
  <c r="R18" i="11"/>
  <c r="R38" i="11" s="1"/>
  <c r="O17" i="11"/>
  <c r="O24" i="11" s="1"/>
  <c r="AO18" i="11"/>
  <c r="AC18" i="11"/>
  <c r="AC38" i="11" s="1"/>
  <c r="Q18" i="11"/>
  <c r="Q38" i="11" s="1"/>
  <c r="AL17" i="11"/>
  <c r="AL37" i="11" s="1"/>
  <c r="Z17" i="11"/>
  <c r="Z37" i="11" s="1"/>
  <c r="N17" i="11"/>
  <c r="N37" i="11" s="1"/>
  <c r="AI16" i="11"/>
  <c r="AI36" i="11" s="1"/>
  <c r="W16" i="11"/>
  <c r="W36" i="11" s="1"/>
  <c r="AR15" i="11"/>
  <c r="AR35" i="11" s="1"/>
  <c r="AF15" i="11"/>
  <c r="AF35" i="11" s="1"/>
  <c r="T15" i="11"/>
  <c r="T22" i="11" s="1"/>
  <c r="AO14" i="11"/>
  <c r="AO34" i="11" s="1"/>
  <c r="AC14" i="11"/>
  <c r="AC34" i="11" s="1"/>
  <c r="Q14" i="11"/>
  <c r="Q34" i="11" s="1"/>
  <c r="I15" i="11"/>
  <c r="F16" i="11"/>
  <c r="AQ17" i="11"/>
  <c r="AQ37" i="11" s="1"/>
  <c r="AQ18" i="11"/>
  <c r="AQ38" i="11" s="1"/>
  <c r="I17" i="11"/>
  <c r="D16" i="11"/>
  <c r="D36" i="11" s="1"/>
  <c r="R66" i="15" s="1"/>
  <c r="R81" i="15" s="1"/>
  <c r="J13" i="11"/>
  <c r="D14" i="11"/>
  <c r="D34" i="11" s="1"/>
  <c r="R64" i="15" s="1"/>
  <c r="I13" i="11"/>
  <c r="AJ15" i="11"/>
  <c r="AJ35" i="11" s="1"/>
  <c r="AQ14" i="11"/>
  <c r="AQ34" i="11" s="1"/>
  <c r="H13" i="11"/>
  <c r="H17" i="11"/>
  <c r="I16" i="11"/>
  <c r="I23" i="11" s="1"/>
  <c r="N13" i="11"/>
  <c r="F15" i="11"/>
  <c r="D13" i="11"/>
  <c r="L13" i="11"/>
  <c r="AN16" i="11"/>
  <c r="AN36" i="11" s="1"/>
  <c r="N16" i="11"/>
  <c r="N23" i="11" s="1"/>
  <c r="H15" i="11"/>
  <c r="L15" i="11"/>
  <c r="L35" i="11" s="1"/>
  <c r="AK21" i="11"/>
  <c r="AK34" i="11"/>
  <c r="AD29" i="11"/>
  <c r="AD36" i="11"/>
  <c r="AR24" i="11"/>
  <c r="AR37" i="11"/>
  <c r="X42" i="11"/>
  <c r="O21" i="11"/>
  <c r="O34" i="11"/>
  <c r="S38" i="11"/>
  <c r="AJ34" i="11"/>
  <c r="R20" i="11"/>
  <c r="R42" i="11"/>
  <c r="R40" i="11"/>
  <c r="R44" i="11"/>
  <c r="R43" i="11"/>
  <c r="AI38" i="11"/>
  <c r="O36" i="11"/>
  <c r="AE42" i="11"/>
  <c r="AE44" i="11"/>
  <c r="AD20" i="11"/>
  <c r="AD42" i="11"/>
  <c r="AD40" i="11"/>
  <c r="AD43" i="11"/>
  <c r="AD44" i="11"/>
  <c r="AF24" i="11"/>
  <c r="AF37" i="11"/>
  <c r="Q20" i="11"/>
  <c r="Q44" i="11"/>
  <c r="Q43" i="11"/>
  <c r="Q42" i="11"/>
  <c r="Q40" i="11"/>
  <c r="AA44" i="11"/>
  <c r="AA43" i="11"/>
  <c r="AA40" i="11"/>
  <c r="AA42" i="11"/>
  <c r="Y23" i="11"/>
  <c r="Y36" i="11"/>
  <c r="V20" i="11"/>
  <c r="V40" i="11"/>
  <c r="V43" i="11"/>
  <c r="AL44" i="11"/>
  <c r="AL43" i="11"/>
  <c r="AL42" i="11"/>
  <c r="AL40" i="11"/>
  <c r="U21" i="11"/>
  <c r="U34" i="11"/>
  <c r="V30" i="11"/>
  <c r="V37" i="11"/>
  <c r="AD25" i="11"/>
  <c r="AD38" i="11"/>
  <c r="AL22" i="11"/>
  <c r="AL35" i="11"/>
  <c r="H52" i="11"/>
  <c r="H55" i="11"/>
  <c r="H58" i="11"/>
  <c r="H61" i="11"/>
  <c r="H64" i="11"/>
  <c r="I53" i="11"/>
  <c r="I59" i="11"/>
  <c r="J50" i="11"/>
  <c r="J62" i="11"/>
  <c r="I52" i="11"/>
  <c r="I55" i="11"/>
  <c r="I58" i="11"/>
  <c r="I61" i="11"/>
  <c r="I64" i="11"/>
  <c r="J49" i="11"/>
  <c r="J35" i="11" s="1"/>
  <c r="J53" i="11"/>
  <c r="J52" i="11"/>
  <c r="J37" i="11" s="1"/>
  <c r="J55" i="11"/>
  <c r="J58" i="11"/>
  <c r="J61" i="11"/>
  <c r="J64" i="11"/>
  <c r="H56" i="11"/>
  <c r="H62" i="11"/>
  <c r="I50" i="11"/>
  <c r="I62" i="11"/>
  <c r="J59" i="11"/>
  <c r="F49" i="11"/>
  <c r="F50" i="11"/>
  <c r="F53" i="11"/>
  <c r="F56" i="11"/>
  <c r="F59" i="11"/>
  <c r="F62" i="11"/>
  <c r="H49" i="11"/>
  <c r="H50" i="11"/>
  <c r="H53" i="11"/>
  <c r="H59" i="11"/>
  <c r="I49" i="11"/>
  <c r="I56" i="11"/>
  <c r="J56" i="11"/>
  <c r="J51" i="11"/>
  <c r="J54" i="11"/>
  <c r="J57" i="11"/>
  <c r="J60" i="11"/>
  <c r="J63" i="11"/>
  <c r="F52" i="11"/>
  <c r="F55" i="11"/>
  <c r="I54" i="11"/>
  <c r="F64" i="11"/>
  <c r="F51" i="11"/>
  <c r="F57" i="11"/>
  <c r="F58" i="11"/>
  <c r="H60" i="11"/>
  <c r="I60" i="11"/>
  <c r="H57" i="11"/>
  <c r="I57" i="11"/>
  <c r="F60" i="11"/>
  <c r="F61" i="11"/>
  <c r="F63" i="11"/>
  <c r="H63" i="11"/>
  <c r="F54" i="11"/>
  <c r="I63" i="11"/>
  <c r="H51" i="11"/>
  <c r="I51" i="11"/>
  <c r="H54" i="11"/>
  <c r="X24" i="11"/>
  <c r="X37" i="11"/>
  <c r="U20" i="11"/>
  <c r="U40" i="11"/>
  <c r="U43" i="11"/>
  <c r="U42" i="11"/>
  <c r="U44" i="11"/>
  <c r="Q28" i="11"/>
  <c r="Q35" i="11"/>
  <c r="AJ20" i="11"/>
  <c r="AJ43" i="11"/>
  <c r="W25" i="11"/>
  <c r="AA20" i="11"/>
  <c r="L24" i="11"/>
  <c r="M24" i="11"/>
  <c r="AH23" i="11"/>
  <c r="V23" i="11"/>
  <c r="V29" i="11"/>
  <c r="AE22" i="11"/>
  <c r="AE23" i="11"/>
  <c r="S23" i="11"/>
  <c r="AD22" i="11"/>
  <c r="AD28" i="11"/>
  <c r="AG24" i="11"/>
  <c r="U24" i="11"/>
  <c r="U30" i="11"/>
  <c r="AG23" i="11"/>
  <c r="D18" i="11"/>
  <c r="D38" i="11" s="1"/>
  <c r="R68" i="15" s="1"/>
  <c r="H18" i="11"/>
  <c r="D15" i="11"/>
  <c r="D35" i="11" s="1"/>
  <c r="R65" i="15" s="1"/>
  <c r="F13" i="11"/>
  <c r="AQ15" i="11"/>
  <c r="AQ35" i="11" s="1"/>
  <c r="F17" i="11"/>
  <c r="H16" i="11"/>
  <c r="J24" i="11"/>
  <c r="T16" i="11"/>
  <c r="T36" i="11" s="1"/>
  <c r="AC15" i="11"/>
  <c r="AC35" i="11" s="1"/>
  <c r="S25" i="11"/>
  <c r="V31" i="11"/>
  <c r="I18" i="11"/>
  <c r="D17" i="11"/>
  <c r="Q30" i="11"/>
  <c r="F18" i="11"/>
  <c r="V24" i="11"/>
  <c r="AJ17" i="11"/>
  <c r="P13" i="11"/>
  <c r="P39" i="11" s="1"/>
  <c r="L14" i="11"/>
  <c r="I14" i="11"/>
  <c r="AB22" i="11"/>
  <c r="AD30" i="11"/>
  <c r="O22" i="11"/>
  <c r="Y21" i="11"/>
  <c r="J16" i="11"/>
  <c r="AC13" i="11"/>
  <c r="AC39" i="11" s="1"/>
  <c r="F14" i="11"/>
  <c r="AD23" i="11"/>
  <c r="Q24" i="11"/>
  <c r="S21" i="11"/>
  <c r="Q22" i="11"/>
  <c r="AN22" i="11"/>
  <c r="P22" i="11"/>
  <c r="H14" i="11"/>
  <c r="AD27" i="11"/>
  <c r="V25" i="11"/>
  <c r="T24" i="11"/>
  <c r="AM28" i="11"/>
  <c r="AD24" i="11"/>
  <c r="AI25" i="11"/>
  <c r="AD21" i="11"/>
  <c r="AL29" i="11"/>
  <c r="AR21" i="11"/>
  <c r="AF21" i="11"/>
  <c r="X27" i="11"/>
  <c r="AH25" i="11"/>
  <c r="AL23" i="11"/>
  <c r="AL20" i="11"/>
  <c r="AD31" i="11"/>
  <c r="AA38" i="1" l="1"/>
  <c r="AA49" i="1" s="1"/>
  <c r="AA82" i="1" s="1"/>
  <c r="AA86" i="1" s="1"/>
  <c r="AB11" i="1"/>
  <c r="AB31" i="1"/>
  <c r="AC9" i="1"/>
  <c r="AB27" i="1"/>
  <c r="AB1" i="1"/>
  <c r="AB2" i="1"/>
  <c r="AB15" i="1"/>
  <c r="AB30" i="1"/>
  <c r="J216" i="38"/>
  <c r="L23" i="38"/>
  <c r="L197" i="38"/>
  <c r="M209" i="38"/>
  <c r="J103" i="38"/>
  <c r="J197" i="38"/>
  <c r="J22" i="38"/>
  <c r="D31" i="46"/>
  <c r="C32" i="46"/>
  <c r="E32" i="46" s="1"/>
  <c r="L22" i="38"/>
  <c r="L77" i="38"/>
  <c r="J78" i="38"/>
  <c r="L79" i="38"/>
  <c r="M156" i="38"/>
  <c r="M33" i="38"/>
  <c r="L27" i="38"/>
  <c r="L208" i="38"/>
  <c r="L205" i="38"/>
  <c r="N42" i="38"/>
  <c r="CM30" i="1" s="1"/>
  <c r="J89" i="38"/>
  <c r="K89" i="38" s="1"/>
  <c r="L230" i="38"/>
  <c r="J165" i="38"/>
  <c r="M99" i="38"/>
  <c r="M210" i="38"/>
  <c r="N103" i="38"/>
  <c r="CM53" i="1" s="1"/>
  <c r="M89" i="38"/>
  <c r="N191" i="38"/>
  <c r="CM69" i="1" s="1"/>
  <c r="M26" i="38"/>
  <c r="M151" i="38"/>
  <c r="K103" i="38"/>
  <c r="K22" i="38"/>
  <c r="K197" i="38"/>
  <c r="AN42" i="11"/>
  <c r="J186" i="38"/>
  <c r="J27" i="38"/>
  <c r="J191" i="38"/>
  <c r="N23" i="38"/>
  <c r="CM28" i="1" s="1"/>
  <c r="N26" i="38"/>
  <c r="CM27" i="1" s="1"/>
  <c r="AN31" i="11"/>
  <c r="J156" i="38"/>
  <c r="M183" i="38"/>
  <c r="N33" i="38"/>
  <c r="CM34" i="1" s="1"/>
  <c r="M112" i="38"/>
  <c r="M55" i="38"/>
  <c r="L210" i="38"/>
  <c r="N216" i="38"/>
  <c r="CM76" i="1" s="1"/>
  <c r="N112" i="38"/>
  <c r="CM54" i="1" s="1"/>
  <c r="M191" i="38"/>
  <c r="L165" i="38"/>
  <c r="N64" i="38"/>
  <c r="CM41" i="1" s="1"/>
  <c r="J202" i="38"/>
  <c r="N156" i="38"/>
  <c r="CM59" i="1" s="1"/>
  <c r="L202" i="38"/>
  <c r="M173" i="38"/>
  <c r="L89" i="38"/>
  <c r="J179" i="38"/>
  <c r="L103" i="38"/>
  <c r="K165" i="38"/>
  <c r="K216" i="38"/>
  <c r="N85" i="38"/>
  <c r="CM45" i="1" s="1"/>
  <c r="N124" i="38"/>
  <c r="M27" i="38"/>
  <c r="M134" i="38"/>
  <c r="N76" i="38"/>
  <c r="N205" i="38"/>
  <c r="CM72" i="1" s="1"/>
  <c r="J75" i="38"/>
  <c r="L173" i="38"/>
  <c r="L99" i="38"/>
  <c r="M230" i="38"/>
  <c r="N78" i="38"/>
  <c r="J32" i="38"/>
  <c r="L112" i="38"/>
  <c r="M179" i="38"/>
  <c r="N79" i="38"/>
  <c r="N55" i="38"/>
  <c r="CM36" i="1" s="1"/>
  <c r="N179" i="38"/>
  <c r="CM66" i="1" s="1"/>
  <c r="L33" i="38"/>
  <c r="L42" i="38"/>
  <c r="L75" i="38"/>
  <c r="N99" i="38"/>
  <c r="CM52" i="1" s="1"/>
  <c r="J31" i="38"/>
  <c r="J55" i="38"/>
  <c r="J205" i="38"/>
  <c r="J124" i="38"/>
  <c r="M32" i="38"/>
  <c r="L209" i="38"/>
  <c r="L85" i="38"/>
  <c r="J209" i="38"/>
  <c r="J42" i="38"/>
  <c r="M22" i="38"/>
  <c r="N197" i="38"/>
  <c r="CM70" i="1" s="1"/>
  <c r="J208" i="38"/>
  <c r="K78" i="38"/>
  <c r="J64" i="38"/>
  <c r="L32" i="38"/>
  <c r="L179" i="38"/>
  <c r="N165" i="38"/>
  <c r="M85" i="38"/>
  <c r="N208" i="38"/>
  <c r="CM73" i="1" s="1"/>
  <c r="N209" i="38"/>
  <c r="CM74" i="1" s="1"/>
  <c r="N77" i="38"/>
  <c r="CM43" i="1" s="1"/>
  <c r="J77" i="38"/>
  <c r="J26" i="38"/>
  <c r="M31" i="38"/>
  <c r="N32" i="38"/>
  <c r="CM33" i="1" s="1"/>
  <c r="N202" i="38"/>
  <c r="CM71" i="1" s="1"/>
  <c r="J151" i="38"/>
  <c r="M197" i="38"/>
  <c r="L64" i="38"/>
  <c r="M186" i="38"/>
  <c r="L88" i="38"/>
  <c r="M76" i="38"/>
  <c r="M202" i="38"/>
  <c r="M23" i="38"/>
  <c r="L151" i="38"/>
  <c r="G36" i="11"/>
  <c r="G38" i="11"/>
  <c r="J34" i="38"/>
  <c r="M42" i="38"/>
  <c r="M78" i="38"/>
  <c r="O43" i="11"/>
  <c r="N89" i="38"/>
  <c r="L124" i="38"/>
  <c r="N34" i="38"/>
  <c r="CM35" i="1" s="1"/>
  <c r="L76" i="38"/>
  <c r="N134" i="38"/>
  <c r="CM56" i="1" s="1"/>
  <c r="M142" i="38"/>
  <c r="L34" i="38"/>
  <c r="L26" i="38"/>
  <c r="L55" i="38"/>
  <c r="L156" i="38"/>
  <c r="L186" i="38"/>
  <c r="J79" i="38"/>
  <c r="K79" i="38" s="1"/>
  <c r="N186" i="38"/>
  <c r="CM68" i="1" s="1"/>
  <c r="N75" i="38"/>
  <c r="CM42" i="1" s="1"/>
  <c r="N173" i="38"/>
  <c r="CM65" i="1" s="1"/>
  <c r="N210" i="38"/>
  <c r="J210" i="38"/>
  <c r="M103" i="38"/>
  <c r="J76" i="38"/>
  <c r="K76" i="38" s="1"/>
  <c r="M64" i="38"/>
  <c r="M34" i="38"/>
  <c r="L134" i="38"/>
  <c r="AH29" i="11"/>
  <c r="N142" i="38"/>
  <c r="CM55" i="1" s="1"/>
  <c r="M165" i="38"/>
  <c r="L31" i="38"/>
  <c r="M75" i="38"/>
  <c r="J142" i="38"/>
  <c r="M79" i="38"/>
  <c r="L183" i="38"/>
  <c r="L191" i="38"/>
  <c r="J230" i="38"/>
  <c r="J23" i="38"/>
  <c r="AE43" i="11"/>
  <c r="M124" i="38"/>
  <c r="J112" i="38"/>
  <c r="M216" i="38"/>
  <c r="J88" i="38"/>
  <c r="K88" i="38" s="1"/>
  <c r="M77" i="38"/>
  <c r="M88" i="38"/>
  <c r="AR38" i="11"/>
  <c r="N151" i="38"/>
  <c r="CM58" i="1" s="1"/>
  <c r="N35" i="11"/>
  <c r="J134" i="38"/>
  <c r="M208" i="38"/>
  <c r="N22" i="38"/>
  <c r="CM31" i="1" s="1"/>
  <c r="Q29" i="11"/>
  <c r="O28" i="11"/>
  <c r="S22" i="11"/>
  <c r="L78" i="38"/>
  <c r="L142" i="38"/>
  <c r="N27" i="38"/>
  <c r="CM32" i="1" s="1"/>
  <c r="M205" i="38"/>
  <c r="N31" i="38"/>
  <c r="CM29" i="1" s="1"/>
  <c r="J99" i="38"/>
  <c r="J33" i="38"/>
  <c r="L216" i="38"/>
  <c r="N88" i="38"/>
  <c r="J183" i="38"/>
  <c r="J85" i="38"/>
  <c r="N183" i="38"/>
  <c r="CM67" i="1" s="1"/>
  <c r="J173" i="38"/>
  <c r="N230" i="38"/>
  <c r="CM78" i="1" s="1"/>
  <c r="H39" i="11"/>
  <c r="N45" i="11"/>
  <c r="N39" i="11"/>
  <c r="AN45" i="11"/>
  <c r="AN39" i="11"/>
  <c r="M45" i="11"/>
  <c r="M39" i="11"/>
  <c r="AH30" i="11"/>
  <c r="Y45" i="11"/>
  <c r="Y39" i="11"/>
  <c r="Z45" i="11"/>
  <c r="Z39" i="11"/>
  <c r="AA22" i="11"/>
  <c r="AB45" i="11"/>
  <c r="AB39" i="11"/>
  <c r="AM22" i="11"/>
  <c r="AE38" i="11"/>
  <c r="AQ45" i="11"/>
  <c r="AQ39" i="11"/>
  <c r="AE45" i="11"/>
  <c r="AE39" i="11"/>
  <c r="AF25" i="11"/>
  <c r="AE20" i="11"/>
  <c r="AG45" i="11"/>
  <c r="AG39" i="11"/>
  <c r="AP45" i="11"/>
  <c r="AP39" i="11"/>
  <c r="AG40" i="11"/>
  <c r="T38" i="11"/>
  <c r="J31" i="11"/>
  <c r="AK45" i="11"/>
  <c r="AK39" i="11"/>
  <c r="O45" i="11"/>
  <c r="O39" i="11"/>
  <c r="U45" i="11"/>
  <c r="U39" i="11"/>
  <c r="AH45" i="11"/>
  <c r="AH39" i="11"/>
  <c r="W45" i="11"/>
  <c r="W39" i="11"/>
  <c r="AI45" i="11"/>
  <c r="AI39" i="11"/>
  <c r="AN28" i="11"/>
  <c r="AO45" i="11"/>
  <c r="AO39" i="11"/>
  <c r="S45" i="11"/>
  <c r="S39" i="11"/>
  <c r="Y24" i="11"/>
  <c r="AH43" i="11"/>
  <c r="AH31" i="11"/>
  <c r="AH40" i="11"/>
  <c r="T45" i="11"/>
  <c r="T39" i="11"/>
  <c r="AA29" i="11"/>
  <c r="AC24" i="11"/>
  <c r="L45" i="11"/>
  <c r="L39" i="11"/>
  <c r="X45" i="11"/>
  <c r="X39" i="11"/>
  <c r="V45" i="11"/>
  <c r="V39" i="11"/>
  <c r="AF45" i="11"/>
  <c r="AF39" i="11"/>
  <c r="M36" i="11"/>
  <c r="AE27" i="11"/>
  <c r="F39" i="11"/>
  <c r="Q69" i="15" s="1"/>
  <c r="Q84" i="15" s="1"/>
  <c r="AR45" i="11"/>
  <c r="AR39" i="11"/>
  <c r="AN25" i="11"/>
  <c r="I39" i="11"/>
  <c r="AH28" i="11"/>
  <c r="AA36" i="11"/>
  <c r="AI22" i="11"/>
  <c r="AE21" i="11"/>
  <c r="J39" i="11"/>
  <c r="AN40" i="11"/>
  <c r="D40" i="11"/>
  <c r="D39" i="11"/>
  <c r="R69" i="15" s="1"/>
  <c r="AJ45" i="11"/>
  <c r="AJ39" i="11"/>
  <c r="AM45" i="11"/>
  <c r="AM39" i="11"/>
  <c r="AB23" i="11"/>
  <c r="AK24" i="11"/>
  <c r="AO24" i="11"/>
  <c r="U27" i="11"/>
  <c r="AQ25" i="11"/>
  <c r="AE29" i="11"/>
  <c r="AL21" i="11"/>
  <c r="O42" i="11"/>
  <c r="AA24" i="11"/>
  <c r="T43" i="11"/>
  <c r="AA27" i="11"/>
  <c r="T28" i="11"/>
  <c r="O30" i="11"/>
  <c r="AE30" i="11"/>
  <c r="P21" i="11"/>
  <c r="AA28" i="11"/>
  <c r="AJ27" i="11"/>
  <c r="Z25" i="11"/>
  <c r="AA21" i="11"/>
  <c r="Z22" i="11"/>
  <c r="AE28" i="11"/>
  <c r="AI23" i="11"/>
  <c r="AM43" i="11"/>
  <c r="AK42" i="11"/>
  <c r="AM44" i="11"/>
  <c r="X20" i="11"/>
  <c r="AM40" i="11"/>
  <c r="AM42" i="11"/>
  <c r="AM20" i="11"/>
  <c r="AJ42" i="11"/>
  <c r="W23" i="11"/>
  <c r="AJ21" i="11"/>
  <c r="AJ40" i="11"/>
  <c r="AE24" i="11"/>
  <c r="R28" i="11"/>
  <c r="X21" i="11"/>
  <c r="AP43" i="11"/>
  <c r="AP22" i="11"/>
  <c r="AP38" i="11"/>
  <c r="AN44" i="11"/>
  <c r="Y35" i="11"/>
  <c r="W34" i="11"/>
  <c r="AN43" i="11"/>
  <c r="AN27" i="11"/>
  <c r="Z24" i="11"/>
  <c r="AH42" i="11"/>
  <c r="AM23" i="11"/>
  <c r="AH44" i="11"/>
  <c r="Y27" i="11"/>
  <c r="Z23" i="11"/>
  <c r="AP31" i="11"/>
  <c r="T30" i="11"/>
  <c r="AK20" i="11"/>
  <c r="AG29" i="11"/>
  <c r="Y42" i="11"/>
  <c r="AK31" i="11"/>
  <c r="V22" i="11"/>
  <c r="AB27" i="11"/>
  <c r="AP40" i="11"/>
  <c r="AO36" i="11"/>
  <c r="AP29" i="11"/>
  <c r="AP28" i="11"/>
  <c r="AQ29" i="11"/>
  <c r="AF22" i="11"/>
  <c r="AH22" i="11"/>
  <c r="O29" i="11"/>
  <c r="AN21" i="11"/>
  <c r="AP44" i="11"/>
  <c r="T44" i="11"/>
  <c r="AG30" i="11"/>
  <c r="AP42" i="11"/>
  <c r="T31" i="11"/>
  <c r="T42" i="11"/>
  <c r="AP20" i="11"/>
  <c r="AG43" i="11"/>
  <c r="S24" i="11"/>
  <c r="AL31" i="11"/>
  <c r="X30" i="11"/>
  <c r="AL27" i="11"/>
  <c r="T40" i="11"/>
  <c r="AG44" i="11"/>
  <c r="V44" i="11"/>
  <c r="AB21" i="11"/>
  <c r="AG42" i="11"/>
  <c r="AP27" i="11"/>
  <c r="AK27" i="11"/>
  <c r="T20" i="11"/>
  <c r="AG20" i="11"/>
  <c r="R22" i="11"/>
  <c r="AK40" i="11"/>
  <c r="V42" i="11"/>
  <c r="AK38" i="11"/>
  <c r="AI29" i="11"/>
  <c r="Y29" i="11"/>
  <c r="AI42" i="11"/>
  <c r="AI28" i="11"/>
  <c r="AI20" i="11"/>
  <c r="AR36" i="11"/>
  <c r="Y28" i="11"/>
  <c r="AC36" i="11"/>
  <c r="W27" i="11"/>
  <c r="AE31" i="11"/>
  <c r="AR22" i="11"/>
  <c r="AQ42" i="11"/>
  <c r="P23" i="11"/>
  <c r="V28" i="11"/>
  <c r="AQ20" i="11"/>
  <c r="M27" i="11"/>
  <c r="M31" i="11"/>
  <c r="Q25" i="11"/>
  <c r="M40" i="11"/>
  <c r="W22" i="11"/>
  <c r="S40" i="11"/>
  <c r="M44" i="11"/>
  <c r="W42" i="11"/>
  <c r="Q31" i="11"/>
  <c r="Z43" i="11"/>
  <c r="M30" i="11"/>
  <c r="AO31" i="11"/>
  <c r="AK22" i="11"/>
  <c r="T21" i="11"/>
  <c r="I35" i="11"/>
  <c r="M20" i="11"/>
  <c r="W43" i="11"/>
  <c r="Z44" i="11"/>
  <c r="AK28" i="11"/>
  <c r="M42" i="11"/>
  <c r="AP23" i="11"/>
  <c r="Y30" i="11"/>
  <c r="Y20" i="11"/>
  <c r="W31" i="11"/>
  <c r="Y44" i="11"/>
  <c r="W44" i="11"/>
  <c r="W29" i="11"/>
  <c r="J34" i="11"/>
  <c r="W40" i="11"/>
  <c r="M35" i="11"/>
  <c r="M28" i="11"/>
  <c r="Y40" i="11"/>
  <c r="AI43" i="11"/>
  <c r="AN24" i="11"/>
  <c r="P24" i="11"/>
  <c r="AN30" i="11"/>
  <c r="Y43" i="11"/>
  <c r="AI44" i="11"/>
  <c r="AI31" i="11"/>
  <c r="V34" i="11"/>
  <c r="M43" i="11"/>
  <c r="M29" i="11"/>
  <c r="W20" i="11"/>
  <c r="Z21" i="11"/>
  <c r="AI40" i="11"/>
  <c r="AJ29" i="11"/>
  <c r="Z29" i="11"/>
  <c r="AO43" i="11"/>
  <c r="AO25" i="11"/>
  <c r="Z31" i="11"/>
  <c r="AO21" i="11"/>
  <c r="O37" i="11"/>
  <c r="AB40" i="11"/>
  <c r="AR30" i="11"/>
  <c r="AI27" i="11"/>
  <c r="AB28" i="11"/>
  <c r="N38" i="11"/>
  <c r="X23" i="11"/>
  <c r="AP36" i="11"/>
  <c r="AB42" i="11"/>
  <c r="AM31" i="11"/>
  <c r="AC21" i="11"/>
  <c r="AI21" i="11"/>
  <c r="AB44" i="11"/>
  <c r="S27" i="11"/>
  <c r="AI24" i="11"/>
  <c r="AG27" i="11"/>
  <c r="Z28" i="11"/>
  <c r="AO38" i="11"/>
  <c r="AR31" i="11"/>
  <c r="AI30" i="11"/>
  <c r="AB31" i="11"/>
  <c r="P25" i="11"/>
  <c r="S29" i="11"/>
  <c r="S44" i="11"/>
  <c r="S28" i="11"/>
  <c r="AB29" i="11"/>
  <c r="W28" i="11"/>
  <c r="S43" i="11"/>
  <c r="AG34" i="11"/>
  <c r="S31" i="11"/>
  <c r="AO29" i="11"/>
  <c r="Z27" i="11"/>
  <c r="AJ23" i="11"/>
  <c r="AG25" i="11"/>
  <c r="T27" i="11"/>
  <c r="S42" i="11"/>
  <c r="Z42" i="11"/>
  <c r="U31" i="11"/>
  <c r="AQ40" i="11"/>
  <c r="X44" i="11"/>
  <c r="Q21" i="11"/>
  <c r="AM30" i="11"/>
  <c r="Q27" i="11"/>
  <c r="R25" i="11"/>
  <c r="R31" i="11"/>
  <c r="U25" i="11"/>
  <c r="T35" i="11"/>
  <c r="AQ44" i="11"/>
  <c r="X40" i="11"/>
  <c r="AA30" i="11"/>
  <c r="AQ43" i="11"/>
  <c r="X43" i="11"/>
  <c r="L36" i="11"/>
  <c r="X29" i="11"/>
  <c r="AB24" i="11"/>
  <c r="S30" i="11"/>
  <c r="Z20" i="11"/>
  <c r="AQ23" i="11"/>
  <c r="AL30" i="11"/>
  <c r="AR44" i="11"/>
  <c r="W30" i="11"/>
  <c r="AO42" i="11"/>
  <c r="U22" i="11"/>
  <c r="AP30" i="11"/>
  <c r="U35" i="11"/>
  <c r="AB25" i="11"/>
  <c r="AJ31" i="11"/>
  <c r="O31" i="11"/>
  <c r="AH24" i="11"/>
  <c r="AC25" i="11"/>
  <c r="AR42" i="11"/>
  <c r="AO40" i="11"/>
  <c r="O40" i="11"/>
  <c r="V27" i="11"/>
  <c r="AO44" i="11"/>
  <c r="AR43" i="11"/>
  <c r="AO20" i="11"/>
  <c r="AL24" i="11"/>
  <c r="O38" i="11"/>
  <c r="W37" i="11"/>
  <c r="Y31" i="11"/>
  <c r="AG22" i="11"/>
  <c r="AR40" i="11"/>
  <c r="AR27" i="11"/>
  <c r="R23" i="11"/>
  <c r="M21" i="11"/>
  <c r="U29" i="11"/>
  <c r="AR20" i="11"/>
  <c r="AM37" i="11"/>
  <c r="AM38" i="11"/>
  <c r="Q36" i="11"/>
  <c r="O44" i="11"/>
  <c r="AH37" i="11"/>
  <c r="AR28" i="11"/>
  <c r="Y25" i="11"/>
  <c r="AK23" i="11"/>
  <c r="AK29" i="11"/>
  <c r="AR29" i="11"/>
  <c r="AG28" i="11"/>
  <c r="AG31" i="11"/>
  <c r="AM24" i="11"/>
  <c r="U23" i="11"/>
  <c r="AK30" i="11"/>
  <c r="AL38" i="11"/>
  <c r="O27" i="11"/>
  <c r="R36" i="11"/>
  <c r="AH27" i="11"/>
  <c r="AB30" i="11"/>
  <c r="AK43" i="11"/>
  <c r="AH34" i="11"/>
  <c r="M34" i="11"/>
  <c r="M38" i="11"/>
  <c r="I22" i="11"/>
  <c r="AP24" i="11"/>
  <c r="AO30" i="11"/>
  <c r="N21" i="11"/>
  <c r="AK44" i="11"/>
  <c r="F35" i="11"/>
  <c r="Q65" i="15" s="1"/>
  <c r="Q80" i="15" s="1"/>
  <c r="Z40" i="11"/>
  <c r="AO28" i="11"/>
  <c r="AQ24" i="11"/>
  <c r="X22" i="11"/>
  <c r="R21" i="11"/>
  <c r="AF44" i="11"/>
  <c r="AB43" i="11"/>
  <c r="AO22" i="11"/>
  <c r="AQ30" i="11"/>
  <c r="AF43" i="11"/>
  <c r="AB20" i="11"/>
  <c r="AA25" i="11"/>
  <c r="Z30" i="11"/>
  <c r="AF42" i="11"/>
  <c r="AO35" i="11"/>
  <c r="I24" i="11"/>
  <c r="AP21" i="11"/>
  <c r="AF20" i="11"/>
  <c r="AM34" i="11"/>
  <c r="X28" i="11"/>
  <c r="AM27" i="11"/>
  <c r="X25" i="11"/>
  <c r="AJ38" i="11"/>
  <c r="AA31" i="11"/>
  <c r="AF30" i="11"/>
  <c r="AF40" i="11"/>
  <c r="R24" i="11"/>
  <c r="AF29" i="11"/>
  <c r="AF28" i="11"/>
  <c r="R27" i="11"/>
  <c r="X31" i="11"/>
  <c r="R30" i="11"/>
  <c r="L25" i="11"/>
  <c r="AF23" i="11"/>
  <c r="AO27" i="11"/>
  <c r="S20" i="11"/>
  <c r="AM29" i="11"/>
  <c r="AF27" i="11"/>
  <c r="AF31" i="11"/>
  <c r="N24" i="11"/>
  <c r="AQ31" i="11"/>
  <c r="D28" i="11"/>
  <c r="R34" i="15" s="1"/>
  <c r="R48" i="15" s="1"/>
  <c r="F31" i="11"/>
  <c r="Q37" i="15" s="1"/>
  <c r="Q51" i="15" s="1"/>
  <c r="I30" i="11"/>
  <c r="D23" i="11"/>
  <c r="H28" i="11"/>
  <c r="I37" i="11"/>
  <c r="F22" i="11"/>
  <c r="D29" i="11"/>
  <c r="R35" i="15" s="1"/>
  <c r="R49" i="15" s="1"/>
  <c r="AN29" i="11"/>
  <c r="D24" i="11"/>
  <c r="AN23" i="11"/>
  <c r="F29" i="11"/>
  <c r="Q35" i="15" s="1"/>
  <c r="Q49" i="15" s="1"/>
  <c r="I25" i="11"/>
  <c r="F23" i="11"/>
  <c r="H21" i="11"/>
  <c r="I21" i="11"/>
  <c r="N28" i="11"/>
  <c r="H23" i="11"/>
  <c r="I20" i="11"/>
  <c r="F24" i="11"/>
  <c r="N42" i="11"/>
  <c r="R79" i="15"/>
  <c r="J45" i="11"/>
  <c r="L40" i="11"/>
  <c r="N40" i="11"/>
  <c r="J27" i="11"/>
  <c r="L43" i="11"/>
  <c r="H22" i="11"/>
  <c r="L42" i="11"/>
  <c r="N44" i="11"/>
  <c r="D27" i="11"/>
  <c r="R33" i="15" s="1"/>
  <c r="R47" i="15" s="1"/>
  <c r="I40" i="11"/>
  <c r="L44" i="11"/>
  <c r="N20" i="11"/>
  <c r="N31" i="11"/>
  <c r="D42" i="11"/>
  <c r="R60" i="15" s="1"/>
  <c r="R75" i="15" s="1"/>
  <c r="H24" i="11"/>
  <c r="J20" i="11"/>
  <c r="N29" i="11"/>
  <c r="N30" i="11"/>
  <c r="H20" i="11"/>
  <c r="D21" i="11"/>
  <c r="J40" i="11"/>
  <c r="N43" i="11"/>
  <c r="I28" i="11"/>
  <c r="F25" i="11"/>
  <c r="J28" i="11"/>
  <c r="J30" i="11"/>
  <c r="N27" i="11"/>
  <c r="F20" i="11"/>
  <c r="Q13" i="15"/>
  <c r="L30" i="11"/>
  <c r="L28" i="11"/>
  <c r="I44" i="11"/>
  <c r="L20" i="11"/>
  <c r="H27" i="11"/>
  <c r="I29" i="11"/>
  <c r="L22" i="11"/>
  <c r="H37" i="11"/>
  <c r="F28" i="11"/>
  <c r="Q34" i="15" s="1"/>
  <c r="Q48" i="15" s="1"/>
  <c r="I31" i="11"/>
  <c r="L29" i="11"/>
  <c r="D43" i="11"/>
  <c r="R61" i="15" s="1"/>
  <c r="R76" i="15" s="1"/>
  <c r="AJ28" i="11"/>
  <c r="H45" i="11"/>
  <c r="H42" i="11"/>
  <c r="P30" i="11"/>
  <c r="P45" i="11"/>
  <c r="D31" i="11"/>
  <c r="R37" i="15" s="1"/>
  <c r="R51" i="15" s="1"/>
  <c r="H40" i="11"/>
  <c r="F27" i="11"/>
  <c r="Q33" i="15" s="1"/>
  <c r="Q47" i="15" s="1"/>
  <c r="I43" i="11"/>
  <c r="AC45" i="11"/>
  <c r="P13" i="15"/>
  <c r="R13" i="15"/>
  <c r="D45" i="11"/>
  <c r="R85" i="15" s="1"/>
  <c r="J25" i="11"/>
  <c r="AJ22" i="11"/>
  <c r="J29" i="11"/>
  <c r="F45" i="11"/>
  <c r="Q85" i="15" s="1"/>
  <c r="D44" i="11"/>
  <c r="R62" i="15" s="1"/>
  <c r="H44" i="11"/>
  <c r="AQ21" i="11"/>
  <c r="I45" i="11"/>
  <c r="I42" i="11"/>
  <c r="F44" i="11"/>
  <c r="Q62" i="15" s="1"/>
  <c r="Q77" i="15" s="1"/>
  <c r="H31" i="11"/>
  <c r="L31" i="11"/>
  <c r="H30" i="11"/>
  <c r="F43" i="11"/>
  <c r="Q61" i="15" s="1"/>
  <c r="Q76" i="15" s="1"/>
  <c r="F37" i="11"/>
  <c r="Q67" i="15" s="1"/>
  <c r="Q82" i="15" s="1"/>
  <c r="H35" i="11"/>
  <c r="J44" i="11"/>
  <c r="J42" i="11"/>
  <c r="N36" i="11"/>
  <c r="H43" i="11"/>
  <c r="AQ27" i="11"/>
  <c r="F40" i="11"/>
  <c r="F42" i="11"/>
  <c r="J43" i="11"/>
  <c r="R83" i="15"/>
  <c r="R80" i="15"/>
  <c r="AC20" i="11"/>
  <c r="AC44" i="11"/>
  <c r="P62" i="15" s="1"/>
  <c r="P77" i="15" s="1"/>
  <c r="AC43" i="11"/>
  <c r="P61" i="15" s="1"/>
  <c r="P76" i="15" s="1"/>
  <c r="AC40" i="11"/>
  <c r="AC42" i="11"/>
  <c r="H36" i="11"/>
  <c r="H38" i="11"/>
  <c r="H25" i="11"/>
  <c r="I36" i="11"/>
  <c r="I38" i="11"/>
  <c r="AJ30" i="11"/>
  <c r="AJ37" i="11"/>
  <c r="J36" i="11"/>
  <c r="J38" i="11"/>
  <c r="L21" i="11"/>
  <c r="L34" i="11"/>
  <c r="AC29" i="11"/>
  <c r="AC30" i="11"/>
  <c r="P36" i="15" s="1"/>
  <c r="P50" i="15" s="1"/>
  <c r="I34" i="11"/>
  <c r="D30" i="11"/>
  <c r="R36" i="15" s="1"/>
  <c r="R50" i="15" s="1"/>
  <c r="D37" i="11"/>
  <c r="R67" i="15" s="1"/>
  <c r="J23" i="11"/>
  <c r="F38" i="11"/>
  <c r="Q68" i="15" s="1"/>
  <c r="Q83" i="15" s="1"/>
  <c r="F36" i="11"/>
  <c r="Q66" i="15" s="1"/>
  <c r="Q81" i="15" s="1"/>
  <c r="J21" i="11"/>
  <c r="J22" i="11"/>
  <c r="D25" i="11"/>
  <c r="H34" i="11"/>
  <c r="P20" i="11"/>
  <c r="P43" i="11"/>
  <c r="P44" i="11"/>
  <c r="P42" i="11"/>
  <c r="P40" i="11"/>
  <c r="AJ24" i="11"/>
  <c r="D22" i="11"/>
  <c r="P31" i="11"/>
  <c r="AC31" i="11"/>
  <c r="F34" i="11"/>
  <c r="Q64" i="15" s="1"/>
  <c r="Q79" i="15" s="1"/>
  <c r="I27" i="11"/>
  <c r="H29" i="11"/>
  <c r="AC27" i="11"/>
  <c r="F21" i="11"/>
  <c r="P29" i="11"/>
  <c r="AC22" i="11"/>
  <c r="AC28" i="11"/>
  <c r="P28" i="11"/>
  <c r="T29" i="11"/>
  <c r="T23" i="11"/>
  <c r="D20" i="11"/>
  <c r="L27" i="11"/>
  <c r="AQ28" i="11"/>
  <c r="AQ22" i="11"/>
  <c r="F30" i="11"/>
  <c r="Q36" i="15" s="1"/>
  <c r="Q50" i="15" s="1"/>
  <c r="P27" i="11"/>
  <c r="CK34" i="1"/>
  <c r="CK35" i="1"/>
  <c r="AB13" i="1" l="1"/>
  <c r="AC11" i="1"/>
  <c r="AD9" i="1"/>
  <c r="AC30" i="1"/>
  <c r="AC27" i="1"/>
  <c r="AC2" i="1"/>
  <c r="AC1" i="1"/>
  <c r="AC15" i="1"/>
  <c r="AC31" i="1"/>
  <c r="AB38" i="1"/>
  <c r="AB49" i="1" s="1"/>
  <c r="AB82" i="1" s="1"/>
  <c r="AB86" i="1" s="1"/>
  <c r="CM44" i="1"/>
  <c r="M51" i="15"/>
  <c r="L51" i="15"/>
  <c r="L49" i="15"/>
  <c r="M49" i="15"/>
  <c r="M48" i="15"/>
  <c r="L48" i="15"/>
  <c r="L47" i="15"/>
  <c r="D32" i="46"/>
  <c r="C33" i="46"/>
  <c r="E33" i="46" s="1"/>
  <c r="M158" i="38"/>
  <c r="J57" i="38"/>
  <c r="M57" i="38"/>
  <c r="L57" i="38"/>
  <c r="CN42" i="1"/>
  <c r="K75" i="38"/>
  <c r="K186" i="38"/>
  <c r="CN65" i="1"/>
  <c r="K173" i="38"/>
  <c r="K42" i="38"/>
  <c r="M232" i="38"/>
  <c r="N232" i="38"/>
  <c r="N57" i="38"/>
  <c r="K151" i="38"/>
  <c r="K26" i="38"/>
  <c r="K31" i="38"/>
  <c r="L232" i="38"/>
  <c r="K210" i="38"/>
  <c r="K77" i="38"/>
  <c r="K208" i="38"/>
  <c r="N158" i="38"/>
  <c r="L158" i="38"/>
  <c r="J232" i="38"/>
  <c r="K191" i="38"/>
  <c r="K23" i="38"/>
  <c r="K34" i="38"/>
  <c r="K64" i="38"/>
  <c r="J90" i="38"/>
  <c r="K124" i="38"/>
  <c r="K156" i="38"/>
  <c r="K27" i="38"/>
  <c r="K209" i="38"/>
  <c r="K85" i="38"/>
  <c r="K112" i="38"/>
  <c r="K183" i="38"/>
  <c r="K33" i="38"/>
  <c r="K134" i="38"/>
  <c r="K230" i="38"/>
  <c r="M90" i="38"/>
  <c r="K205" i="38"/>
  <c r="K32" i="38"/>
  <c r="K202" i="38"/>
  <c r="CN55" i="1"/>
  <c r="K142" i="38"/>
  <c r="CN66" i="1"/>
  <c r="K179" i="38"/>
  <c r="L90" i="38"/>
  <c r="K99" i="38"/>
  <c r="J158" i="38"/>
  <c r="K55" i="38"/>
  <c r="N90" i="38"/>
  <c r="N92" i="38" s="1"/>
  <c r="P66" i="15"/>
  <c r="P81" i="15" s="1"/>
  <c r="P67" i="15"/>
  <c r="P82" i="15" s="1"/>
  <c r="P68" i="15"/>
  <c r="P83" i="15" s="1"/>
  <c r="P69" i="15"/>
  <c r="P84" i="15" s="1"/>
  <c r="P85" i="15"/>
  <c r="P65" i="15"/>
  <c r="P80" i="15" s="1"/>
  <c r="P60" i="15"/>
  <c r="P75" i="15" s="1"/>
  <c r="P64" i="15"/>
  <c r="P79" i="15" s="1"/>
  <c r="R84" i="15"/>
  <c r="R77" i="15"/>
  <c r="Q60" i="15"/>
  <c r="Q75" i="15" s="1"/>
  <c r="R82" i="15"/>
  <c r="P35" i="15"/>
  <c r="P49" i="15" s="1"/>
  <c r="P37" i="15"/>
  <c r="P51" i="15" s="1"/>
  <c r="P34" i="15"/>
  <c r="P48" i="15" s="1"/>
  <c r="P33" i="15"/>
  <c r="P47" i="15" s="1"/>
  <c r="AC13" i="1" l="1"/>
  <c r="AD11" i="1"/>
  <c r="AD31" i="1"/>
  <c r="AD30" i="1"/>
  <c r="AD27" i="1"/>
  <c r="AD2" i="1"/>
  <c r="AD1" i="1"/>
  <c r="AE9" i="1"/>
  <c r="AD15" i="1"/>
  <c r="AC38" i="1"/>
  <c r="AC49" i="1" s="1"/>
  <c r="AC82" i="1" s="1"/>
  <c r="AC86" i="1" s="1"/>
  <c r="L233" i="38"/>
  <c r="J159" i="38"/>
  <c r="J92" i="38"/>
  <c r="L92" i="38"/>
  <c r="L159" i="38"/>
  <c r="M233" i="38"/>
  <c r="K57" i="38"/>
  <c r="J233" i="38"/>
  <c r="M92" i="38"/>
  <c r="N159" i="38"/>
  <c r="D33" i="46"/>
  <c r="C34" i="46"/>
  <c r="E34" i="46" s="1"/>
  <c r="CM80" i="1"/>
  <c r="CN34" i="1"/>
  <c r="K232" i="38"/>
  <c r="K233" i="38" s="1"/>
  <c r="M159" i="38"/>
  <c r="J235" i="38"/>
  <c r="J93" i="38"/>
  <c r="L93" i="38"/>
  <c r="L235" i="38"/>
  <c r="M93" i="38"/>
  <c r="M235" i="38"/>
  <c r="N93" i="38"/>
  <c r="N235" i="38"/>
  <c r="CN33" i="1"/>
  <c r="CM38" i="1"/>
  <c r="CN45" i="1"/>
  <c r="CN58" i="1"/>
  <c r="CI42" i="1"/>
  <c r="CG42" i="1"/>
  <c r="CH42" i="1"/>
  <c r="CN43" i="1"/>
  <c r="CM61" i="1"/>
  <c r="CN41" i="1"/>
  <c r="CM47" i="1"/>
  <c r="K158" i="38"/>
  <c r="K159" i="38" s="1"/>
  <c r="K90" i="38"/>
  <c r="K92" i="38" s="1"/>
  <c r="N233" i="38"/>
  <c r="CN36" i="1"/>
  <c r="CN35" i="1"/>
  <c r="CI55" i="1"/>
  <c r="CH55" i="1"/>
  <c r="CG55" i="1"/>
  <c r="CN56" i="1"/>
  <c r="CK33" i="1"/>
  <c r="AD13" i="1" l="1"/>
  <c r="AD38" i="1"/>
  <c r="AD49" i="1" s="1"/>
  <c r="AD82" i="1" s="1"/>
  <c r="AD86" i="1" s="1"/>
  <c r="CN75" i="1"/>
  <c r="CN64" i="1"/>
  <c r="AE15" i="1"/>
  <c r="AE11" i="1"/>
  <c r="AE27" i="1"/>
  <c r="AE31" i="1"/>
  <c r="AE2" i="1"/>
  <c r="AF9" i="1"/>
  <c r="AE1" i="1"/>
  <c r="AE30" i="1"/>
  <c r="D34" i="46"/>
  <c r="C35" i="46"/>
  <c r="E35" i="46" s="1"/>
  <c r="CH34" i="1"/>
  <c r="CI34" i="1"/>
  <c r="CG34" i="1"/>
  <c r="CN59" i="1"/>
  <c r="CN71" i="1"/>
  <c r="CG33" i="1"/>
  <c r="CH33" i="1"/>
  <c r="CI33" i="1"/>
  <c r="K235" i="38"/>
  <c r="K93" i="38"/>
  <c r="CH43" i="1"/>
  <c r="CI43" i="1"/>
  <c r="CG43" i="1"/>
  <c r="CN68" i="1"/>
  <c r="CN72" i="1"/>
  <c r="CI58" i="1"/>
  <c r="CG58" i="1"/>
  <c r="CH58" i="1"/>
  <c r="CN78" i="1"/>
  <c r="CN80" i="1"/>
  <c r="CI35" i="1"/>
  <c r="CG35" i="1"/>
  <c r="CH35" i="1"/>
  <c r="CN44" i="1"/>
  <c r="CN47" i="1"/>
  <c r="CH41" i="1"/>
  <c r="CI41" i="1"/>
  <c r="CG41" i="1"/>
  <c r="CH45" i="1"/>
  <c r="CI45" i="1"/>
  <c r="CG45" i="1"/>
  <c r="CN61" i="1"/>
  <c r="CN57" i="1"/>
  <c r="CN77" i="1"/>
  <c r="CM49" i="1"/>
  <c r="CN70" i="1"/>
  <c r="CN76" i="1"/>
  <c r="CN69" i="1"/>
  <c r="CG56" i="1"/>
  <c r="CI56" i="1"/>
  <c r="CH56" i="1"/>
  <c r="CN74" i="1"/>
  <c r="CN54" i="1"/>
  <c r="CI36" i="1"/>
  <c r="CH36" i="1"/>
  <c r="CG36" i="1"/>
  <c r="CN67" i="1"/>
  <c r="CN73" i="1"/>
  <c r="CK43" i="1"/>
  <c r="CK41" i="1"/>
  <c r="CK36" i="1"/>
  <c r="CG44" i="1" l="1"/>
  <c r="CH44" i="1"/>
  <c r="CI44" i="1"/>
  <c r="AF11" i="1"/>
  <c r="AF27" i="1"/>
  <c r="AG9" i="1"/>
  <c r="AF2" i="1"/>
  <c r="AF1" i="1"/>
  <c r="AF15" i="1"/>
  <c r="AF30" i="1"/>
  <c r="AF31" i="1"/>
  <c r="AE13" i="1"/>
  <c r="AE38" i="1"/>
  <c r="AE49" i="1" s="1"/>
  <c r="AE82" i="1" s="1"/>
  <c r="AE86" i="1" s="1"/>
  <c r="D35" i="46"/>
  <c r="C36" i="46"/>
  <c r="E36" i="46" s="1"/>
  <c r="CI59" i="1"/>
  <c r="CG59" i="1"/>
  <c r="CH59" i="1"/>
  <c r="CI57" i="1"/>
  <c r="CH57" i="1"/>
  <c r="CG57" i="1"/>
  <c r="CI69" i="1"/>
  <c r="CG69" i="1"/>
  <c r="CH69" i="1"/>
  <c r="CI73" i="1"/>
  <c r="CH73" i="1"/>
  <c r="CG73" i="1"/>
  <c r="CI67" i="1"/>
  <c r="CH67" i="1"/>
  <c r="CG67" i="1"/>
  <c r="CI76" i="1"/>
  <c r="CG76" i="1"/>
  <c r="CH76" i="1"/>
  <c r="CI70" i="1"/>
  <c r="CG70" i="1"/>
  <c r="CH70" i="1"/>
  <c r="CI72" i="1"/>
  <c r="CH72" i="1"/>
  <c r="CG72" i="1"/>
  <c r="CM82" i="1"/>
  <c r="CN49" i="1"/>
  <c r="CG68" i="1"/>
  <c r="CI68" i="1"/>
  <c r="CH68" i="1"/>
  <c r="CB47" i="1"/>
  <c r="I92" i="15"/>
  <c r="I22" i="15"/>
  <c r="D87" i="15"/>
  <c r="F87" i="15"/>
  <c r="D54" i="15"/>
  <c r="F54" i="15"/>
  <c r="I40" i="15"/>
  <c r="AF13" i="1" l="1"/>
  <c r="AF38" i="1"/>
  <c r="AF49" i="1" s="1"/>
  <c r="AF82" i="1" s="1"/>
  <c r="AF86" i="1" s="1"/>
  <c r="AH9" i="1"/>
  <c r="AG2" i="1"/>
  <c r="AG1" i="1"/>
  <c r="AG30" i="1"/>
  <c r="AG11" i="1"/>
  <c r="AG15" i="1"/>
  <c r="AG13" i="1" s="1"/>
  <c r="AG27" i="1"/>
  <c r="AG31" i="1"/>
  <c r="D36" i="46"/>
  <c r="C37" i="46"/>
  <c r="E37" i="46" s="1"/>
  <c r="CN82" i="1"/>
  <c r="CN86" i="1" s="1"/>
  <c r="CM86" i="1"/>
  <c r="F88" i="15"/>
  <c r="D88" i="15"/>
  <c r="M60" i="15"/>
  <c r="I12" i="15"/>
  <c r="CE22" i="1" s="1"/>
  <c r="CE23" i="1" s="1"/>
  <c r="AH1" i="1" l="1"/>
  <c r="AH2" i="1"/>
  <c r="AI9" i="1"/>
  <c r="AH11" i="1"/>
  <c r="AH15" i="1"/>
  <c r="AH13" i="1" s="1"/>
  <c r="AH30" i="1"/>
  <c r="CB30" i="1" s="1"/>
  <c r="AH27" i="1"/>
  <c r="AH31" i="1"/>
  <c r="CB31" i="1" s="1"/>
  <c r="CK42" i="1" s="1"/>
  <c r="AG38" i="1"/>
  <c r="AG49" i="1" s="1"/>
  <c r="AG82" i="1" s="1"/>
  <c r="AG86" i="1" s="1"/>
  <c r="CB27" i="1"/>
  <c r="D37" i="46"/>
  <c r="C38" i="46"/>
  <c r="E38" i="46" s="1"/>
  <c r="I49" i="41"/>
  <c r="I46" i="15"/>
  <c r="I78" i="15" s="1"/>
  <c r="I52" i="15"/>
  <c r="I43" i="15"/>
  <c r="I44" i="15"/>
  <c r="I45" i="15"/>
  <c r="I47" i="15"/>
  <c r="I48" i="15"/>
  <c r="I49" i="15"/>
  <c r="I50" i="15"/>
  <c r="I51" i="15"/>
  <c r="I54" i="15"/>
  <c r="I56" i="15" s="1"/>
  <c r="O8" i="15"/>
  <c r="D6" i="15"/>
  <c r="CB61" i="1"/>
  <c r="CB80" i="1"/>
  <c r="AH38" i="1" l="1"/>
  <c r="AH49" i="1" s="1"/>
  <c r="AH82" i="1" s="1"/>
  <c r="AH86" i="1" s="1"/>
  <c r="AK9" i="1"/>
  <c r="AI2" i="1"/>
  <c r="AI1" i="1"/>
  <c r="D38" i="46"/>
  <c r="C39" i="46"/>
  <c r="E39" i="46" s="1"/>
  <c r="I98" i="15"/>
  <c r="CE30" i="1"/>
  <c r="AL9" i="1" l="1"/>
  <c r="AK2" i="1"/>
  <c r="AK1" i="1"/>
  <c r="CA30" i="1"/>
  <c r="CA35" i="1"/>
  <c r="BZ41" i="1"/>
  <c r="BZ66" i="1"/>
  <c r="CA27" i="1"/>
  <c r="BZ76" i="1"/>
  <c r="BZ33" i="1"/>
  <c r="BZ58" i="1"/>
  <c r="BZ28" i="1"/>
  <c r="BZ43" i="1"/>
  <c r="CA44" i="1"/>
  <c r="CA77" i="1"/>
  <c r="BZ64" i="1"/>
  <c r="CA45" i="1"/>
  <c r="BZ53" i="1"/>
  <c r="CA29" i="1"/>
  <c r="CA42" i="1"/>
  <c r="CA67" i="1"/>
  <c r="BZ29" i="1"/>
  <c r="CA59" i="1"/>
  <c r="BZ73" i="1"/>
  <c r="BZ30" i="1"/>
  <c r="BZ72" i="1"/>
  <c r="BZ42" i="1"/>
  <c r="CA71" i="1"/>
  <c r="CA76" i="1"/>
  <c r="BZ77" i="1"/>
  <c r="CA32" i="1"/>
  <c r="BZ78" i="1"/>
  <c r="BZ34" i="1"/>
  <c r="BZ45" i="1"/>
  <c r="CA33" i="1"/>
  <c r="CA65" i="1"/>
  <c r="BZ54" i="1"/>
  <c r="BZ36" i="1"/>
  <c r="CA41" i="1"/>
  <c r="BZ31" i="1"/>
  <c r="BZ55" i="1"/>
  <c r="CA78" i="1"/>
  <c r="BZ71" i="1"/>
  <c r="BZ59" i="1"/>
  <c r="CA34" i="1"/>
  <c r="CA58" i="1"/>
  <c r="CA57" i="1"/>
  <c r="BZ57" i="1"/>
  <c r="BZ27" i="1"/>
  <c r="CA53" i="1"/>
  <c r="BZ70" i="1"/>
  <c r="CA69" i="1"/>
  <c r="BZ67" i="1"/>
  <c r="BZ74" i="1"/>
  <c r="BZ68" i="1"/>
  <c r="CA64" i="1"/>
  <c r="CA70" i="1"/>
  <c r="BZ32" i="1"/>
  <c r="CA74" i="1"/>
  <c r="CA56" i="1"/>
  <c r="CA72" i="1"/>
  <c r="BZ69" i="1"/>
  <c r="CA43" i="1"/>
  <c r="CA55" i="1"/>
  <c r="BZ44" i="1"/>
  <c r="BZ56" i="1"/>
  <c r="BZ65" i="1"/>
  <c r="CA75" i="1"/>
  <c r="CA73" i="1"/>
  <c r="BZ75" i="1"/>
  <c r="CA66" i="1"/>
  <c r="CA68" i="1"/>
  <c r="CA28" i="1"/>
  <c r="CA54" i="1"/>
  <c r="BZ35" i="1"/>
  <c r="BZ52" i="1"/>
  <c r="CA36" i="1"/>
  <c r="CA31" i="1"/>
  <c r="CA52" i="1"/>
  <c r="D39" i="46"/>
  <c r="C40" i="46"/>
  <c r="E40" i="46" s="1"/>
  <c r="CE45" i="1"/>
  <c r="I66" i="15"/>
  <c r="I61" i="15"/>
  <c r="I67" i="15"/>
  <c r="I62" i="15"/>
  <c r="I79" i="15"/>
  <c r="I77" i="15"/>
  <c r="I65" i="15"/>
  <c r="I82" i="15"/>
  <c r="I76" i="15"/>
  <c r="I83" i="15"/>
  <c r="I68" i="15"/>
  <c r="I64" i="15"/>
  <c r="I84" i="15"/>
  <c r="I81" i="15"/>
  <c r="I80" i="15"/>
  <c r="AL1" i="1" l="1"/>
  <c r="AL2" i="1"/>
  <c r="AM9" i="1"/>
  <c r="CA47" i="1"/>
  <c r="CA80" i="1"/>
  <c r="BZ61" i="1"/>
  <c r="CA61" i="1"/>
  <c r="D40" i="46"/>
  <c r="C41" i="46"/>
  <c r="E41" i="46" s="1"/>
  <c r="CE28" i="1"/>
  <c r="CE29" i="1"/>
  <c r="CE31" i="1"/>
  <c r="I71" i="15"/>
  <c r="AN9" i="1" l="1"/>
  <c r="AM1" i="1"/>
  <c r="AM2" i="1"/>
  <c r="D41" i="46"/>
  <c r="C42" i="46"/>
  <c r="E42" i="46" s="1"/>
  <c r="CE43" i="1"/>
  <c r="CE41" i="1"/>
  <c r="CE56" i="1"/>
  <c r="CE55" i="1"/>
  <c r="CE42" i="1"/>
  <c r="I72" i="15"/>
  <c r="I17" i="15"/>
  <c r="I23" i="15" s="1"/>
  <c r="BZ47" i="1"/>
  <c r="BZ80" i="1"/>
  <c r="AO9" i="1" l="1"/>
  <c r="AN2" i="1"/>
  <c r="AN1" i="1"/>
  <c r="D42" i="46"/>
  <c r="C43" i="46"/>
  <c r="E43" i="46" s="1"/>
  <c r="C20" i="9"/>
  <c r="T19" i="9"/>
  <c r="AP9" i="1" l="1"/>
  <c r="AO1" i="1"/>
  <c r="AO2" i="1"/>
  <c r="D43" i="46"/>
  <c r="C44" i="46"/>
  <c r="E44" i="46" s="1"/>
  <c r="V20" i="9"/>
  <c r="C21" i="9"/>
  <c r="V21" i="9" s="1"/>
  <c r="T20" i="9"/>
  <c r="AQ9" i="1" l="1"/>
  <c r="AP1" i="1"/>
  <c r="AP2" i="1"/>
  <c r="D44" i="46"/>
  <c r="C45" i="46"/>
  <c r="E45" i="46" s="1"/>
  <c r="C22" i="9"/>
  <c r="T21" i="9"/>
  <c r="AR9" i="1" l="1"/>
  <c r="AQ1" i="1"/>
  <c r="AQ2" i="1"/>
  <c r="D45" i="46"/>
  <c r="C46" i="46"/>
  <c r="E46" i="46" s="1"/>
  <c r="V22" i="9"/>
  <c r="C23" i="9"/>
  <c r="T22" i="9"/>
  <c r="AS9" i="1" l="1"/>
  <c r="AR2" i="1"/>
  <c r="AR1" i="1"/>
  <c r="D46" i="46"/>
  <c r="C47" i="46"/>
  <c r="E47" i="46" s="1"/>
  <c r="V23" i="9"/>
  <c r="C24" i="9"/>
  <c r="T23" i="9"/>
  <c r="AS1" i="1" l="1"/>
  <c r="AT9" i="1"/>
  <c r="AS2" i="1"/>
  <c r="D47" i="46"/>
  <c r="C48" i="46"/>
  <c r="E48" i="46" s="1"/>
  <c r="V24" i="9"/>
  <c r="T24" i="9"/>
  <c r="C25" i="9"/>
  <c r="AU9" i="1" l="1"/>
  <c r="AT2" i="1"/>
  <c r="AT1" i="1"/>
  <c r="D48" i="46"/>
  <c r="C49" i="46"/>
  <c r="E49" i="46" s="1"/>
  <c r="V25" i="9"/>
  <c r="C26" i="9"/>
  <c r="T25" i="9"/>
  <c r="AV9" i="1" l="1"/>
  <c r="AU1" i="1"/>
  <c r="AU2" i="1"/>
  <c r="D49" i="46"/>
  <c r="C50" i="46"/>
  <c r="V26" i="9"/>
  <c r="C27" i="9"/>
  <c r="V27" i="9" s="1"/>
  <c r="T26" i="9"/>
  <c r="AW9" i="1" l="1"/>
  <c r="AV1" i="1"/>
  <c r="AV2" i="1"/>
  <c r="D50" i="46"/>
  <c r="E50" i="46"/>
  <c r="C28" i="9"/>
  <c r="V28" i="9" s="1"/>
  <c r="T27" i="9"/>
  <c r="AX9" i="1" l="1"/>
  <c r="AW2" i="1"/>
  <c r="AW1" i="1"/>
  <c r="F53" i="46"/>
  <c r="H54" i="46"/>
  <c r="I54" i="46"/>
  <c r="I53" i="46"/>
  <c r="G52" i="46"/>
  <c r="F54" i="46"/>
  <c r="F52" i="46"/>
  <c r="G53" i="46"/>
  <c r="H53" i="46"/>
  <c r="H52" i="46"/>
  <c r="G54" i="46"/>
  <c r="I52" i="46"/>
  <c r="P8" i="46"/>
  <c r="P9" i="46"/>
  <c r="O8" i="46"/>
  <c r="Q9" i="46"/>
  <c r="Q8" i="46"/>
  <c r="O9" i="46"/>
  <c r="O10" i="46"/>
  <c r="Q10" i="46"/>
  <c r="P10" i="46"/>
  <c r="O11" i="46"/>
  <c r="P11" i="46"/>
  <c r="Q11" i="46"/>
  <c r="O12" i="46"/>
  <c r="P12" i="46"/>
  <c r="Q12" i="46"/>
  <c r="Q13" i="46"/>
  <c r="O13" i="46"/>
  <c r="P13" i="46"/>
  <c r="O14" i="46"/>
  <c r="P14" i="46"/>
  <c r="Q14" i="46"/>
  <c r="P15" i="46"/>
  <c r="O15" i="46"/>
  <c r="Q15" i="46"/>
  <c r="P16" i="46"/>
  <c r="Q16" i="46"/>
  <c r="O16" i="46"/>
  <c r="Q17" i="46"/>
  <c r="O17" i="46"/>
  <c r="P17" i="46"/>
  <c r="Q18" i="46"/>
  <c r="P18" i="46"/>
  <c r="O18" i="46"/>
  <c r="O19" i="46"/>
  <c r="Q19" i="46"/>
  <c r="P19" i="46"/>
  <c r="Q20" i="46"/>
  <c r="O20" i="46"/>
  <c r="P20" i="46"/>
  <c r="N20" i="46"/>
  <c r="Q21" i="46"/>
  <c r="Q22" i="46"/>
  <c r="O21" i="46"/>
  <c r="P22" i="46"/>
  <c r="N21" i="46"/>
  <c r="P21" i="46"/>
  <c r="N22" i="46"/>
  <c r="O22" i="46"/>
  <c r="P23" i="46"/>
  <c r="Q23" i="46"/>
  <c r="O23" i="46"/>
  <c r="N23" i="46"/>
  <c r="O24" i="46"/>
  <c r="N24" i="46"/>
  <c r="Q24" i="46"/>
  <c r="P24" i="46"/>
  <c r="Q25" i="46"/>
  <c r="O25" i="46"/>
  <c r="P25" i="46"/>
  <c r="N25" i="46"/>
  <c r="Q26" i="46"/>
  <c r="P26" i="46"/>
  <c r="O26" i="46"/>
  <c r="N26" i="46"/>
  <c r="Q27" i="46"/>
  <c r="P27" i="46"/>
  <c r="O27" i="46"/>
  <c r="N27" i="46"/>
  <c r="N28" i="46"/>
  <c r="O28" i="46"/>
  <c r="P28" i="46"/>
  <c r="Q28" i="46"/>
  <c r="N29" i="46"/>
  <c r="O29" i="46"/>
  <c r="P29" i="46"/>
  <c r="Q29" i="46"/>
  <c r="N30" i="46"/>
  <c r="Q30" i="46"/>
  <c r="P30" i="46"/>
  <c r="O30" i="46"/>
  <c r="N31" i="46"/>
  <c r="O31" i="46"/>
  <c r="Q31" i="46"/>
  <c r="P31" i="46"/>
  <c r="Q32" i="46"/>
  <c r="N32" i="46"/>
  <c r="P32" i="46"/>
  <c r="O32" i="46"/>
  <c r="P34" i="46"/>
  <c r="P35" i="46"/>
  <c r="N35" i="46"/>
  <c r="Q33" i="46"/>
  <c r="P33" i="46"/>
  <c r="O34" i="46"/>
  <c r="O33" i="46"/>
  <c r="N33" i="46"/>
  <c r="N34" i="46"/>
  <c r="Q34" i="46"/>
  <c r="Q35" i="46"/>
  <c r="O35" i="46"/>
  <c r="P37" i="46"/>
  <c r="P36" i="46"/>
  <c r="Q37" i="46"/>
  <c r="Q36" i="46"/>
  <c r="O36" i="46"/>
  <c r="O37" i="46"/>
  <c r="N37" i="46"/>
  <c r="N36" i="46"/>
  <c r="P38" i="46"/>
  <c r="Q38" i="46"/>
  <c r="N38" i="46"/>
  <c r="O38" i="46"/>
  <c r="P39" i="46"/>
  <c r="Q39" i="46"/>
  <c r="N39" i="46"/>
  <c r="O39" i="46"/>
  <c r="N40" i="46"/>
  <c r="P40" i="46"/>
  <c r="O40" i="46"/>
  <c r="Q40" i="46"/>
  <c r="O41" i="46"/>
  <c r="P41" i="46"/>
  <c r="N41" i="46"/>
  <c r="Q41" i="46"/>
  <c r="O42" i="46"/>
  <c r="Q42" i="46"/>
  <c r="P42" i="46"/>
  <c r="N42" i="46"/>
  <c r="P43" i="46"/>
  <c r="Q43" i="46"/>
  <c r="O43" i="46"/>
  <c r="N43" i="46"/>
  <c r="T28" i="9"/>
  <c r="C29" i="9"/>
  <c r="V29" i="9" s="1"/>
  <c r="AX2" i="1" l="1"/>
  <c r="AX1" i="1"/>
  <c r="AY9" i="1"/>
  <c r="U13" i="46"/>
  <c r="V14" i="46"/>
  <c r="T16" i="46"/>
  <c r="T17" i="46"/>
  <c r="W13" i="46"/>
  <c r="V13" i="46"/>
  <c r="V15" i="46"/>
  <c r="V11" i="46"/>
  <c r="W14" i="46"/>
  <c r="V10" i="46"/>
  <c r="U14" i="46"/>
  <c r="V8" i="46"/>
  <c r="V9" i="46"/>
  <c r="W9" i="46"/>
  <c r="U10" i="46"/>
  <c r="W11" i="46"/>
  <c r="V12" i="46"/>
  <c r="T12" i="46"/>
  <c r="T15" i="46"/>
  <c r="T9" i="46"/>
  <c r="T10" i="46"/>
  <c r="T11" i="46"/>
  <c r="T13" i="46"/>
  <c r="T14" i="46"/>
  <c r="T18" i="46"/>
  <c r="U8" i="46"/>
  <c r="U9" i="46"/>
  <c r="W10" i="46"/>
  <c r="U11" i="46"/>
  <c r="U12" i="46"/>
  <c r="W12" i="46"/>
  <c r="D92" i="1"/>
  <c r="AO92" i="1"/>
  <c r="AB92" i="1"/>
  <c r="P92" i="1"/>
  <c r="E92" i="1"/>
  <c r="AP92" i="1"/>
  <c r="AE92" i="1"/>
  <c r="S92" i="1"/>
  <c r="G92" i="1"/>
  <c r="AG94" i="1"/>
  <c r="U94" i="1"/>
  <c r="AT94" i="1"/>
  <c r="AT25" i="1" s="1"/>
  <c r="I94" i="1"/>
  <c r="AG92" i="1"/>
  <c r="AT92" i="1"/>
  <c r="U92" i="1"/>
  <c r="I92" i="1"/>
  <c r="AG93" i="1"/>
  <c r="U93" i="1"/>
  <c r="I93" i="1"/>
  <c r="AT93" i="1"/>
  <c r="J92" i="1"/>
  <c r="AH92" i="1"/>
  <c r="V92" i="1"/>
  <c r="AU92" i="1"/>
  <c r="U15" i="46"/>
  <c r="W15" i="46"/>
  <c r="V16" i="46"/>
  <c r="W16" i="46"/>
  <c r="U16" i="46"/>
  <c r="W17" i="46"/>
  <c r="U17" i="46"/>
  <c r="V17" i="46"/>
  <c r="W18" i="46"/>
  <c r="V18" i="46"/>
  <c r="U18" i="46"/>
  <c r="U19" i="46"/>
  <c r="W19" i="46"/>
  <c r="V19" i="46"/>
  <c r="T8" i="46"/>
  <c r="W8" i="46"/>
  <c r="C30" i="9"/>
  <c r="V30" i="9" s="1"/>
  <c r="T29" i="9"/>
  <c r="AZ9" i="1" l="1"/>
  <c r="AY2" i="1"/>
  <c r="AY1" i="1"/>
  <c r="AF92" i="1"/>
  <c r="AS92" i="1"/>
  <c r="AS94" i="1"/>
  <c r="AS25" i="1" s="1"/>
  <c r="H94" i="1"/>
  <c r="J93" i="1"/>
  <c r="V93" i="1"/>
  <c r="AH93" i="1"/>
  <c r="AU93" i="1"/>
  <c r="K93" i="1"/>
  <c r="W93" i="1"/>
  <c r="AI93" i="1"/>
  <c r="AV93" i="1"/>
  <c r="G93" i="1"/>
  <c r="AR93" i="1"/>
  <c r="AE93" i="1"/>
  <c r="S93" i="1"/>
  <c r="V94" i="1"/>
  <c r="J94" i="1"/>
  <c r="AH94" i="1"/>
  <c r="AU94" i="1"/>
  <c r="AU25" i="1" s="1"/>
  <c r="F93" i="1"/>
  <c r="R93" i="1"/>
  <c r="AQ93" i="1"/>
  <c r="AD93" i="1"/>
  <c r="AB93" i="1"/>
  <c r="P93" i="1"/>
  <c r="D93" i="1"/>
  <c r="AO93" i="1"/>
  <c r="Q93" i="1"/>
  <c r="AP93" i="1"/>
  <c r="AC93" i="1"/>
  <c r="E93" i="1"/>
  <c r="Q94" i="1"/>
  <c r="AP94" i="1"/>
  <c r="AP25" i="1" s="1"/>
  <c r="E94" i="1"/>
  <c r="AC94" i="1"/>
  <c r="AD92" i="1"/>
  <c r="AQ92" i="1"/>
  <c r="R92" i="1"/>
  <c r="F92" i="1"/>
  <c r="AE94" i="1"/>
  <c r="G94" i="1"/>
  <c r="S94" i="1"/>
  <c r="AR94" i="1"/>
  <c r="AR25" i="1" s="1"/>
  <c r="AS93" i="1"/>
  <c r="T93" i="1"/>
  <c r="AF93" i="1"/>
  <c r="H93" i="1"/>
  <c r="Q92" i="1"/>
  <c r="AC92" i="1"/>
  <c r="T92" i="1"/>
  <c r="H92" i="1"/>
  <c r="F94" i="1"/>
  <c r="R94" i="1"/>
  <c r="AQ94" i="1"/>
  <c r="AQ25" i="1" s="1"/>
  <c r="AD94" i="1"/>
  <c r="AR92" i="1"/>
  <c r="T94" i="1"/>
  <c r="AF94" i="1"/>
  <c r="K92" i="1"/>
  <c r="AI92" i="1"/>
  <c r="W92" i="1"/>
  <c r="AV92" i="1"/>
  <c r="AV94" i="1"/>
  <c r="AV25" i="1" s="1"/>
  <c r="K94" i="1"/>
  <c r="W94" i="1"/>
  <c r="AI94" i="1"/>
  <c r="L93" i="1"/>
  <c r="AK93" i="1"/>
  <c r="X93" i="1"/>
  <c r="AW93" i="1"/>
  <c r="L94" i="1"/>
  <c r="AK94" i="1"/>
  <c r="AK25" i="1" s="1"/>
  <c r="AW94" i="1"/>
  <c r="X94" i="1"/>
  <c r="L92" i="1"/>
  <c r="X92" i="1"/>
  <c r="AK92" i="1"/>
  <c r="AW92" i="1"/>
  <c r="AX94" i="1"/>
  <c r="M94" i="1"/>
  <c r="Y94" i="1"/>
  <c r="AL94" i="1"/>
  <c r="AL25" i="1" s="1"/>
  <c r="M92" i="1"/>
  <c r="AL92" i="1"/>
  <c r="AX92" i="1"/>
  <c r="Y92" i="1"/>
  <c r="Y93" i="1"/>
  <c r="M93" i="1"/>
  <c r="AL93" i="1"/>
  <c r="AX93" i="1"/>
  <c r="AX19" i="1" s="1"/>
  <c r="N94" i="1"/>
  <c r="Z94" i="1"/>
  <c r="AM94" i="1"/>
  <c r="AM25" i="1" s="1"/>
  <c r="AY94" i="1"/>
  <c r="Z93" i="1"/>
  <c r="N93" i="1"/>
  <c r="AM93" i="1"/>
  <c r="AY93" i="1"/>
  <c r="AY19" i="1" s="1"/>
  <c r="Z92" i="1"/>
  <c r="N92" i="1"/>
  <c r="AM92" i="1"/>
  <c r="AY92" i="1"/>
  <c r="AY15" i="1" s="1"/>
  <c r="O92" i="1"/>
  <c r="AA92" i="1"/>
  <c r="AN92" i="1"/>
  <c r="O94" i="1"/>
  <c r="AA94" i="1"/>
  <c r="AN94" i="1"/>
  <c r="AN25" i="1" s="1"/>
  <c r="O93" i="1"/>
  <c r="AN93" i="1"/>
  <c r="AA93" i="1"/>
  <c r="P94" i="1"/>
  <c r="AB94" i="1"/>
  <c r="AO94" i="1"/>
  <c r="AO25" i="1" s="1"/>
  <c r="D94" i="1"/>
  <c r="C31" i="9"/>
  <c r="V31" i="9" s="1"/>
  <c r="T30" i="9"/>
  <c r="AW25" i="1" l="1"/>
  <c r="AX25" i="1"/>
  <c r="AY25" i="1"/>
  <c r="BA9" i="1"/>
  <c r="AZ1" i="1"/>
  <c r="AZ2" i="1"/>
  <c r="G26" i="41"/>
  <c r="G28" i="41" s="1"/>
  <c r="AW15" i="1"/>
  <c r="AX15" i="1"/>
  <c r="C32" i="9"/>
  <c r="V32" i="9" s="1"/>
  <c r="T31" i="9"/>
  <c r="BA1" i="1" l="1"/>
  <c r="BA2" i="1"/>
  <c r="BB9" i="1"/>
  <c r="AZ92" i="1"/>
  <c r="AZ93" i="1"/>
  <c r="AZ19" i="1" s="1"/>
  <c r="AZ94" i="1"/>
  <c r="AK13" i="1"/>
  <c r="AW17" i="1"/>
  <c r="AW13" i="1"/>
  <c r="AX17" i="1"/>
  <c r="AX13" i="1"/>
  <c r="AY17" i="1"/>
  <c r="AY13" i="1"/>
  <c r="R31" i="9"/>
  <c r="C33" i="9"/>
  <c r="V33" i="9" s="1"/>
  <c r="T32" i="9"/>
  <c r="AZ25" i="1" l="1"/>
  <c r="BA93" i="1"/>
  <c r="BA19" i="1" s="1"/>
  <c r="BA94" i="1"/>
  <c r="BA92" i="1"/>
  <c r="BC9" i="1"/>
  <c r="BB2" i="1"/>
  <c r="BB1" i="1"/>
  <c r="AZ15" i="1"/>
  <c r="R32" i="9"/>
  <c r="C34" i="9"/>
  <c r="V34" i="9" s="1"/>
  <c r="T33" i="9"/>
  <c r="BA25" i="1" l="1"/>
  <c r="BA15" i="1"/>
  <c r="BD9" i="1"/>
  <c r="BC2" i="1"/>
  <c r="BC1" i="1"/>
  <c r="BB93" i="1"/>
  <c r="BB19" i="1" s="1"/>
  <c r="BB94" i="1"/>
  <c r="BB92" i="1"/>
  <c r="AZ17" i="1"/>
  <c r="AZ13" i="1"/>
  <c r="R33" i="9"/>
  <c r="C35" i="9"/>
  <c r="V35" i="9" s="1"/>
  <c r="T34" i="9"/>
  <c r="BB25" i="1" l="1"/>
  <c r="BA17" i="1"/>
  <c r="BA13" i="1"/>
  <c r="BD1" i="1"/>
  <c r="BD2" i="1"/>
  <c r="BE9" i="1"/>
  <c r="BC93" i="1"/>
  <c r="BC19" i="1" s="1"/>
  <c r="BC94" i="1"/>
  <c r="BC92" i="1"/>
  <c r="BB15" i="1"/>
  <c r="R34" i="9"/>
  <c r="C36" i="9"/>
  <c r="V36" i="9" s="1"/>
  <c r="T35" i="9"/>
  <c r="BC25" i="1" l="1"/>
  <c r="BD93" i="1"/>
  <c r="BD19" i="1" s="1"/>
  <c r="BD92" i="1"/>
  <c r="BD94" i="1"/>
  <c r="BF9" i="1"/>
  <c r="BE2" i="1"/>
  <c r="BE1" i="1"/>
  <c r="BC15" i="1"/>
  <c r="BB17" i="1"/>
  <c r="BB13" i="1"/>
  <c r="R35" i="9"/>
  <c r="C37" i="9"/>
  <c r="V37" i="9" s="1"/>
  <c r="T36" i="9"/>
  <c r="BD25" i="1" l="1"/>
  <c r="BG9" i="1"/>
  <c r="BF1" i="1"/>
  <c r="BF2" i="1"/>
  <c r="BE93" i="1"/>
  <c r="BE19" i="1" s="1"/>
  <c r="BE92" i="1"/>
  <c r="BE94" i="1"/>
  <c r="BE25" i="1" s="1"/>
  <c r="BC13" i="1"/>
  <c r="BC17" i="1"/>
  <c r="F11" i="15"/>
  <c r="CB21" i="1" s="1"/>
  <c r="CB23" i="1" s="1"/>
  <c r="R36" i="9"/>
  <c r="C38" i="9"/>
  <c r="V38" i="9" s="1"/>
  <c r="T37" i="9"/>
  <c r="F49" i="41" l="1"/>
  <c r="CK23" i="1"/>
  <c r="BD17" i="1"/>
  <c r="BD13" i="1"/>
  <c r="BG2" i="1"/>
  <c r="BG1" i="1"/>
  <c r="BH9" i="1"/>
  <c r="BF92" i="1"/>
  <c r="BF94" i="1"/>
  <c r="BF93" i="1"/>
  <c r="BF19" i="1" s="1"/>
  <c r="F13" i="15"/>
  <c r="F47" i="41" s="1"/>
  <c r="F40" i="15"/>
  <c r="F56" i="15" s="1"/>
  <c r="R37" i="9"/>
  <c r="C39" i="9"/>
  <c r="V39" i="9" s="1"/>
  <c r="T38" i="9"/>
  <c r="BF25" i="1" l="1"/>
  <c r="BG93" i="1"/>
  <c r="BG19" i="1" s="1"/>
  <c r="BG92" i="1"/>
  <c r="BG94" i="1"/>
  <c r="BI9" i="1"/>
  <c r="BH2" i="1"/>
  <c r="BH1" i="1"/>
  <c r="BF15" i="1"/>
  <c r="BE17" i="1"/>
  <c r="BE13" i="1"/>
  <c r="F98" i="15"/>
  <c r="R38" i="9"/>
  <c r="C40" i="9"/>
  <c r="V40" i="9" s="1"/>
  <c r="T39" i="9"/>
  <c r="BG25" i="1" l="1"/>
  <c r="BG15" i="1"/>
  <c r="BJ9" i="1"/>
  <c r="BI1" i="1"/>
  <c r="BI2" i="1"/>
  <c r="BH94" i="1"/>
  <c r="BH93" i="1"/>
  <c r="BH19" i="1" s="1"/>
  <c r="BH92" i="1"/>
  <c r="BF17" i="1"/>
  <c r="BF13" i="1"/>
  <c r="R39" i="9"/>
  <c r="C41" i="9"/>
  <c r="V41" i="9" s="1"/>
  <c r="T40" i="9"/>
  <c r="BH25" i="1" l="1"/>
  <c r="BG17" i="1"/>
  <c r="BG13" i="1"/>
  <c r="BK9" i="1"/>
  <c r="BJ1" i="1"/>
  <c r="BJ2" i="1"/>
  <c r="BI93" i="1"/>
  <c r="BI19" i="1" s="1"/>
  <c r="BI92" i="1"/>
  <c r="BI94" i="1"/>
  <c r="BH15" i="1"/>
  <c r="R40" i="9"/>
  <c r="C42" i="9"/>
  <c r="V42" i="9" s="1"/>
  <c r="T41" i="9"/>
  <c r="BI25" i="1" l="1"/>
  <c r="BI23" i="1"/>
  <c r="BK2" i="1"/>
  <c r="BK1" i="1"/>
  <c r="BL9" i="1"/>
  <c r="BJ93" i="1"/>
  <c r="BJ19" i="1" s="1"/>
  <c r="BJ92" i="1"/>
  <c r="BJ94" i="1"/>
  <c r="BU19" i="1"/>
  <c r="BI15" i="1"/>
  <c r="BH17" i="1"/>
  <c r="BH13" i="1"/>
  <c r="R41" i="9"/>
  <c r="C43" i="9"/>
  <c r="V43" i="9" s="1"/>
  <c r="T42" i="9"/>
  <c r="BJ25" i="1" l="1"/>
  <c r="BJ23" i="1"/>
  <c r="BI17" i="1"/>
  <c r="BU11" i="1"/>
  <c r="BK92" i="1"/>
  <c r="BK94" i="1"/>
  <c r="BK93" i="1"/>
  <c r="BK19" i="1" s="1"/>
  <c r="BM9" i="1"/>
  <c r="BL1" i="1"/>
  <c r="BL2" i="1"/>
  <c r="BV19" i="1"/>
  <c r="BV11" i="1"/>
  <c r="BJ15" i="1"/>
  <c r="BJ17" i="1" s="1"/>
  <c r="BU15" i="1"/>
  <c r="BI13" i="1"/>
  <c r="R42" i="9"/>
  <c r="C44" i="9"/>
  <c r="V44" i="9" s="1"/>
  <c r="T43" i="9"/>
  <c r="BK23" i="1" l="1"/>
  <c r="BK25" i="1"/>
  <c r="BK15" i="1"/>
  <c r="BK17" i="1" s="1"/>
  <c r="BW19" i="1"/>
  <c r="BN9" i="1"/>
  <c r="BM2" i="1"/>
  <c r="BM1" i="1"/>
  <c r="BL93" i="1"/>
  <c r="BL19" i="1" s="1"/>
  <c r="BL92" i="1"/>
  <c r="BL94" i="1"/>
  <c r="BV15" i="1"/>
  <c r="BJ13" i="1"/>
  <c r="BU17" i="1"/>
  <c r="BU13" i="1"/>
  <c r="R43" i="9"/>
  <c r="C45" i="9"/>
  <c r="V45" i="9" s="1"/>
  <c r="T44" i="9"/>
  <c r="BW11" i="1" l="1"/>
  <c r="BL25" i="1"/>
  <c r="BL23" i="1"/>
  <c r="BK13" i="1"/>
  <c r="BW15" i="1"/>
  <c r="BN1" i="1"/>
  <c r="BN2" i="1"/>
  <c r="BO9" i="1"/>
  <c r="BM94" i="1"/>
  <c r="BM92" i="1"/>
  <c r="BM93" i="1"/>
  <c r="BM19" i="1" s="1"/>
  <c r="BX19" i="1"/>
  <c r="BL15" i="1"/>
  <c r="BX11" i="1"/>
  <c r="BV17" i="1"/>
  <c r="BV13" i="1"/>
  <c r="CK66" i="1"/>
  <c r="CK65" i="1"/>
  <c r="R44" i="9"/>
  <c r="C46" i="9"/>
  <c r="V46" i="9" s="1"/>
  <c r="T45" i="9"/>
  <c r="BM23" i="1" l="1"/>
  <c r="BM25" i="1"/>
  <c r="BL17" i="1"/>
  <c r="F26" i="41"/>
  <c r="H26" i="41"/>
  <c r="H28" i="41" s="1"/>
  <c r="H40" i="41"/>
  <c r="H42" i="41" s="1"/>
  <c r="BW17" i="1"/>
  <c r="BW13" i="1"/>
  <c r="BN92" i="1"/>
  <c r="BN93" i="1"/>
  <c r="BN19" i="1" s="1"/>
  <c r="BN94" i="1"/>
  <c r="BO1" i="1"/>
  <c r="BO2" i="1"/>
  <c r="BP9" i="1"/>
  <c r="BM15" i="1"/>
  <c r="BL13" i="1"/>
  <c r="BX15" i="1"/>
  <c r="CI65" i="1"/>
  <c r="CE65" i="1" s="1"/>
  <c r="CG65" i="1"/>
  <c r="CH65" i="1"/>
  <c r="CI66" i="1"/>
  <c r="CE66" i="1" s="1"/>
  <c r="CH66" i="1"/>
  <c r="CG66" i="1"/>
  <c r="R45" i="9"/>
  <c r="C47" i="9"/>
  <c r="V47" i="9" s="1"/>
  <c r="T46" i="9"/>
  <c r="BN25" i="1" l="1"/>
  <c r="BN23" i="1"/>
  <c r="F33" i="41"/>
  <c r="H33" i="41"/>
  <c r="H35" i="41" s="1"/>
  <c r="BN15" i="1"/>
  <c r="BO93" i="1"/>
  <c r="BO19" i="1" s="1"/>
  <c r="BO94" i="1"/>
  <c r="BO92" i="1"/>
  <c r="BQ9" i="1"/>
  <c r="BP2" i="1"/>
  <c r="BP1" i="1"/>
  <c r="BM17" i="1"/>
  <c r="BM13" i="1"/>
  <c r="BX17" i="1"/>
  <c r="BX13" i="1"/>
  <c r="BI65" i="1"/>
  <c r="BU65" i="1" s="1"/>
  <c r="BJ65" i="1"/>
  <c r="BV65" i="1" s="1"/>
  <c r="BL65" i="1"/>
  <c r="BX65" i="1" s="1"/>
  <c r="BK65" i="1"/>
  <c r="BW65" i="1" s="1"/>
  <c r="BM65" i="1"/>
  <c r="BN65" i="1"/>
  <c r="BO65" i="1"/>
  <c r="BP65" i="1"/>
  <c r="BQ65" i="1"/>
  <c r="BR65" i="1"/>
  <c r="BS65" i="1"/>
  <c r="BT65" i="1"/>
  <c r="R46" i="9"/>
  <c r="T47" i="9"/>
  <c r="C48" i="9"/>
  <c r="V48" i="9" s="1"/>
  <c r="BO23" i="1" l="1"/>
  <c r="BO25" i="1"/>
  <c r="BN17" i="1"/>
  <c r="BN13" i="1"/>
  <c r="BO15" i="1"/>
  <c r="BR9" i="1"/>
  <c r="BQ2" i="1"/>
  <c r="BQ1" i="1"/>
  <c r="BP93" i="1"/>
  <c r="BP19" i="1" s="1"/>
  <c r="BP94" i="1"/>
  <c r="BP92" i="1"/>
  <c r="R47" i="9"/>
  <c r="C49" i="9"/>
  <c r="T48" i="9"/>
  <c r="BP25" i="1" l="1"/>
  <c r="BP23" i="1"/>
  <c r="BO17" i="1"/>
  <c r="BO13" i="1"/>
  <c r="BR1" i="1"/>
  <c r="BR2" i="1"/>
  <c r="BS9" i="1"/>
  <c r="BQ92" i="1"/>
  <c r="BQ94" i="1"/>
  <c r="BQ93" i="1"/>
  <c r="BP15" i="1"/>
  <c r="D1" i="9" a="1"/>
  <c r="V49" i="9"/>
  <c r="R48" i="9"/>
  <c r="C50" i="9"/>
  <c r="V50" i="9" s="1"/>
  <c r="T49" i="9"/>
  <c r="BQ25" i="1" l="1"/>
  <c r="BR93" i="1"/>
  <c r="BR19" i="1" s="1"/>
  <c r="BR94" i="1"/>
  <c r="BR92" i="1"/>
  <c r="BT9" i="1"/>
  <c r="BS1" i="1"/>
  <c r="BS2" i="1"/>
  <c r="BP17" i="1"/>
  <c r="BP13" i="1"/>
  <c r="R49" i="9"/>
  <c r="C51" i="9"/>
  <c r="V51" i="9" s="1"/>
  <c r="T50" i="9"/>
  <c r="BR25" i="1" l="1"/>
  <c r="BR23" i="1"/>
  <c r="BR15" i="1"/>
  <c r="BU9" i="1"/>
  <c r="BT2" i="1"/>
  <c r="BT1" i="1"/>
  <c r="BS94" i="1"/>
  <c r="BS92" i="1"/>
  <c r="BS93" i="1"/>
  <c r="BS19" i="1" s="1"/>
  <c r="BQ17" i="1"/>
  <c r="BQ13" i="1"/>
  <c r="R50" i="9"/>
  <c r="C52" i="9"/>
  <c r="V52" i="9" s="1"/>
  <c r="T51" i="9"/>
  <c r="BS25" i="1" l="1"/>
  <c r="BS23" i="1"/>
  <c r="BR17" i="1"/>
  <c r="BR13" i="1"/>
  <c r="BV9" i="1"/>
  <c r="BU2" i="1"/>
  <c r="BU1" i="1"/>
  <c r="BT94" i="1"/>
  <c r="BT92" i="1"/>
  <c r="BT93" i="1"/>
  <c r="BT19" i="1" s="1"/>
  <c r="I40" i="41" s="1"/>
  <c r="I42" i="41" s="1"/>
  <c r="BS15" i="1"/>
  <c r="I26" i="41"/>
  <c r="I28" i="41" s="1"/>
  <c r="R51" i="9"/>
  <c r="C53" i="9"/>
  <c r="V53" i="9" s="1"/>
  <c r="T52" i="9"/>
  <c r="BT23" i="1" l="1"/>
  <c r="BT25" i="1"/>
  <c r="BW9" i="1"/>
  <c r="BV1" i="1"/>
  <c r="BV2" i="1"/>
  <c r="BU92" i="1"/>
  <c r="BU93" i="1"/>
  <c r="BU94" i="1"/>
  <c r="BU25" i="1" s="1"/>
  <c r="BT15" i="1"/>
  <c r="I33" i="41" s="1"/>
  <c r="I35" i="41" s="1"/>
  <c r="BS17" i="1"/>
  <c r="BS13" i="1"/>
  <c r="R52" i="9"/>
  <c r="C54" i="9"/>
  <c r="V54" i="9" s="1"/>
  <c r="T53" i="9"/>
  <c r="BX9" i="1" l="1"/>
  <c r="BW2" i="1"/>
  <c r="BW1" i="1"/>
  <c r="BV93" i="1"/>
  <c r="BV92" i="1"/>
  <c r="BV94" i="1"/>
  <c r="BV25" i="1" s="1"/>
  <c r="BT17" i="1"/>
  <c r="BT13" i="1"/>
  <c r="R53" i="9"/>
  <c r="C55" i="9"/>
  <c r="V55" i="9" s="1"/>
  <c r="T54" i="9"/>
  <c r="BX1" i="1" l="1"/>
  <c r="BX2" i="1"/>
  <c r="BW92" i="1"/>
  <c r="BW93" i="1"/>
  <c r="BW94" i="1"/>
  <c r="BW25" i="1" s="1"/>
  <c r="R54" i="9"/>
  <c r="C56" i="9"/>
  <c r="V56" i="9" s="1"/>
  <c r="T55" i="9"/>
  <c r="BX94" i="1" l="1"/>
  <c r="BX25" i="1" s="1"/>
  <c r="BX93" i="1"/>
  <c r="BX92" i="1"/>
  <c r="R55" i="9"/>
  <c r="C57" i="9"/>
  <c r="V57" i="9" s="1"/>
  <c r="T56" i="9"/>
  <c r="R56" i="9" l="1"/>
  <c r="T57" i="9"/>
  <c r="C58" i="9"/>
  <c r="V58" i="9" s="1"/>
  <c r="R57" i="9" l="1"/>
  <c r="C59" i="9"/>
  <c r="V59" i="9" s="1"/>
  <c r="T58" i="9"/>
  <c r="R58" i="9" l="1"/>
  <c r="C60" i="9"/>
  <c r="V60" i="9" s="1"/>
  <c r="T59" i="9"/>
  <c r="R59" i="9" l="1"/>
  <c r="C61" i="9"/>
  <c r="V61" i="9" s="1"/>
  <c r="T60" i="9"/>
  <c r="R60" i="9" l="1"/>
  <c r="C62" i="9"/>
  <c r="V62" i="9" s="1"/>
  <c r="T61" i="9"/>
  <c r="R61" i="9" l="1"/>
  <c r="T62" i="9"/>
  <c r="C63" i="9"/>
  <c r="V63" i="9" s="1"/>
  <c r="R62" i="9" l="1"/>
  <c r="C64" i="9"/>
  <c r="V64" i="9" s="1"/>
  <c r="T63" i="9"/>
  <c r="R63" i="9" l="1"/>
  <c r="C65" i="9"/>
  <c r="V65" i="9" s="1"/>
  <c r="T64" i="9"/>
  <c r="R64" i="9" l="1"/>
  <c r="C66" i="9"/>
  <c r="V66" i="9" s="1"/>
  <c r="T65" i="9"/>
  <c r="C67" i="9" l="1"/>
  <c r="V67" i="9" s="1"/>
  <c r="R65" i="9"/>
  <c r="T66" i="9"/>
  <c r="M11" i="9" l="1"/>
  <c r="E69" i="15" s="1"/>
  <c r="M10" i="9"/>
  <c r="D69" i="15" s="1"/>
  <c r="L11" i="9"/>
  <c r="E38" i="15" s="1"/>
  <c r="L10" i="9"/>
  <c r="D38" i="15" s="1"/>
  <c r="D11" i="9"/>
  <c r="E29" i="15" s="1"/>
  <c r="E11" i="9"/>
  <c r="D10" i="9"/>
  <c r="D29" i="15" s="1"/>
  <c r="E10" i="9"/>
  <c r="D60" i="15" s="1"/>
  <c r="I11" i="9"/>
  <c r="E63" i="15" s="1"/>
  <c r="H10" i="9"/>
  <c r="D32" i="15" s="1"/>
  <c r="I10" i="9"/>
  <c r="D63" i="15" s="1"/>
  <c r="H11" i="9"/>
  <c r="E32" i="15" s="1"/>
  <c r="T67" i="9"/>
  <c r="C68" i="9"/>
  <c r="V68" i="9" s="1"/>
  <c r="P10" i="9"/>
  <c r="D11" i="15" s="1"/>
  <c r="BZ21" i="1" s="1"/>
  <c r="BZ23" i="1" s="1"/>
  <c r="D49" i="41" s="1"/>
  <c r="Q10" i="9"/>
  <c r="P11" i="9"/>
  <c r="E11" i="15" s="1"/>
  <c r="CA21" i="1" s="1"/>
  <c r="CA23" i="1" s="1"/>
  <c r="E49" i="41" s="1"/>
  <c r="Q11" i="9"/>
  <c r="R66" i="9"/>
  <c r="F11" i="9" l="1"/>
  <c r="E60" i="15"/>
  <c r="N11" i="9"/>
  <c r="J10" i="9"/>
  <c r="F10" i="9"/>
  <c r="N10" i="9"/>
  <c r="J11" i="9"/>
  <c r="C69" i="9"/>
  <c r="V69" i="9" s="1"/>
  <c r="T68" i="9"/>
  <c r="R11" i="9"/>
  <c r="E16" i="15"/>
  <c r="D16" i="15"/>
  <c r="R10" i="9"/>
  <c r="E13" i="15"/>
  <c r="E47" i="41" s="1"/>
  <c r="E40" i="15"/>
  <c r="E56" i="15" s="1"/>
  <c r="G11" i="15"/>
  <c r="CC21" i="1" s="1"/>
  <c r="H11" i="15"/>
  <c r="CD21" i="1" s="1"/>
  <c r="G16" i="15"/>
  <c r="H16" i="15"/>
  <c r="T69" i="9" l="1"/>
  <c r="C70" i="9"/>
  <c r="V70" i="9" s="1"/>
  <c r="E22" i="15"/>
  <c r="E19" i="15"/>
  <c r="E98" i="15"/>
  <c r="C71" i="9"/>
  <c r="V71" i="9" s="1"/>
  <c r="T70" i="9"/>
  <c r="D13" i="15"/>
  <c r="D47" i="41" s="1"/>
  <c r="D40" i="15"/>
  <c r="D56" i="15" s="1"/>
  <c r="H31" i="15"/>
  <c r="H62" i="15" s="1"/>
  <c r="H37" i="15"/>
  <c r="H68" i="15" s="1"/>
  <c r="H34" i="15"/>
  <c r="H65" i="15" s="1"/>
  <c r="H35" i="15"/>
  <c r="H66" i="15" s="1"/>
  <c r="H30" i="15"/>
  <c r="H61" i="15" s="1"/>
  <c r="H36" i="15"/>
  <c r="H67" i="15" s="1"/>
  <c r="H33" i="15"/>
  <c r="H64" i="15" s="1"/>
  <c r="G31" i="15"/>
  <c r="G62" i="15" s="1"/>
  <c r="G35" i="15"/>
  <c r="G66" i="15" s="1"/>
  <c r="G36" i="15"/>
  <c r="G67" i="15" s="1"/>
  <c r="G37" i="15"/>
  <c r="G68" i="15" s="1"/>
  <c r="G30" i="15"/>
  <c r="G61" i="15" s="1"/>
  <c r="G34" i="15"/>
  <c r="G65" i="15" s="1"/>
  <c r="G33" i="15"/>
  <c r="G64" i="15" s="1"/>
  <c r="H40" i="15"/>
  <c r="H12" i="15"/>
  <c r="CD22" i="1" s="1"/>
  <c r="CD23" i="1" s="1"/>
  <c r="G22" i="15"/>
  <c r="G92" i="15"/>
  <c r="H22" i="15"/>
  <c r="H92" i="15"/>
  <c r="G40" i="15"/>
  <c r="G12" i="15"/>
  <c r="CC22" i="1" s="1"/>
  <c r="CC23" i="1" s="1"/>
  <c r="AY23" i="1" l="1"/>
  <c r="AX23" i="1"/>
  <c r="AW23" i="1"/>
  <c r="AZ23" i="1"/>
  <c r="BA23" i="1"/>
  <c r="BB23" i="1"/>
  <c r="BC23" i="1"/>
  <c r="BD23" i="1"/>
  <c r="BF23" i="1"/>
  <c r="BG23" i="1"/>
  <c r="BH23" i="1"/>
  <c r="H49" i="41"/>
  <c r="G49" i="41"/>
  <c r="E25" i="15"/>
  <c r="E55" i="41"/>
  <c r="CD65" i="1"/>
  <c r="CD66" i="1"/>
  <c r="CC65" i="1"/>
  <c r="CC66" i="1"/>
  <c r="E71" i="15"/>
  <c r="CA38" i="1"/>
  <c r="C72" i="9"/>
  <c r="V72" i="9" s="1"/>
  <c r="T71" i="9"/>
  <c r="K60" i="15"/>
  <c r="L60" i="15"/>
  <c r="M75" i="15" s="1"/>
  <c r="I75" i="15" s="1"/>
  <c r="D98" i="15"/>
  <c r="D22" i="15"/>
  <c r="D19" i="15"/>
  <c r="G45" i="15"/>
  <c r="G77" i="15" s="1"/>
  <c r="CC29" i="1" s="1"/>
  <c r="G49" i="15"/>
  <c r="G81" i="15" s="1"/>
  <c r="G50" i="15"/>
  <c r="G82" i="15" s="1"/>
  <c r="G52" i="15"/>
  <c r="G84" i="15" s="1"/>
  <c r="G46" i="15"/>
  <c r="G78" i="15" s="1"/>
  <c r="CC30" i="1" s="1"/>
  <c r="G43" i="15"/>
  <c r="G47" i="15"/>
  <c r="G79" i="15" s="1"/>
  <c r="G44" i="15"/>
  <c r="G76" i="15" s="1"/>
  <c r="CC28" i="1" s="1"/>
  <c r="G48" i="15"/>
  <c r="G80" i="15" s="1"/>
  <c r="G51" i="15"/>
  <c r="G83" i="15" s="1"/>
  <c r="H46" i="15"/>
  <c r="H78" i="15" s="1"/>
  <c r="CD30" i="1" s="1"/>
  <c r="H48" i="15"/>
  <c r="H45" i="15"/>
  <c r="H77" i="15" s="1"/>
  <c r="CD29" i="1" s="1"/>
  <c r="H49" i="15"/>
  <c r="H50" i="15"/>
  <c r="H52" i="15"/>
  <c r="H47" i="15"/>
  <c r="H43" i="15"/>
  <c r="H44" i="15"/>
  <c r="CD28" i="1" s="1"/>
  <c r="H51" i="15"/>
  <c r="G54" i="15"/>
  <c r="G56" i="15" s="1"/>
  <c r="H54" i="15"/>
  <c r="H56" i="15" s="1"/>
  <c r="D25" i="15" l="1"/>
  <c r="D55" i="41"/>
  <c r="BH65" i="1"/>
  <c r="BA65" i="1"/>
  <c r="AW65" i="1"/>
  <c r="AX65" i="1"/>
  <c r="AY65" i="1"/>
  <c r="BB65" i="1"/>
  <c r="AZ65" i="1"/>
  <c r="BC65" i="1"/>
  <c r="BD65" i="1"/>
  <c r="BE65" i="1"/>
  <c r="BF65" i="1"/>
  <c r="BG65" i="1"/>
  <c r="AN65" i="1"/>
  <c r="AS65" i="1"/>
  <c r="AO65" i="1"/>
  <c r="AP65" i="1"/>
  <c r="AT65" i="1"/>
  <c r="AQ65" i="1"/>
  <c r="AK65" i="1"/>
  <c r="AU65" i="1"/>
  <c r="AR65" i="1"/>
  <c r="AL65" i="1"/>
  <c r="AV65" i="1"/>
  <c r="AM65" i="1"/>
  <c r="CA49" i="1"/>
  <c r="CA82" i="1" s="1"/>
  <c r="CA86" i="1" s="1"/>
  <c r="E57" i="41"/>
  <c r="CC45" i="1"/>
  <c r="CD45" i="1"/>
  <c r="G98" i="15"/>
  <c r="H98" i="15"/>
  <c r="CD56" i="1"/>
  <c r="H75" i="15"/>
  <c r="CC56" i="1"/>
  <c r="CE27" i="1"/>
  <c r="I93" i="15"/>
  <c r="I85" i="15" s="1"/>
  <c r="CE32" i="1" s="1"/>
  <c r="G71" i="15"/>
  <c r="G75" i="15"/>
  <c r="E72" i="15"/>
  <c r="E90" i="15"/>
  <c r="E97" i="15" s="1"/>
  <c r="C73" i="9"/>
  <c r="V73" i="9" s="1"/>
  <c r="T72" i="9"/>
  <c r="CD31" i="1"/>
  <c r="CC31" i="1"/>
  <c r="BZ38" i="1"/>
  <c r="D71" i="15"/>
  <c r="CD41" i="1"/>
  <c r="CC41" i="1"/>
  <c r="CC43" i="1"/>
  <c r="CD43" i="1"/>
  <c r="F16" i="15"/>
  <c r="E64" i="41" l="1"/>
  <c r="CA88" i="1"/>
  <c r="BZ49" i="1"/>
  <c r="BZ82" i="1" s="1"/>
  <c r="BZ86" i="1" s="1"/>
  <c r="D57" i="41"/>
  <c r="CD27" i="1"/>
  <c r="CC27" i="1"/>
  <c r="H71" i="15"/>
  <c r="G93" i="15"/>
  <c r="G85" i="15" s="1"/>
  <c r="CC32" i="1" s="1"/>
  <c r="CC55" i="1"/>
  <c r="CC42" i="1"/>
  <c r="CD55" i="1"/>
  <c r="CD42" i="1"/>
  <c r="T73" i="9"/>
  <c r="C74" i="9"/>
  <c r="V74" i="9" s="1"/>
  <c r="D90" i="15"/>
  <c r="D97" i="15" s="1"/>
  <c r="D72" i="15"/>
  <c r="G72" i="15"/>
  <c r="CE34" i="1"/>
  <c r="CE35" i="1"/>
  <c r="CE33" i="1"/>
  <c r="G17" i="15"/>
  <c r="G23" i="15" s="1"/>
  <c r="F22" i="15"/>
  <c r="F19" i="15"/>
  <c r="I87" i="15"/>
  <c r="D64" i="41" l="1"/>
  <c r="BZ88" i="1"/>
  <c r="F25" i="15"/>
  <c r="F55" i="41"/>
  <c r="H93" i="15"/>
  <c r="H85" i="15" s="1"/>
  <c r="CD32" i="1" s="1"/>
  <c r="H17" i="15"/>
  <c r="H23" i="15" s="1"/>
  <c r="H72" i="15"/>
  <c r="T74" i="9"/>
  <c r="C75" i="9"/>
  <c r="V75" i="9" s="1"/>
  <c r="G87" i="15"/>
  <c r="G90" i="15" s="1"/>
  <c r="F71" i="15"/>
  <c r="I88" i="15"/>
  <c r="I18" i="15"/>
  <c r="I90" i="15"/>
  <c r="CD33" i="1" l="1"/>
  <c r="H87" i="15"/>
  <c r="H90" i="15" s="1"/>
  <c r="C76" i="9"/>
  <c r="V76" i="9" s="1"/>
  <c r="T75" i="9"/>
  <c r="CD35" i="1"/>
  <c r="CD34" i="1"/>
  <c r="G88" i="15"/>
  <c r="G18" i="15"/>
  <c r="G24" i="15" s="1"/>
  <c r="CC33" i="1"/>
  <c r="CC35" i="1"/>
  <c r="CC34" i="1"/>
  <c r="F90" i="15"/>
  <c r="F97" i="15" s="1"/>
  <c r="F72" i="15"/>
  <c r="CK45" i="1"/>
  <c r="CB38" i="1"/>
  <c r="I24" i="15"/>
  <c r="I19" i="15"/>
  <c r="I55" i="41" s="1"/>
  <c r="F57" i="41" l="1"/>
  <c r="CK75" i="1"/>
  <c r="H88" i="15"/>
  <c r="H18" i="15"/>
  <c r="H24" i="15" s="1"/>
  <c r="C77" i="9"/>
  <c r="V77" i="9" s="1"/>
  <c r="T76" i="9"/>
  <c r="G19" i="15"/>
  <c r="CK73" i="1"/>
  <c r="CK47" i="1"/>
  <c r="CK69" i="1"/>
  <c r="CK70" i="1"/>
  <c r="CK57" i="1"/>
  <c r="CK54" i="1"/>
  <c r="CK72" i="1"/>
  <c r="CK68" i="1"/>
  <c r="CK74" i="1"/>
  <c r="CK61" i="1"/>
  <c r="CK78" i="1"/>
  <c r="CK44" i="1"/>
  <c r="CK53" i="1"/>
  <c r="CK76" i="1"/>
  <c r="CK67" i="1"/>
  <c r="CB49" i="1"/>
  <c r="CK56" i="1"/>
  <c r="CK52" i="1"/>
  <c r="CK77" i="1"/>
  <c r="CK59" i="1"/>
  <c r="I97" i="15"/>
  <c r="I25" i="15"/>
  <c r="CH78" i="1" l="1"/>
  <c r="CI78" i="1"/>
  <c r="CG78" i="1"/>
  <c r="G97" i="15"/>
  <c r="G55" i="41"/>
  <c r="H19" i="15"/>
  <c r="T77" i="9"/>
  <c r="C78" i="9"/>
  <c r="G25" i="15"/>
  <c r="CB82" i="1"/>
  <c r="CK49" i="1"/>
  <c r="C79" i="9" l="1"/>
  <c r="V78" i="9"/>
  <c r="H97" i="15"/>
  <c r="H55" i="41"/>
  <c r="T78" i="9"/>
  <c r="H25" i="15"/>
  <c r="CK82" i="1"/>
  <c r="CK86" i="1" s="1"/>
  <c r="CB86" i="1"/>
  <c r="CB88" i="1" s="1"/>
  <c r="C80" i="9" l="1"/>
  <c r="T79" i="9"/>
  <c r="V79" i="9"/>
  <c r="F64" i="41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6" i="9"/>
  <c r="Y35" i="9"/>
  <c r="Y37" i="9"/>
  <c r="Y38" i="9"/>
  <c r="Y39" i="9"/>
  <c r="Y40" i="9"/>
  <c r="Y41" i="9"/>
  <c r="Y42" i="9"/>
  <c r="AC19" i="9" l="1"/>
  <c r="BM24" i="1" s="1"/>
  <c r="AC22" i="9"/>
  <c r="AC24" i="9"/>
  <c r="AC26" i="9"/>
  <c r="AC28" i="9"/>
  <c r="AX24" i="1" s="1"/>
  <c r="AC29" i="9"/>
  <c r="AY24" i="1" s="1"/>
  <c r="AC30" i="9"/>
  <c r="BL24" i="1" s="1"/>
  <c r="AC20" i="9"/>
  <c r="AC21" i="9"/>
  <c r="AC23" i="9"/>
  <c r="AC25" i="9"/>
  <c r="AC27" i="9"/>
  <c r="T80" i="9"/>
  <c r="C81" i="9"/>
  <c r="V80" i="9"/>
  <c r="CC38" i="1"/>
  <c r="G57" i="41" l="1"/>
  <c r="CC44" i="1"/>
  <c r="AX36" i="1"/>
  <c r="AX33" i="1"/>
  <c r="AX34" i="1"/>
  <c r="AX35" i="1"/>
  <c r="AX32" i="1"/>
  <c r="AX27" i="1"/>
  <c r="AX42" i="1"/>
  <c r="AX55" i="1"/>
  <c r="AX41" i="1"/>
  <c r="AX45" i="1"/>
  <c r="AX56" i="1"/>
  <c r="AX31" i="1"/>
  <c r="AX43" i="1"/>
  <c r="AX28" i="1"/>
  <c r="AX29" i="1"/>
  <c r="AX30" i="1"/>
  <c r="AX66" i="1"/>
  <c r="AY36" i="1"/>
  <c r="AY33" i="1"/>
  <c r="AY34" i="1"/>
  <c r="AY35" i="1"/>
  <c r="AY32" i="1"/>
  <c r="AY55" i="1"/>
  <c r="AY27" i="1"/>
  <c r="AY42" i="1"/>
  <c r="AY31" i="1"/>
  <c r="AY56" i="1"/>
  <c r="AY43" i="1"/>
  <c r="AY41" i="1"/>
  <c r="AY45" i="1"/>
  <c r="AY29" i="1"/>
  <c r="AY66" i="1"/>
  <c r="AY30" i="1"/>
  <c r="AY28" i="1"/>
  <c r="C82" i="9"/>
  <c r="T81" i="9"/>
  <c r="V81" i="9"/>
  <c r="BQ24" i="1"/>
  <c r="BE24" i="1"/>
  <c r="BR24" i="1"/>
  <c r="BF24" i="1"/>
  <c r="BS24" i="1"/>
  <c r="BG24" i="1"/>
  <c r="BT24" i="1"/>
  <c r="BH24" i="1"/>
  <c r="BA24" i="1"/>
  <c r="BN24" i="1"/>
  <c r="BB24" i="1"/>
  <c r="BO24" i="1"/>
  <c r="BC24" i="1"/>
  <c r="AW24" i="1"/>
  <c r="BI24" i="1"/>
  <c r="BJ24" i="1"/>
  <c r="BK24" i="1"/>
  <c r="AZ24" i="1"/>
  <c r="BD24" i="1"/>
  <c r="BP24" i="1"/>
  <c r="CC69" i="1"/>
  <c r="CC77" i="1"/>
  <c r="CC70" i="1"/>
  <c r="CC72" i="1"/>
  <c r="CC57" i="1"/>
  <c r="CC74" i="1"/>
  <c r="CC67" i="1"/>
  <c r="CC76" i="1"/>
  <c r="CC78" i="1"/>
  <c r="CC59" i="1"/>
  <c r="CC73" i="1"/>
  <c r="CC68" i="1"/>
  <c r="BQ45" i="1" l="1"/>
  <c r="CC58" i="1"/>
  <c r="CC61" i="1" s="1"/>
  <c r="AY38" i="1"/>
  <c r="AX38" i="1"/>
  <c r="C83" i="9"/>
  <c r="T82" i="9"/>
  <c r="V82" i="9"/>
  <c r="BN66" i="1"/>
  <c r="BN55" i="1"/>
  <c r="BN56" i="1"/>
  <c r="BO56" i="1"/>
  <c r="BO66" i="1"/>
  <c r="BO55" i="1"/>
  <c r="H48" i="41"/>
  <c r="H50" i="41" s="1"/>
  <c r="I48" i="41"/>
  <c r="I50" i="41" s="1"/>
  <c r="BJ66" i="1"/>
  <c r="BV66" i="1" s="1"/>
  <c r="BJ56" i="1"/>
  <c r="BV56" i="1" s="1"/>
  <c r="BJ55" i="1"/>
  <c r="BV55" i="1" s="1"/>
  <c r="BK66" i="1"/>
  <c r="BW66" i="1" s="1"/>
  <c r="BK56" i="1"/>
  <c r="BW56" i="1" s="1"/>
  <c r="BK55" i="1"/>
  <c r="BW55" i="1" s="1"/>
  <c r="AP75" i="1"/>
  <c r="AR75" i="1"/>
  <c r="AM75" i="1"/>
  <c r="AS75" i="1"/>
  <c r="AK75" i="1"/>
  <c r="AU75" i="1"/>
  <c r="AV75" i="1"/>
  <c r="AO75" i="1"/>
  <c r="AN75" i="1"/>
  <c r="AQ75" i="1"/>
  <c r="AT75" i="1"/>
  <c r="AL75" i="1"/>
  <c r="AK69" i="1"/>
  <c r="AN69" i="1"/>
  <c r="AV69" i="1"/>
  <c r="AU69" i="1"/>
  <c r="AM69" i="1"/>
  <c r="AR69" i="1"/>
  <c r="AP69" i="1"/>
  <c r="AQ69" i="1"/>
  <c r="AT69" i="1"/>
  <c r="AO69" i="1"/>
  <c r="AS69" i="1"/>
  <c r="AL69" i="1"/>
  <c r="AR77" i="1"/>
  <c r="AK77" i="1"/>
  <c r="AP77" i="1"/>
  <c r="AM77" i="1"/>
  <c r="AO77" i="1"/>
  <c r="AT77" i="1"/>
  <c r="AQ77" i="1"/>
  <c r="AN77" i="1"/>
  <c r="AU77" i="1"/>
  <c r="AS77" i="1"/>
  <c r="AV77" i="1"/>
  <c r="AL77" i="1"/>
  <c r="AV70" i="1"/>
  <c r="AN70" i="1"/>
  <c r="AO70" i="1"/>
  <c r="AT70" i="1"/>
  <c r="AQ70" i="1"/>
  <c r="AK70" i="1"/>
  <c r="AP70" i="1"/>
  <c r="AU70" i="1"/>
  <c r="AS70" i="1"/>
  <c r="AM70" i="1"/>
  <c r="AR70" i="1"/>
  <c r="AL70" i="1"/>
  <c r="AP72" i="1"/>
  <c r="AK72" i="1"/>
  <c r="AO72" i="1"/>
  <c r="AS72" i="1"/>
  <c r="AT72" i="1"/>
  <c r="AQ72" i="1"/>
  <c r="AR72" i="1"/>
  <c r="AV72" i="1"/>
  <c r="AL72" i="1"/>
  <c r="AU72" i="1"/>
  <c r="AM72" i="1"/>
  <c r="AN72" i="1"/>
  <c r="AR74" i="1"/>
  <c r="AQ74" i="1"/>
  <c r="AN74" i="1"/>
  <c r="AT74" i="1"/>
  <c r="AO74" i="1"/>
  <c r="AM74" i="1"/>
  <c r="AV74" i="1"/>
  <c r="AL74" i="1"/>
  <c r="AS74" i="1"/>
  <c r="AU74" i="1"/>
  <c r="AP74" i="1"/>
  <c r="AK74" i="1"/>
  <c r="AU67" i="1"/>
  <c r="AV67" i="1"/>
  <c r="AS67" i="1"/>
  <c r="AK67" i="1"/>
  <c r="AO67" i="1"/>
  <c r="AQ67" i="1"/>
  <c r="AT67" i="1"/>
  <c r="AR67" i="1"/>
  <c r="AN67" i="1"/>
  <c r="AM67" i="1"/>
  <c r="AP67" i="1"/>
  <c r="AL67" i="1"/>
  <c r="AO76" i="1"/>
  <c r="AL76" i="1"/>
  <c r="AU76" i="1"/>
  <c r="AM76" i="1"/>
  <c r="AS76" i="1"/>
  <c r="AK76" i="1"/>
  <c r="AR76" i="1"/>
  <c r="AT76" i="1"/>
  <c r="AP76" i="1"/>
  <c r="AN76" i="1"/>
  <c r="AQ76" i="1"/>
  <c r="AV76" i="1"/>
  <c r="AS78" i="1"/>
  <c r="AP78" i="1"/>
  <c r="AN78" i="1"/>
  <c r="AV78" i="1"/>
  <c r="AK78" i="1"/>
  <c r="AO78" i="1"/>
  <c r="AM78" i="1"/>
  <c r="AR78" i="1"/>
  <c r="AT78" i="1"/>
  <c r="AU78" i="1"/>
  <c r="AQ78" i="1"/>
  <c r="AL78" i="1"/>
  <c r="AK64" i="1"/>
  <c r="AM64" i="1"/>
  <c r="AL64" i="1"/>
  <c r="AU64" i="1"/>
  <c r="AV64" i="1"/>
  <c r="AQ64" i="1"/>
  <c r="AS64" i="1"/>
  <c r="AP64" i="1"/>
  <c r="AO64" i="1"/>
  <c r="AN64" i="1"/>
  <c r="AT64" i="1"/>
  <c r="AR64" i="1"/>
  <c r="AV73" i="1"/>
  <c r="AK73" i="1"/>
  <c r="AT73" i="1"/>
  <c r="AN73" i="1"/>
  <c r="AO73" i="1"/>
  <c r="AM73" i="1"/>
  <c r="AU73" i="1"/>
  <c r="AP73" i="1"/>
  <c r="AQ73" i="1"/>
  <c r="AS73" i="1"/>
  <c r="AR73" i="1"/>
  <c r="AL73" i="1"/>
  <c r="AR68" i="1"/>
  <c r="AO68" i="1"/>
  <c r="AM68" i="1"/>
  <c r="AT68" i="1"/>
  <c r="AU68" i="1"/>
  <c r="AQ68" i="1"/>
  <c r="AS68" i="1"/>
  <c r="AL68" i="1"/>
  <c r="AK68" i="1"/>
  <c r="AP68" i="1"/>
  <c r="AN68" i="1"/>
  <c r="AV68" i="1"/>
  <c r="BL56" i="1"/>
  <c r="BX56" i="1" s="1"/>
  <c r="BL55" i="1"/>
  <c r="BX55" i="1" s="1"/>
  <c r="BL66" i="1"/>
  <c r="BM66" i="1"/>
  <c r="BM56" i="1"/>
  <c r="BM55" i="1"/>
  <c r="BM34" i="1"/>
  <c r="BM33" i="1"/>
  <c r="BM36" i="1"/>
  <c r="BM35" i="1"/>
  <c r="BM32" i="1"/>
  <c r="BM27" i="1"/>
  <c r="BM42" i="1"/>
  <c r="BM41" i="1"/>
  <c r="BM43" i="1"/>
  <c r="BM29" i="1"/>
  <c r="BM31" i="1"/>
  <c r="BM28" i="1"/>
  <c r="BM45" i="1"/>
  <c r="BM30" i="1"/>
  <c r="BN34" i="1"/>
  <c r="BN33" i="1"/>
  <c r="BN36" i="1"/>
  <c r="BN35" i="1"/>
  <c r="BN32" i="1"/>
  <c r="BN27" i="1"/>
  <c r="BN42" i="1"/>
  <c r="BN41" i="1"/>
  <c r="BN43" i="1"/>
  <c r="BN28" i="1"/>
  <c r="BN31" i="1"/>
  <c r="BN29" i="1"/>
  <c r="BN45" i="1"/>
  <c r="BN30" i="1"/>
  <c r="BO34" i="1"/>
  <c r="BO33" i="1"/>
  <c r="BO36" i="1"/>
  <c r="BO35" i="1"/>
  <c r="BO32" i="1"/>
  <c r="BO27" i="1"/>
  <c r="BO42" i="1"/>
  <c r="BO41" i="1"/>
  <c r="BO43" i="1"/>
  <c r="BO29" i="1"/>
  <c r="BO28" i="1"/>
  <c r="BO31" i="1"/>
  <c r="BO45" i="1"/>
  <c r="BO30" i="1"/>
  <c r="BJ35" i="1"/>
  <c r="BV35" i="1" s="1"/>
  <c r="BJ34" i="1"/>
  <c r="BV34" i="1" s="1"/>
  <c r="BJ33" i="1"/>
  <c r="BV33" i="1" s="1"/>
  <c r="BJ36" i="1"/>
  <c r="BV36" i="1" s="1"/>
  <c r="BJ32" i="1"/>
  <c r="BV32" i="1" s="1"/>
  <c r="BJ27" i="1"/>
  <c r="BJ42" i="1"/>
  <c r="BV42" i="1" s="1"/>
  <c r="BJ41" i="1"/>
  <c r="BJ43" i="1"/>
  <c r="BV43" i="1" s="1"/>
  <c r="BJ29" i="1"/>
  <c r="BV29" i="1" s="1"/>
  <c r="BJ31" i="1"/>
  <c r="BV31" i="1" s="1"/>
  <c r="BJ28" i="1"/>
  <c r="BV28" i="1" s="1"/>
  <c r="BJ45" i="1"/>
  <c r="BV45" i="1" s="1"/>
  <c r="BJ30" i="1"/>
  <c r="BV30" i="1" s="1"/>
  <c r="BK34" i="1"/>
  <c r="BW34" i="1" s="1"/>
  <c r="BK33" i="1"/>
  <c r="BW33" i="1" s="1"/>
  <c r="BK36" i="1"/>
  <c r="BW36" i="1" s="1"/>
  <c r="BK35" i="1"/>
  <c r="BW35" i="1" s="1"/>
  <c r="BK32" i="1"/>
  <c r="BW32" i="1" s="1"/>
  <c r="BK27" i="1"/>
  <c r="BK42" i="1"/>
  <c r="BW42" i="1" s="1"/>
  <c r="BK41" i="1"/>
  <c r="BK43" i="1"/>
  <c r="BW43" i="1" s="1"/>
  <c r="BK29" i="1"/>
  <c r="BW29" i="1" s="1"/>
  <c r="BK31" i="1"/>
  <c r="BW31" i="1" s="1"/>
  <c r="BK28" i="1"/>
  <c r="BW28" i="1" s="1"/>
  <c r="BK45" i="1"/>
  <c r="BW45" i="1" s="1"/>
  <c r="BK30" i="1"/>
  <c r="BW30" i="1" s="1"/>
  <c r="BL34" i="1"/>
  <c r="BX34" i="1" s="1"/>
  <c r="BL33" i="1"/>
  <c r="BX33" i="1" s="1"/>
  <c r="BL36" i="1"/>
  <c r="BX36" i="1" s="1"/>
  <c r="BL35" i="1"/>
  <c r="BX35" i="1" s="1"/>
  <c r="BL32" i="1"/>
  <c r="BX32" i="1" s="1"/>
  <c r="BL27" i="1"/>
  <c r="BL42" i="1"/>
  <c r="BX42" i="1" s="1"/>
  <c r="BL41" i="1"/>
  <c r="BL43" i="1"/>
  <c r="BX43" i="1" s="1"/>
  <c r="BL29" i="1"/>
  <c r="BX29" i="1" s="1"/>
  <c r="BL28" i="1"/>
  <c r="BX28" i="1" s="1"/>
  <c r="BL31" i="1"/>
  <c r="BX31" i="1" s="1"/>
  <c r="BL45" i="1"/>
  <c r="BX45" i="1" s="1"/>
  <c r="BL30" i="1"/>
  <c r="BX30" i="1" s="1"/>
  <c r="CC47" i="1"/>
  <c r="BU23" i="1"/>
  <c r="BV23" i="1"/>
  <c r="BW23" i="1"/>
  <c r="BX23" i="1"/>
  <c r="CC80" i="1"/>
  <c r="T83" i="9" l="1"/>
  <c r="C84" i="9"/>
  <c r="V83" i="9"/>
  <c r="CG47" i="1"/>
  <c r="CC49" i="1"/>
  <c r="AW33" i="1"/>
  <c r="AW36" i="1"/>
  <c r="AW42" i="1"/>
  <c r="AW43" i="1"/>
  <c r="AW45" i="1"/>
  <c r="AW28" i="1"/>
  <c r="AW30" i="1"/>
  <c r="BI34" i="1"/>
  <c r="BU34" i="1" s="1"/>
  <c r="BI36" i="1"/>
  <c r="BU36" i="1" s="1"/>
  <c r="BI27" i="1"/>
  <c r="AW34" i="1"/>
  <c r="AW35" i="1"/>
  <c r="AW32" i="1"/>
  <c r="AW27" i="1"/>
  <c r="AW31" i="1"/>
  <c r="AW41" i="1"/>
  <c r="AW29" i="1"/>
  <c r="BI35" i="1"/>
  <c r="BU35" i="1" s="1"/>
  <c r="BI33" i="1"/>
  <c r="BU33" i="1" s="1"/>
  <c r="BI32" i="1"/>
  <c r="BU32" i="1" s="1"/>
  <c r="BI42" i="1"/>
  <c r="BU42" i="1" s="1"/>
  <c r="BI41" i="1"/>
  <c r="BI43" i="1"/>
  <c r="BU43" i="1" s="1"/>
  <c r="BI29" i="1"/>
  <c r="BU29" i="1" s="1"/>
  <c r="BI31" i="1"/>
  <c r="BU31" i="1" s="1"/>
  <c r="BI28" i="1"/>
  <c r="BU28" i="1" s="1"/>
  <c r="BI45" i="1"/>
  <c r="BU45" i="1" s="1"/>
  <c r="BI30" i="1"/>
  <c r="BU30" i="1" s="1"/>
  <c r="AW55" i="1"/>
  <c r="AW66" i="1"/>
  <c r="AW56" i="1"/>
  <c r="BI56" i="1"/>
  <c r="BU56" i="1" s="1"/>
  <c r="BI55" i="1"/>
  <c r="BU55" i="1" s="1"/>
  <c r="BI66" i="1"/>
  <c r="BU66" i="1" s="1"/>
  <c r="BQ56" i="1"/>
  <c r="BQ55" i="1"/>
  <c r="BQ66" i="1"/>
  <c r="BE66" i="1"/>
  <c r="BE56" i="1"/>
  <c r="BE55" i="1"/>
  <c r="BR55" i="1"/>
  <c r="BR56" i="1"/>
  <c r="BR66" i="1"/>
  <c r="BF66" i="1"/>
  <c r="BF56" i="1"/>
  <c r="BF55" i="1"/>
  <c r="BS56" i="1"/>
  <c r="BS55" i="1"/>
  <c r="BS66" i="1"/>
  <c r="BG66" i="1"/>
  <c r="BG56" i="1"/>
  <c r="BG55" i="1"/>
  <c r="BT56" i="1"/>
  <c r="BT55" i="1"/>
  <c r="BT66" i="1"/>
  <c r="BH66" i="1"/>
  <c r="BH56" i="1"/>
  <c r="BH55" i="1"/>
  <c r="BA66" i="1"/>
  <c r="BA56" i="1"/>
  <c r="BA55" i="1"/>
  <c r="BB66" i="1"/>
  <c r="BB56" i="1"/>
  <c r="BB55" i="1"/>
  <c r="BC56" i="1"/>
  <c r="BC55" i="1"/>
  <c r="BC66" i="1"/>
  <c r="AZ66" i="1"/>
  <c r="AZ56" i="1"/>
  <c r="AZ55" i="1"/>
  <c r="BD55" i="1"/>
  <c r="BD56" i="1"/>
  <c r="BD66" i="1"/>
  <c r="BP55" i="1"/>
  <c r="BP66" i="1"/>
  <c r="BP56" i="1"/>
  <c r="BX66" i="1"/>
  <c r="BQ34" i="1"/>
  <c r="BQ33" i="1"/>
  <c r="BQ36" i="1"/>
  <c r="BQ35" i="1"/>
  <c r="BQ32" i="1"/>
  <c r="BQ27" i="1"/>
  <c r="BQ42" i="1"/>
  <c r="BQ41" i="1"/>
  <c r="BQ43" i="1"/>
  <c r="BQ29" i="1"/>
  <c r="BQ31" i="1"/>
  <c r="BQ28" i="1"/>
  <c r="BQ30" i="1"/>
  <c r="BE33" i="1"/>
  <c r="BE34" i="1"/>
  <c r="BE35" i="1"/>
  <c r="BE36" i="1"/>
  <c r="BE32" i="1"/>
  <c r="BE42" i="1"/>
  <c r="BE27" i="1"/>
  <c r="BE43" i="1"/>
  <c r="BE45" i="1"/>
  <c r="BE31" i="1"/>
  <c r="BE41" i="1"/>
  <c r="BE28" i="1"/>
  <c r="BE29" i="1"/>
  <c r="BE30" i="1"/>
  <c r="BR35" i="1"/>
  <c r="BR34" i="1"/>
  <c r="BR33" i="1"/>
  <c r="BR36" i="1"/>
  <c r="BR32" i="1"/>
  <c r="BR27" i="1"/>
  <c r="BR42" i="1"/>
  <c r="BR41" i="1"/>
  <c r="BR43" i="1"/>
  <c r="BR28" i="1"/>
  <c r="BR31" i="1"/>
  <c r="BR29" i="1"/>
  <c r="BR45" i="1"/>
  <c r="BR30" i="1"/>
  <c r="BF33" i="1"/>
  <c r="BF34" i="1"/>
  <c r="BF35" i="1"/>
  <c r="BF36" i="1"/>
  <c r="BF32" i="1"/>
  <c r="BF42" i="1"/>
  <c r="BF27" i="1"/>
  <c r="BF45" i="1"/>
  <c r="BF43" i="1"/>
  <c r="BF31" i="1"/>
  <c r="BF41" i="1"/>
  <c r="BF28" i="1"/>
  <c r="BF29" i="1"/>
  <c r="BF30" i="1"/>
  <c r="BS34" i="1"/>
  <c r="BS33" i="1"/>
  <c r="BS36" i="1"/>
  <c r="BS35" i="1"/>
  <c r="BS32" i="1"/>
  <c r="BS27" i="1"/>
  <c r="BS42" i="1"/>
  <c r="BS41" i="1"/>
  <c r="BS43" i="1"/>
  <c r="BS28" i="1"/>
  <c r="BS31" i="1"/>
  <c r="BS29" i="1"/>
  <c r="BS45" i="1"/>
  <c r="BS30" i="1"/>
  <c r="BG33" i="1"/>
  <c r="BG34" i="1"/>
  <c r="BG35" i="1"/>
  <c r="BG36" i="1"/>
  <c r="BG32" i="1"/>
  <c r="BG42" i="1"/>
  <c r="BG27" i="1"/>
  <c r="BG43" i="1"/>
  <c r="BG31" i="1"/>
  <c r="BG45" i="1"/>
  <c r="BG41" i="1"/>
  <c r="BG28" i="1"/>
  <c r="BG29" i="1"/>
  <c r="BG30" i="1"/>
  <c r="BT35" i="1"/>
  <c r="BT34" i="1"/>
  <c r="BT33" i="1"/>
  <c r="BT36" i="1"/>
  <c r="BT32" i="1"/>
  <c r="BT27" i="1"/>
  <c r="BT42" i="1"/>
  <c r="BT41" i="1"/>
  <c r="BT43" i="1"/>
  <c r="BT29" i="1"/>
  <c r="BT31" i="1"/>
  <c r="BT28" i="1"/>
  <c r="BT45" i="1"/>
  <c r="BT30" i="1"/>
  <c r="BH34" i="1"/>
  <c r="BH33" i="1"/>
  <c r="BH35" i="1"/>
  <c r="BH36" i="1"/>
  <c r="BH32" i="1"/>
  <c r="BH42" i="1"/>
  <c r="BH27" i="1"/>
  <c r="BH43" i="1"/>
  <c r="BH45" i="1"/>
  <c r="BH31" i="1"/>
  <c r="BH41" i="1"/>
  <c r="BH29" i="1"/>
  <c r="BH28" i="1"/>
  <c r="BH30" i="1"/>
  <c r="BM38" i="1"/>
  <c r="BA36" i="1"/>
  <c r="BA33" i="1"/>
  <c r="BA34" i="1"/>
  <c r="BA35" i="1"/>
  <c r="BA32" i="1"/>
  <c r="BA42" i="1"/>
  <c r="BA27" i="1"/>
  <c r="BA43" i="1"/>
  <c r="BA31" i="1"/>
  <c r="BA45" i="1"/>
  <c r="BA41" i="1"/>
  <c r="BA28" i="1"/>
  <c r="BA29" i="1"/>
  <c r="BA30" i="1"/>
  <c r="BN38" i="1"/>
  <c r="BB34" i="1"/>
  <c r="BB33" i="1"/>
  <c r="BB35" i="1"/>
  <c r="BB36" i="1"/>
  <c r="BB32" i="1"/>
  <c r="BB27" i="1"/>
  <c r="BB42" i="1"/>
  <c r="BB31" i="1"/>
  <c r="BB45" i="1"/>
  <c r="BB43" i="1"/>
  <c r="BB41" i="1"/>
  <c r="BB29" i="1"/>
  <c r="BB28" i="1"/>
  <c r="BB30" i="1"/>
  <c r="BO38" i="1"/>
  <c r="BC33" i="1"/>
  <c r="BC34" i="1"/>
  <c r="BC35" i="1"/>
  <c r="BC36" i="1"/>
  <c r="BC32" i="1"/>
  <c r="BC42" i="1"/>
  <c r="BC27" i="1"/>
  <c r="BC43" i="1"/>
  <c r="BC45" i="1"/>
  <c r="BC31" i="1"/>
  <c r="BC41" i="1"/>
  <c r="BC28" i="1"/>
  <c r="BC29" i="1"/>
  <c r="BC30" i="1"/>
  <c r="BV27" i="1"/>
  <c r="BV38" i="1" s="1"/>
  <c r="BJ38" i="1"/>
  <c r="BV41" i="1"/>
  <c r="BW27" i="1"/>
  <c r="BW38" i="1" s="1"/>
  <c r="BK38" i="1"/>
  <c r="BW41" i="1"/>
  <c r="AZ36" i="1"/>
  <c r="AZ33" i="1"/>
  <c r="AZ34" i="1"/>
  <c r="AZ35" i="1"/>
  <c r="AZ32" i="1"/>
  <c r="AZ42" i="1"/>
  <c r="AZ27" i="1"/>
  <c r="AZ31" i="1"/>
  <c r="AZ45" i="1"/>
  <c r="AZ43" i="1"/>
  <c r="AZ41" i="1"/>
  <c r="AZ28" i="1"/>
  <c r="AZ29" i="1"/>
  <c r="AZ30" i="1"/>
  <c r="BX27" i="1"/>
  <c r="BX38" i="1" s="1"/>
  <c r="BL38" i="1"/>
  <c r="BX41" i="1"/>
  <c r="BD33" i="1"/>
  <c r="BD34" i="1"/>
  <c r="BD35" i="1"/>
  <c r="BD36" i="1"/>
  <c r="BD32" i="1"/>
  <c r="BD42" i="1"/>
  <c r="BD27" i="1"/>
  <c r="BD45" i="1"/>
  <c r="BD31" i="1"/>
  <c r="BD43" i="1"/>
  <c r="BD41" i="1"/>
  <c r="BD28" i="1"/>
  <c r="BD29" i="1"/>
  <c r="BD30" i="1"/>
  <c r="BP34" i="1"/>
  <c r="BP35" i="1"/>
  <c r="BP33" i="1"/>
  <c r="BP36" i="1"/>
  <c r="BP32" i="1"/>
  <c r="BP27" i="1"/>
  <c r="BP42" i="1"/>
  <c r="BP41" i="1"/>
  <c r="BP43" i="1"/>
  <c r="BP28" i="1"/>
  <c r="BP31" i="1"/>
  <c r="BP29" i="1"/>
  <c r="BP45" i="1"/>
  <c r="BP30" i="1"/>
  <c r="CG80" i="1"/>
  <c r="CG61" i="1"/>
  <c r="CE38" i="1"/>
  <c r="I57" i="41" s="1"/>
  <c r="CD38" i="1"/>
  <c r="H57" i="41" s="1"/>
  <c r="C85" i="9" l="1"/>
  <c r="T84" i="9"/>
  <c r="V84" i="9"/>
  <c r="CG49" i="1"/>
  <c r="CC82" i="1"/>
  <c r="BT38" i="1"/>
  <c r="AW38" i="1"/>
  <c r="BU27" i="1"/>
  <c r="BU38" i="1" s="1"/>
  <c r="BI38" i="1"/>
  <c r="BU41" i="1"/>
  <c r="BH38" i="1"/>
  <c r="BA38" i="1"/>
  <c r="BB38" i="1"/>
  <c r="BC38" i="1"/>
  <c r="AZ38" i="1"/>
  <c r="BQ38" i="1"/>
  <c r="BE38" i="1"/>
  <c r="BF38" i="1"/>
  <c r="BS38" i="1"/>
  <c r="BG38" i="1"/>
  <c r="BD38" i="1"/>
  <c r="BP38" i="1"/>
  <c r="BR38" i="1"/>
  <c r="CE78" i="1"/>
  <c r="CE76" i="1"/>
  <c r="CE73" i="1"/>
  <c r="CE74" i="1"/>
  <c r="CE68" i="1"/>
  <c r="CD74" i="1"/>
  <c r="CD67" i="1"/>
  <c r="CD77" i="1"/>
  <c r="CE69" i="1"/>
  <c r="CD72" i="1"/>
  <c r="CD76" i="1"/>
  <c r="CE67" i="1"/>
  <c r="CD73" i="1"/>
  <c r="CD78" i="1"/>
  <c r="CD57" i="1"/>
  <c r="CD70" i="1"/>
  <c r="CE70" i="1"/>
  <c r="CE44" i="1"/>
  <c r="CD59" i="1"/>
  <c r="CE59" i="1"/>
  <c r="CD44" i="1"/>
  <c r="CE77" i="1"/>
  <c r="CD69" i="1"/>
  <c r="CD68" i="1"/>
  <c r="CE57" i="1"/>
  <c r="CE72" i="1"/>
  <c r="CD58" i="1" l="1"/>
  <c r="CE58" i="1"/>
  <c r="BN21" i="1"/>
  <c r="BN22" i="1" s="1"/>
  <c r="T85" i="9"/>
  <c r="C86" i="9"/>
  <c r="T21" i="1" s="1"/>
  <c r="T23" i="1" s="1"/>
  <c r="V85" i="9"/>
  <c r="P21" i="1"/>
  <c r="P23" i="1" s="1"/>
  <c r="BE21" i="1"/>
  <c r="BE22" i="1" s="1"/>
  <c r="AV21" i="1"/>
  <c r="AV23" i="1" s="1"/>
  <c r="AQ21" i="1"/>
  <c r="AP21" i="1"/>
  <c r="AP23" i="1" s="1"/>
  <c r="AP24" i="1" s="1"/>
  <c r="AP58" i="1" s="1"/>
  <c r="R21" i="1"/>
  <c r="R23" i="1" s="1"/>
  <c r="CG82" i="1"/>
  <c r="CC86" i="1"/>
  <c r="I56" i="41"/>
  <c r="I58" i="41" s="1"/>
  <c r="H56" i="41"/>
  <c r="H58" i="41" s="1"/>
  <c r="BR78" i="1"/>
  <c r="BN78" i="1"/>
  <c r="BQ78" i="1"/>
  <c r="BP78" i="1"/>
  <c r="BL78" i="1"/>
  <c r="BX78" i="1" s="1"/>
  <c r="BT78" i="1"/>
  <c r="BM78" i="1"/>
  <c r="BS78" i="1"/>
  <c r="BK78" i="1"/>
  <c r="BW78" i="1" s="1"/>
  <c r="BJ78" i="1"/>
  <c r="BV78" i="1" s="1"/>
  <c r="BO78" i="1"/>
  <c r="BI78" i="1"/>
  <c r="BU78" i="1" s="1"/>
  <c r="BP76" i="1"/>
  <c r="BI76" i="1"/>
  <c r="BU76" i="1" s="1"/>
  <c r="BR76" i="1"/>
  <c r="BL76" i="1"/>
  <c r="BX76" i="1" s="1"/>
  <c r="BS76" i="1"/>
  <c r="BQ76" i="1"/>
  <c r="BT76" i="1"/>
  <c r="BM76" i="1"/>
  <c r="BN76" i="1"/>
  <c r="BK76" i="1"/>
  <c r="BW76" i="1" s="1"/>
  <c r="BO76" i="1"/>
  <c r="BJ76" i="1"/>
  <c r="BV76" i="1" s="1"/>
  <c r="BN73" i="1"/>
  <c r="BR73" i="1"/>
  <c r="BK73" i="1"/>
  <c r="BW73" i="1" s="1"/>
  <c r="BL73" i="1"/>
  <c r="BX73" i="1" s="1"/>
  <c r="BP73" i="1"/>
  <c r="BI73" i="1"/>
  <c r="BU73" i="1" s="1"/>
  <c r="BO73" i="1"/>
  <c r="BJ73" i="1"/>
  <c r="BV73" i="1" s="1"/>
  <c r="BQ73" i="1"/>
  <c r="BT73" i="1"/>
  <c r="BS73" i="1"/>
  <c r="BM73" i="1"/>
  <c r="BM74" i="1"/>
  <c r="BN74" i="1"/>
  <c r="BL74" i="1"/>
  <c r="BX74" i="1" s="1"/>
  <c r="BK74" i="1"/>
  <c r="BW74" i="1" s="1"/>
  <c r="BI74" i="1"/>
  <c r="BU74" i="1" s="1"/>
  <c r="BP74" i="1"/>
  <c r="BR74" i="1"/>
  <c r="BQ74" i="1"/>
  <c r="BJ74" i="1"/>
  <c r="BV74" i="1" s="1"/>
  <c r="BS74" i="1"/>
  <c r="BO74" i="1"/>
  <c r="BT74" i="1"/>
  <c r="BM68" i="1"/>
  <c r="BR68" i="1"/>
  <c r="BK68" i="1"/>
  <c r="BW68" i="1" s="1"/>
  <c r="BJ68" i="1"/>
  <c r="BV68" i="1" s="1"/>
  <c r="BO68" i="1"/>
  <c r="BL68" i="1"/>
  <c r="BX68" i="1" s="1"/>
  <c r="BN68" i="1"/>
  <c r="BQ68" i="1"/>
  <c r="BS68" i="1"/>
  <c r="BP68" i="1"/>
  <c r="BT68" i="1"/>
  <c r="BI68" i="1"/>
  <c r="BU68" i="1" s="1"/>
  <c r="BB74" i="1"/>
  <c r="AW74" i="1"/>
  <c r="AY74" i="1"/>
  <c r="BA74" i="1"/>
  <c r="BE74" i="1"/>
  <c r="BG74" i="1"/>
  <c r="BF74" i="1"/>
  <c r="BD74" i="1"/>
  <c r="BC74" i="1"/>
  <c r="AX74" i="1"/>
  <c r="AZ74" i="1"/>
  <c r="BH74" i="1"/>
  <c r="AY67" i="1"/>
  <c r="BH67" i="1"/>
  <c r="BF67" i="1"/>
  <c r="BD67" i="1"/>
  <c r="BB67" i="1"/>
  <c r="AX67" i="1"/>
  <c r="AW67" i="1"/>
  <c r="AZ67" i="1"/>
  <c r="BC67" i="1"/>
  <c r="BA67" i="1"/>
  <c r="BG67" i="1"/>
  <c r="BE67" i="1"/>
  <c r="AX77" i="1"/>
  <c r="AW77" i="1"/>
  <c r="BF77" i="1"/>
  <c r="BB77" i="1"/>
  <c r="BE77" i="1"/>
  <c r="AZ77" i="1"/>
  <c r="AY77" i="1"/>
  <c r="BG77" i="1"/>
  <c r="BD77" i="1"/>
  <c r="BA77" i="1"/>
  <c r="BC77" i="1"/>
  <c r="BH77" i="1"/>
  <c r="BS69" i="1"/>
  <c r="BK69" i="1"/>
  <c r="BW69" i="1" s="1"/>
  <c r="BQ69" i="1"/>
  <c r="BI69" i="1"/>
  <c r="BU69" i="1" s="1"/>
  <c r="BN69" i="1"/>
  <c r="BO69" i="1"/>
  <c r="BR69" i="1"/>
  <c r="BL69" i="1"/>
  <c r="BX69" i="1" s="1"/>
  <c r="BM69" i="1"/>
  <c r="BP69" i="1"/>
  <c r="BJ69" i="1"/>
  <c r="BV69" i="1" s="1"/>
  <c r="BT69" i="1"/>
  <c r="BB72" i="1"/>
  <c r="BF72" i="1"/>
  <c r="BD72" i="1"/>
  <c r="AZ72" i="1"/>
  <c r="AY72" i="1"/>
  <c r="BE72" i="1"/>
  <c r="BG72" i="1"/>
  <c r="AW72" i="1"/>
  <c r="AX72" i="1"/>
  <c r="BH72" i="1"/>
  <c r="BA72" i="1"/>
  <c r="BC72" i="1"/>
  <c r="BF76" i="1"/>
  <c r="AW76" i="1"/>
  <c r="BC76" i="1"/>
  <c r="BD76" i="1"/>
  <c r="BB76" i="1"/>
  <c r="BE76" i="1"/>
  <c r="AX76" i="1"/>
  <c r="BH76" i="1"/>
  <c r="BA76" i="1"/>
  <c r="BG76" i="1"/>
  <c r="AZ76" i="1"/>
  <c r="AY76" i="1"/>
  <c r="BI67" i="1"/>
  <c r="BU67" i="1" s="1"/>
  <c r="BN67" i="1"/>
  <c r="BR67" i="1"/>
  <c r="BS67" i="1"/>
  <c r="BP67" i="1"/>
  <c r="BO67" i="1"/>
  <c r="BK67" i="1"/>
  <c r="BW67" i="1" s="1"/>
  <c r="BQ67" i="1"/>
  <c r="BM67" i="1"/>
  <c r="BL67" i="1"/>
  <c r="BX67" i="1" s="1"/>
  <c r="BJ67" i="1"/>
  <c r="BV67" i="1" s="1"/>
  <c r="BT67" i="1"/>
  <c r="BO64" i="1"/>
  <c r="BJ64" i="1"/>
  <c r="BQ64" i="1"/>
  <c r="BT64" i="1"/>
  <c r="BR64" i="1"/>
  <c r="BI64" i="1"/>
  <c r="BN64" i="1"/>
  <c r="BK64" i="1"/>
  <c r="BL64" i="1"/>
  <c r="BS64" i="1"/>
  <c r="BM64" i="1"/>
  <c r="BP64" i="1"/>
  <c r="BF73" i="1"/>
  <c r="AZ73" i="1"/>
  <c r="AY73" i="1"/>
  <c r="BB73" i="1"/>
  <c r="AX73" i="1"/>
  <c r="BD73" i="1"/>
  <c r="BH73" i="1"/>
  <c r="BA73" i="1"/>
  <c r="BC73" i="1"/>
  <c r="AW73" i="1"/>
  <c r="BE73" i="1"/>
  <c r="BG73" i="1"/>
  <c r="BF64" i="1"/>
  <c r="AZ64" i="1"/>
  <c r="AX64" i="1"/>
  <c r="BG64" i="1"/>
  <c r="AY64" i="1"/>
  <c r="BA64" i="1"/>
  <c r="BE64" i="1"/>
  <c r="BH64" i="1"/>
  <c r="BD64" i="1"/>
  <c r="BC64" i="1"/>
  <c r="AW64" i="1"/>
  <c r="BB64" i="1"/>
  <c r="AX78" i="1"/>
  <c r="BE78" i="1"/>
  <c r="BF78" i="1"/>
  <c r="BB78" i="1"/>
  <c r="AW78" i="1"/>
  <c r="BA78" i="1"/>
  <c r="BH78" i="1"/>
  <c r="AY78" i="1"/>
  <c r="BG78" i="1"/>
  <c r="AZ78" i="1"/>
  <c r="BC78" i="1"/>
  <c r="BD78" i="1"/>
  <c r="BH57" i="1"/>
  <c r="BF57" i="1"/>
  <c r="AW57" i="1"/>
  <c r="BG57" i="1"/>
  <c r="BC57" i="1"/>
  <c r="BD57" i="1"/>
  <c r="AZ57" i="1"/>
  <c r="BB57" i="1"/>
  <c r="BE57" i="1"/>
  <c r="AY57" i="1"/>
  <c r="BA57" i="1"/>
  <c r="AX57" i="1"/>
  <c r="BH70" i="1"/>
  <c r="AX70" i="1"/>
  <c r="BC70" i="1"/>
  <c r="BF70" i="1"/>
  <c r="BD70" i="1"/>
  <c r="AZ70" i="1"/>
  <c r="BA70" i="1"/>
  <c r="AY70" i="1"/>
  <c r="BE70" i="1"/>
  <c r="BB70" i="1"/>
  <c r="AW70" i="1"/>
  <c r="BG70" i="1"/>
  <c r="BN70" i="1"/>
  <c r="BQ70" i="1"/>
  <c r="BK70" i="1"/>
  <c r="BW70" i="1" s="1"/>
  <c r="BS70" i="1"/>
  <c r="BL70" i="1"/>
  <c r="BX70" i="1" s="1"/>
  <c r="BM70" i="1"/>
  <c r="BJ70" i="1"/>
  <c r="BV70" i="1" s="1"/>
  <c r="BT70" i="1"/>
  <c r="BP70" i="1"/>
  <c r="BR70" i="1"/>
  <c r="BI70" i="1"/>
  <c r="BU70" i="1" s="1"/>
  <c r="BO70" i="1"/>
  <c r="AY75" i="1"/>
  <c r="BE75" i="1"/>
  <c r="BB75" i="1"/>
  <c r="BH75" i="1"/>
  <c r="AW75" i="1"/>
  <c r="AZ75" i="1"/>
  <c r="AX75" i="1"/>
  <c r="BD75" i="1"/>
  <c r="BF75" i="1"/>
  <c r="BG75" i="1"/>
  <c r="BA75" i="1"/>
  <c r="BC75" i="1"/>
  <c r="BO75" i="1"/>
  <c r="BN75" i="1"/>
  <c r="BS75" i="1"/>
  <c r="BR75" i="1"/>
  <c r="BL75" i="1"/>
  <c r="BX75" i="1" s="1"/>
  <c r="BJ75" i="1"/>
  <c r="BV75" i="1" s="1"/>
  <c r="BT75" i="1"/>
  <c r="BK75" i="1"/>
  <c r="BW75" i="1" s="1"/>
  <c r="BI75" i="1"/>
  <c r="BU75" i="1" s="1"/>
  <c r="BP75" i="1"/>
  <c r="BM75" i="1"/>
  <c r="BQ75" i="1"/>
  <c r="BA59" i="1"/>
  <c r="AY59" i="1"/>
  <c r="AX59" i="1"/>
  <c r="AW59" i="1"/>
  <c r="BH59" i="1"/>
  <c r="BE59" i="1"/>
  <c r="BD59" i="1"/>
  <c r="BG59" i="1"/>
  <c r="BF59" i="1"/>
  <c r="BC59" i="1"/>
  <c r="BB59" i="1"/>
  <c r="AZ59" i="1"/>
  <c r="BN59" i="1"/>
  <c r="BK59" i="1"/>
  <c r="BW59" i="1" s="1"/>
  <c r="BT59" i="1"/>
  <c r="BQ59" i="1"/>
  <c r="BS59" i="1"/>
  <c r="BR59" i="1"/>
  <c r="BI59" i="1"/>
  <c r="BU59" i="1" s="1"/>
  <c r="BJ59" i="1"/>
  <c r="BV59" i="1" s="1"/>
  <c r="BL59" i="1"/>
  <c r="BX59" i="1" s="1"/>
  <c r="BO59" i="1"/>
  <c r="BM59" i="1"/>
  <c r="BP59" i="1"/>
  <c r="BK77" i="1"/>
  <c r="BW77" i="1" s="1"/>
  <c r="BJ77" i="1"/>
  <c r="BV77" i="1" s="1"/>
  <c r="BP77" i="1"/>
  <c r="BS77" i="1"/>
  <c r="BM77" i="1"/>
  <c r="BN77" i="1"/>
  <c r="BR77" i="1"/>
  <c r="BI77" i="1"/>
  <c r="BU77" i="1" s="1"/>
  <c r="BL77" i="1"/>
  <c r="BX77" i="1" s="1"/>
  <c r="BQ77" i="1"/>
  <c r="BT77" i="1"/>
  <c r="BO77" i="1"/>
  <c r="BC69" i="1"/>
  <c r="AY69" i="1"/>
  <c r="BH69" i="1"/>
  <c r="BA69" i="1"/>
  <c r="BB69" i="1"/>
  <c r="AW69" i="1"/>
  <c r="AX69" i="1"/>
  <c r="BG69" i="1"/>
  <c r="BE69" i="1"/>
  <c r="BD69" i="1"/>
  <c r="BF69" i="1"/>
  <c r="AZ69" i="1"/>
  <c r="BO54" i="1"/>
  <c r="BQ54" i="1"/>
  <c r="BS54" i="1"/>
  <c r="BK54" i="1"/>
  <c r="BN54" i="1"/>
  <c r="BR54" i="1"/>
  <c r="BP54" i="1"/>
  <c r="BJ54" i="1"/>
  <c r="BT54" i="1"/>
  <c r="BI54" i="1"/>
  <c r="BL54" i="1"/>
  <c r="BM54" i="1"/>
  <c r="AZ68" i="1"/>
  <c r="BB68" i="1"/>
  <c r="BG68" i="1"/>
  <c r="AX68" i="1"/>
  <c r="BF68" i="1"/>
  <c r="BE68" i="1"/>
  <c r="BC68" i="1"/>
  <c r="BD68" i="1"/>
  <c r="AW68" i="1"/>
  <c r="AY68" i="1"/>
  <c r="BA68" i="1"/>
  <c r="BH68" i="1"/>
  <c r="BG54" i="1"/>
  <c r="BA54" i="1"/>
  <c r="AY54" i="1"/>
  <c r="AX54" i="1"/>
  <c r="AW54" i="1"/>
  <c r="BD54" i="1"/>
  <c r="BE54" i="1"/>
  <c r="BC54" i="1"/>
  <c r="BB54" i="1"/>
  <c r="AZ54" i="1"/>
  <c r="BH54" i="1"/>
  <c r="BF54" i="1"/>
  <c r="BS57" i="1"/>
  <c r="BK57" i="1"/>
  <c r="BW57" i="1" s="1"/>
  <c r="BN57" i="1"/>
  <c r="BI57" i="1"/>
  <c r="BU57" i="1" s="1"/>
  <c r="BR57" i="1"/>
  <c r="BP57" i="1"/>
  <c r="BT57" i="1"/>
  <c r="BJ57" i="1"/>
  <c r="BV57" i="1" s="1"/>
  <c r="BQ57" i="1"/>
  <c r="BL57" i="1"/>
  <c r="BX57" i="1" s="1"/>
  <c r="BO57" i="1"/>
  <c r="BM57" i="1"/>
  <c r="BK72" i="1"/>
  <c r="BW72" i="1" s="1"/>
  <c r="BS72" i="1"/>
  <c r="BT72" i="1"/>
  <c r="BL72" i="1"/>
  <c r="BX72" i="1" s="1"/>
  <c r="BO72" i="1"/>
  <c r="BM72" i="1"/>
  <c r="BR72" i="1"/>
  <c r="BP72" i="1"/>
  <c r="BN72" i="1"/>
  <c r="BJ72" i="1"/>
  <c r="BV72" i="1" s="1"/>
  <c r="BI72" i="1"/>
  <c r="BU72" i="1" s="1"/>
  <c r="BQ72" i="1"/>
  <c r="CE47" i="1"/>
  <c r="BI44" i="1"/>
  <c r="BJ44" i="1"/>
  <c r="BL44" i="1"/>
  <c r="BK44" i="1"/>
  <c r="BM44" i="1"/>
  <c r="BN44" i="1"/>
  <c r="BO44" i="1"/>
  <c r="BP44" i="1"/>
  <c r="BP47" i="1" s="1"/>
  <c r="BP49" i="1" s="1"/>
  <c r="BQ44" i="1"/>
  <c r="BQ47" i="1" s="1"/>
  <c r="BR44" i="1"/>
  <c r="BR47" i="1" s="1"/>
  <c r="BR49" i="1" s="1"/>
  <c r="BS44" i="1"/>
  <c r="BS47" i="1" s="1"/>
  <c r="BS49" i="1" s="1"/>
  <c r="BT44" i="1"/>
  <c r="BT47" i="1" s="1"/>
  <c r="BT49" i="1" s="1"/>
  <c r="CD47" i="1"/>
  <c r="AW44" i="1"/>
  <c r="AW47" i="1" s="1"/>
  <c r="AW49" i="1" s="1"/>
  <c r="AX44" i="1"/>
  <c r="AX47" i="1" s="1"/>
  <c r="AX49" i="1" s="1"/>
  <c r="AZ44" i="1"/>
  <c r="AZ47" i="1" s="1"/>
  <c r="AZ49" i="1" s="1"/>
  <c r="AY44" i="1"/>
  <c r="AY47" i="1" s="1"/>
  <c r="AY49" i="1" s="1"/>
  <c r="BA44" i="1"/>
  <c r="BA47" i="1" s="1"/>
  <c r="BA49" i="1" s="1"/>
  <c r="BB44" i="1"/>
  <c r="BB47" i="1" s="1"/>
  <c r="BB49" i="1" s="1"/>
  <c r="BC44" i="1"/>
  <c r="BC47" i="1" s="1"/>
  <c r="BC49" i="1" s="1"/>
  <c r="BD44" i="1"/>
  <c r="BD47" i="1" s="1"/>
  <c r="BD49" i="1" s="1"/>
  <c r="BE44" i="1"/>
  <c r="BE47" i="1" s="1"/>
  <c r="BE49" i="1" s="1"/>
  <c r="BF44" i="1"/>
  <c r="BF47" i="1" s="1"/>
  <c r="BF49" i="1" s="1"/>
  <c r="BG44" i="1"/>
  <c r="BG47" i="1" s="1"/>
  <c r="BG49" i="1" s="1"/>
  <c r="BH44" i="1"/>
  <c r="BH47" i="1" s="1"/>
  <c r="BH49" i="1" s="1"/>
  <c r="CE80" i="1"/>
  <c r="CD80" i="1"/>
  <c r="CD61" i="1" l="1"/>
  <c r="CH61" i="1" s="1"/>
  <c r="AX58" i="1"/>
  <c r="AY58" i="1"/>
  <c r="BC58" i="1"/>
  <c r="AW58" i="1"/>
  <c r="AZ58" i="1"/>
  <c r="BD58" i="1"/>
  <c r="BB58" i="1"/>
  <c r="BF58" i="1"/>
  <c r="BG58" i="1"/>
  <c r="BH58" i="1"/>
  <c r="BA58" i="1"/>
  <c r="BE58" i="1"/>
  <c r="CE61" i="1"/>
  <c r="CI61" i="1" s="1"/>
  <c r="BM58" i="1"/>
  <c r="BL58" i="1"/>
  <c r="BX58" i="1" s="1"/>
  <c r="BI58" i="1"/>
  <c r="BU58" i="1" s="1"/>
  <c r="BJ58" i="1"/>
  <c r="BV58" i="1" s="1"/>
  <c r="BK58" i="1"/>
  <c r="BW58" i="1" s="1"/>
  <c r="BP58" i="1"/>
  <c r="BS58" i="1"/>
  <c r="BR58" i="1"/>
  <c r="BT58" i="1"/>
  <c r="BN58" i="1"/>
  <c r="BO58" i="1"/>
  <c r="BQ58" i="1"/>
  <c r="BQ49" i="1"/>
  <c r="AX21" i="1"/>
  <c r="AX22" i="1" s="1"/>
  <c r="BD21" i="1"/>
  <c r="BD22" i="1" s="1"/>
  <c r="AF21" i="1"/>
  <c r="AF23" i="1" s="1"/>
  <c r="X21" i="1"/>
  <c r="X23" i="1" s="1"/>
  <c r="AR21" i="1"/>
  <c r="AR23" i="1" s="1"/>
  <c r="AU21" i="1"/>
  <c r="AU23" i="1" s="1"/>
  <c r="BB21" i="1"/>
  <c r="BB22" i="1" s="1"/>
  <c r="BL21" i="1"/>
  <c r="BL22" i="1" s="1"/>
  <c r="BW21" i="1"/>
  <c r="BW22" i="1" s="1"/>
  <c r="Z21" i="1"/>
  <c r="Z23" i="1" s="1"/>
  <c r="W21" i="1"/>
  <c r="W23" i="1" s="1"/>
  <c r="AY21" i="1"/>
  <c r="AY22" i="1" s="1"/>
  <c r="AA21" i="1"/>
  <c r="AA23" i="1" s="1"/>
  <c r="AD21" i="1"/>
  <c r="AD23" i="1" s="1"/>
  <c r="BM21" i="1"/>
  <c r="BM22" i="1" s="1"/>
  <c r="BG21" i="1"/>
  <c r="BG22" i="1" s="1"/>
  <c r="AM21" i="1"/>
  <c r="AM23" i="1" s="1"/>
  <c r="AM24" i="1" s="1"/>
  <c r="AM58" i="1" s="1"/>
  <c r="AL21" i="1"/>
  <c r="AL23" i="1" s="1"/>
  <c r="AL24" i="1" s="1"/>
  <c r="AL58" i="1" s="1"/>
  <c r="I21" i="1"/>
  <c r="I23" i="1" s="1"/>
  <c r="J21" i="1"/>
  <c r="J23" i="1" s="1"/>
  <c r="G21" i="1"/>
  <c r="G23" i="1" s="1"/>
  <c r="D21" i="1"/>
  <c r="D23" i="1" s="1"/>
  <c r="F21" i="1"/>
  <c r="F23" i="1" s="1"/>
  <c r="M21" i="1"/>
  <c r="M23" i="1" s="1"/>
  <c r="AH21" i="1"/>
  <c r="AH23" i="1" s="1"/>
  <c r="AG21" i="1"/>
  <c r="AG23" i="1" s="1"/>
  <c r="K21" i="1"/>
  <c r="K23" i="1" s="1"/>
  <c r="N21" i="1"/>
  <c r="N23" i="1" s="1"/>
  <c r="H21" i="1"/>
  <c r="H23" i="1" s="1"/>
  <c r="O21" i="1"/>
  <c r="O23" i="1" s="1"/>
  <c r="L21" i="1"/>
  <c r="L23" i="1" s="1"/>
  <c r="E21" i="1"/>
  <c r="E23" i="1" s="1"/>
  <c r="AI21" i="1"/>
  <c r="AI23" i="1" s="1"/>
  <c r="T86" i="9"/>
  <c r="V86" i="9"/>
  <c r="AP44" i="1"/>
  <c r="AP57" i="1"/>
  <c r="AP54" i="1"/>
  <c r="AP59" i="1"/>
  <c r="AP36" i="1"/>
  <c r="AP66" i="1"/>
  <c r="AP80" i="1" s="1"/>
  <c r="AP34" i="1"/>
  <c r="AP33" i="1"/>
  <c r="AP35" i="1"/>
  <c r="AP42" i="1"/>
  <c r="AP32" i="1"/>
  <c r="AP27" i="1"/>
  <c r="AP45" i="1"/>
  <c r="AP43" i="1"/>
  <c r="AP41" i="1"/>
  <c r="AP31" i="1"/>
  <c r="AP29" i="1"/>
  <c r="AP55" i="1"/>
  <c r="AP28" i="1"/>
  <c r="AP30" i="1"/>
  <c r="AP56" i="1"/>
  <c r="BT21" i="1"/>
  <c r="BT22" i="1" s="1"/>
  <c r="BR21" i="1"/>
  <c r="BR22" i="1" s="1"/>
  <c r="BF21" i="1"/>
  <c r="BF22" i="1" s="1"/>
  <c r="BQ21" i="1"/>
  <c r="BQ22" i="1" s="1"/>
  <c r="AB21" i="1"/>
  <c r="AB23" i="1" s="1"/>
  <c r="U21" i="1"/>
  <c r="U23" i="1" s="1"/>
  <c r="BS21" i="1"/>
  <c r="BS22" i="1" s="1"/>
  <c r="BX21" i="1"/>
  <c r="BX22" i="1" s="1"/>
  <c r="BK21" i="1"/>
  <c r="BK22" i="1" s="1"/>
  <c r="BO21" i="1"/>
  <c r="BO22" i="1" s="1"/>
  <c r="AS21" i="1"/>
  <c r="AS23" i="1" s="1"/>
  <c r="BH21" i="1"/>
  <c r="BH22" i="1" s="1"/>
  <c r="BJ21" i="1"/>
  <c r="BJ22" i="1" s="1"/>
  <c r="BA21" i="1"/>
  <c r="BA22" i="1" s="1"/>
  <c r="AN21" i="1"/>
  <c r="AN23" i="1" s="1"/>
  <c r="AN24" i="1" s="1"/>
  <c r="AN58" i="1" s="1"/>
  <c r="Y21" i="1"/>
  <c r="Y23" i="1" s="1"/>
  <c r="AT21" i="1"/>
  <c r="AT23" i="1" s="1"/>
  <c r="AC21" i="1"/>
  <c r="AC23" i="1" s="1"/>
  <c r="AE21" i="1"/>
  <c r="AE23" i="1" s="1"/>
  <c r="Q21" i="1"/>
  <c r="Q23" i="1" s="1"/>
  <c r="BP21" i="1"/>
  <c r="BP22" i="1" s="1"/>
  <c r="AO21" i="1"/>
  <c r="AO23" i="1" s="1"/>
  <c r="AO24" i="1" s="1"/>
  <c r="AO58" i="1" s="1"/>
  <c r="AK21" i="1"/>
  <c r="AK23" i="1" s="1"/>
  <c r="BC21" i="1"/>
  <c r="BC22" i="1" s="1"/>
  <c r="AZ21" i="1"/>
  <c r="AZ22" i="1" s="1"/>
  <c r="BI21" i="1"/>
  <c r="BI22" i="1" s="1"/>
  <c r="S21" i="1"/>
  <c r="S23" i="1" s="1"/>
  <c r="BV21" i="1"/>
  <c r="BV22" i="1" s="1"/>
  <c r="V21" i="1"/>
  <c r="V23" i="1" s="1"/>
  <c r="AW21" i="1"/>
  <c r="AW22" i="1" s="1"/>
  <c r="BU21" i="1"/>
  <c r="BU22" i="1" s="1"/>
  <c r="CG86" i="1"/>
  <c r="G64" i="41"/>
  <c r="BO80" i="1"/>
  <c r="BV64" i="1"/>
  <c r="BV80" i="1" s="1"/>
  <c r="BJ80" i="1"/>
  <c r="BU64" i="1"/>
  <c r="BU80" i="1" s="1"/>
  <c r="BI80" i="1"/>
  <c r="BN80" i="1"/>
  <c r="BK80" i="1"/>
  <c r="BW64" i="1"/>
  <c r="BW80" i="1" s="1"/>
  <c r="BL80" i="1"/>
  <c r="BX64" i="1"/>
  <c r="BX80" i="1" s="1"/>
  <c r="BM80" i="1"/>
  <c r="BW54" i="1"/>
  <c r="BV54" i="1"/>
  <c r="BU54" i="1"/>
  <c r="BX54" i="1"/>
  <c r="BF80" i="1"/>
  <c r="BG80" i="1"/>
  <c r="BA80" i="1"/>
  <c r="BH80" i="1"/>
  <c r="BC80" i="1"/>
  <c r="BB80" i="1"/>
  <c r="CE49" i="1"/>
  <c r="CI49" i="1" s="1"/>
  <c r="CI47" i="1"/>
  <c r="CD49" i="1"/>
  <c r="CH49" i="1" s="1"/>
  <c r="CH47" i="1"/>
  <c r="BQ80" i="1"/>
  <c r="BT80" i="1"/>
  <c r="BR80" i="1"/>
  <c r="BS80" i="1"/>
  <c r="BP80" i="1"/>
  <c r="AZ80" i="1"/>
  <c r="AX80" i="1"/>
  <c r="AY80" i="1"/>
  <c r="BE80" i="1"/>
  <c r="BD80" i="1"/>
  <c r="AW80" i="1"/>
  <c r="BI47" i="1"/>
  <c r="BI49" i="1" s="1"/>
  <c r="BU44" i="1"/>
  <c r="BU47" i="1" s="1"/>
  <c r="BU49" i="1" s="1"/>
  <c r="BJ47" i="1"/>
  <c r="BJ49" i="1" s="1"/>
  <c r="BV44" i="1"/>
  <c r="BV47" i="1" s="1"/>
  <c r="BV49" i="1" s="1"/>
  <c r="BL47" i="1"/>
  <c r="BL49" i="1" s="1"/>
  <c r="BX44" i="1"/>
  <c r="BX47" i="1" s="1"/>
  <c r="BX49" i="1" s="1"/>
  <c r="BK47" i="1"/>
  <c r="BK49" i="1" s="1"/>
  <c r="BW44" i="1"/>
  <c r="BW47" i="1" s="1"/>
  <c r="BW49" i="1" s="1"/>
  <c r="BM47" i="1"/>
  <c r="BM49" i="1" s="1"/>
  <c r="BN47" i="1"/>
  <c r="BN49" i="1" s="1"/>
  <c r="BO47" i="1"/>
  <c r="BO49" i="1" s="1"/>
  <c r="CI80" i="1"/>
  <c r="CH80" i="1"/>
  <c r="AK24" i="1" l="1"/>
  <c r="AK58" i="1" s="1"/>
  <c r="AP47" i="1"/>
  <c r="AM43" i="1"/>
  <c r="AM36" i="1"/>
  <c r="AM66" i="1"/>
  <c r="AM80" i="1" s="1"/>
  <c r="AM32" i="1"/>
  <c r="AM35" i="1"/>
  <c r="AM56" i="1"/>
  <c r="AM42" i="1"/>
  <c r="AM55" i="1"/>
  <c r="AM45" i="1"/>
  <c r="AM34" i="1"/>
  <c r="AM27" i="1"/>
  <c r="AM33" i="1"/>
  <c r="AM29" i="1"/>
  <c r="AM30" i="1"/>
  <c r="AM28" i="1"/>
  <c r="AM41" i="1"/>
  <c r="AM31" i="1"/>
  <c r="AM44" i="1"/>
  <c r="AM59" i="1"/>
  <c r="AM54" i="1"/>
  <c r="AM57" i="1"/>
  <c r="AL56" i="1"/>
  <c r="AL66" i="1"/>
  <c r="AL80" i="1" s="1"/>
  <c r="AL55" i="1"/>
  <c r="AL30" i="1"/>
  <c r="AL28" i="1"/>
  <c r="AL29" i="1"/>
  <c r="AL31" i="1"/>
  <c r="AL41" i="1"/>
  <c r="AL43" i="1"/>
  <c r="AL45" i="1"/>
  <c r="AL27" i="1"/>
  <c r="AL32" i="1"/>
  <c r="AL42" i="1"/>
  <c r="AL33" i="1"/>
  <c r="AL34" i="1"/>
  <c r="AL36" i="1"/>
  <c r="AL35" i="1"/>
  <c r="AL44" i="1"/>
  <c r="AL57" i="1"/>
  <c r="AL59" i="1"/>
  <c r="AL54" i="1"/>
  <c r="AP61" i="1"/>
  <c r="AN56" i="1"/>
  <c r="AN28" i="1"/>
  <c r="AN29" i="1"/>
  <c r="AN41" i="1"/>
  <c r="AN43" i="1"/>
  <c r="AN45" i="1"/>
  <c r="AN31" i="1"/>
  <c r="AN27" i="1"/>
  <c r="AN32" i="1"/>
  <c r="AN42" i="1"/>
  <c r="AN34" i="1"/>
  <c r="AN36" i="1"/>
  <c r="AN33" i="1"/>
  <c r="AN35" i="1"/>
  <c r="AN66" i="1"/>
  <c r="AN80" i="1" s="1"/>
  <c r="AN55" i="1"/>
  <c r="AN30" i="1"/>
  <c r="AN44" i="1"/>
  <c r="AN59" i="1"/>
  <c r="AN54" i="1"/>
  <c r="AN57" i="1"/>
  <c r="AO55" i="1"/>
  <c r="AO66" i="1"/>
  <c r="AO80" i="1" s="1"/>
  <c r="AO56" i="1"/>
  <c r="AO30" i="1"/>
  <c r="AO28" i="1"/>
  <c r="AO29" i="1"/>
  <c r="AO41" i="1"/>
  <c r="AO43" i="1"/>
  <c r="AO45" i="1"/>
  <c r="AO31" i="1"/>
  <c r="AO27" i="1"/>
  <c r="AO32" i="1"/>
  <c r="AO42" i="1"/>
  <c r="AO34" i="1"/>
  <c r="AO36" i="1"/>
  <c r="AO33" i="1"/>
  <c r="AO35" i="1"/>
  <c r="AO54" i="1"/>
  <c r="AO44" i="1"/>
  <c r="AO59" i="1"/>
  <c r="AO57" i="1"/>
  <c r="AS24" i="1"/>
  <c r="AS58" i="1" s="1"/>
  <c r="AT24" i="1"/>
  <c r="AT58" i="1" s="1"/>
  <c r="AV24" i="1"/>
  <c r="AV58" i="1" s="1"/>
  <c r="AR24" i="1"/>
  <c r="AR58" i="1" s="1"/>
  <c r="AU24" i="1"/>
  <c r="AU58" i="1" s="1"/>
  <c r="E48" i="41"/>
  <c r="E50" i="41" s="1"/>
  <c r="AP38" i="1"/>
  <c r="F48" i="41"/>
  <c r="F50" i="41" s="1"/>
  <c r="D48" i="41"/>
  <c r="D50" i="41" s="1"/>
  <c r="BW61" i="1"/>
  <c r="BW82" i="1" s="1"/>
  <c r="BW86" i="1" s="1"/>
  <c r="BQ61" i="1"/>
  <c r="BK61" i="1"/>
  <c r="BC61" i="1"/>
  <c r="BH61" i="1"/>
  <c r="BO61" i="1"/>
  <c r="BO82" i="1" s="1"/>
  <c r="BO86" i="1" s="1"/>
  <c r="BS61" i="1"/>
  <c r="BS82" i="1" s="1"/>
  <c r="BS86" i="1" s="1"/>
  <c r="BN61" i="1"/>
  <c r="BN82" i="1" s="1"/>
  <c r="BN86" i="1" s="1"/>
  <c r="BR61" i="1"/>
  <c r="BR82" i="1" s="1"/>
  <c r="BR86" i="1" s="1"/>
  <c r="BP61" i="1"/>
  <c r="BP82" i="1" s="1"/>
  <c r="BP86" i="1" s="1"/>
  <c r="BI61" i="1"/>
  <c r="BI82" i="1" s="1"/>
  <c r="BI86" i="1" s="1"/>
  <c r="BG61" i="1"/>
  <c r="BG82" i="1" s="1"/>
  <c r="BG86" i="1" s="1"/>
  <c r="BD61" i="1"/>
  <c r="BD82" i="1" s="1"/>
  <c r="BD86" i="1" s="1"/>
  <c r="BE61" i="1"/>
  <c r="BE82" i="1" s="1"/>
  <c r="BE86" i="1" s="1"/>
  <c r="BB61" i="1"/>
  <c r="BB82" i="1" s="1"/>
  <c r="BB86" i="1" s="1"/>
  <c r="CD82" i="1"/>
  <c r="CE82" i="1"/>
  <c r="BJ61" i="1"/>
  <c r="BJ82" i="1" s="1"/>
  <c r="BJ86" i="1" s="1"/>
  <c r="BV61" i="1"/>
  <c r="BV82" i="1" s="1"/>
  <c r="BV86" i="1" s="1"/>
  <c r="BT61" i="1"/>
  <c r="BT82" i="1" s="1"/>
  <c r="BT86" i="1" s="1"/>
  <c r="BU61" i="1"/>
  <c r="BU82" i="1" s="1"/>
  <c r="BU86" i="1" s="1"/>
  <c r="BL61" i="1"/>
  <c r="BL82" i="1" s="1"/>
  <c r="BL86" i="1" s="1"/>
  <c r="BX61" i="1"/>
  <c r="BX82" i="1" s="1"/>
  <c r="BX86" i="1" s="1"/>
  <c r="BM61" i="1"/>
  <c r="BM82" i="1" s="1"/>
  <c r="BM86" i="1" s="1"/>
  <c r="BA61" i="1"/>
  <c r="BA82" i="1" s="1"/>
  <c r="BA86" i="1" s="1"/>
  <c r="AY61" i="1"/>
  <c r="AY82" i="1" s="1"/>
  <c r="AY86" i="1" s="1"/>
  <c r="AX61" i="1"/>
  <c r="AX82" i="1" s="1"/>
  <c r="AX86" i="1" s="1"/>
  <c r="AW61" i="1"/>
  <c r="AW82" i="1" s="1"/>
  <c r="AW86" i="1" s="1"/>
  <c r="AZ61" i="1"/>
  <c r="AZ82" i="1" s="1"/>
  <c r="AZ86" i="1" s="1"/>
  <c r="BF61" i="1"/>
  <c r="BF82" i="1" s="1"/>
  <c r="BF86" i="1" s="1"/>
  <c r="BQ82" i="1" l="1"/>
  <c r="AO47" i="1"/>
  <c r="AM47" i="1"/>
  <c r="AP49" i="1"/>
  <c r="AP82" i="1" s="1"/>
  <c r="AP86" i="1" s="1"/>
  <c r="AM61" i="1"/>
  <c r="AL61" i="1"/>
  <c r="AN61" i="1"/>
  <c r="AO61" i="1"/>
  <c r="AK44" i="1"/>
  <c r="AK54" i="1"/>
  <c r="AK57" i="1"/>
  <c r="AK59" i="1"/>
  <c r="AK30" i="1"/>
  <c r="AK28" i="1"/>
  <c r="AK29" i="1"/>
  <c r="AK31" i="1"/>
  <c r="AK41" i="1"/>
  <c r="AK45" i="1"/>
  <c r="AK43" i="1"/>
  <c r="AK27" i="1"/>
  <c r="AK32" i="1"/>
  <c r="AK42" i="1"/>
  <c r="AK34" i="1"/>
  <c r="AK36" i="1"/>
  <c r="AK33" i="1"/>
  <c r="AK35" i="1"/>
  <c r="AK66" i="1"/>
  <c r="AK80" i="1" s="1"/>
  <c r="AK55" i="1"/>
  <c r="AK56" i="1"/>
  <c r="AL38" i="1"/>
  <c r="AL47" i="1"/>
  <c r="AN38" i="1"/>
  <c r="AN47" i="1"/>
  <c r="AM38" i="1"/>
  <c r="AO38" i="1"/>
  <c r="CE86" i="1"/>
  <c r="CI82" i="1"/>
  <c r="CD86" i="1"/>
  <c r="H64" i="41" s="1"/>
  <c r="CH82" i="1"/>
  <c r="BC82" i="1"/>
  <c r="BC86" i="1" s="1"/>
  <c r="BK82" i="1"/>
  <c r="BK86" i="1" s="1"/>
  <c r="BH82" i="1"/>
  <c r="BH86" i="1" s="1"/>
  <c r="BQ86" i="1" l="1"/>
  <c r="AO49" i="1"/>
  <c r="AO82" i="1" s="1"/>
  <c r="AO86" i="1" s="1"/>
  <c r="AL49" i="1"/>
  <c r="AN49" i="1"/>
  <c r="AN82" i="1" s="1"/>
  <c r="AN86" i="1" s="1"/>
  <c r="AM49" i="1"/>
  <c r="AM82" i="1" s="1"/>
  <c r="AM86" i="1" s="1"/>
  <c r="AL82" i="1"/>
  <c r="AL86" i="1" s="1"/>
  <c r="AS44" i="1"/>
  <c r="AS57" i="1"/>
  <c r="AS54" i="1"/>
  <c r="AS59" i="1"/>
  <c r="AS30" i="1"/>
  <c r="AS28" i="1"/>
  <c r="AS29" i="1"/>
  <c r="AS31" i="1"/>
  <c r="AS41" i="1"/>
  <c r="AS43" i="1"/>
  <c r="AS45" i="1"/>
  <c r="AS27" i="1"/>
  <c r="AS32" i="1"/>
  <c r="AS42" i="1"/>
  <c r="AS35" i="1"/>
  <c r="AS34" i="1"/>
  <c r="AS36" i="1"/>
  <c r="AS33" i="1"/>
  <c r="AS55" i="1"/>
  <c r="AS56" i="1"/>
  <c r="AS66" i="1"/>
  <c r="AS80" i="1" s="1"/>
  <c r="AT44" i="1"/>
  <c r="AT57" i="1"/>
  <c r="AT59" i="1"/>
  <c r="AT54" i="1"/>
  <c r="AT29" i="1"/>
  <c r="AT30" i="1"/>
  <c r="AT28" i="1"/>
  <c r="AT31" i="1"/>
  <c r="AT41" i="1"/>
  <c r="AT43" i="1"/>
  <c r="AT45" i="1"/>
  <c r="AT27" i="1"/>
  <c r="AT32" i="1"/>
  <c r="AT42" i="1"/>
  <c r="AT35" i="1"/>
  <c r="AT34" i="1"/>
  <c r="AT36" i="1"/>
  <c r="AT33" i="1"/>
  <c r="AT55" i="1"/>
  <c r="AT56" i="1"/>
  <c r="AT66" i="1"/>
  <c r="AT80" i="1" s="1"/>
  <c r="AV44" i="1"/>
  <c r="AV54" i="1"/>
  <c r="AV59" i="1"/>
  <c r="AV57" i="1"/>
  <c r="AV29" i="1"/>
  <c r="AV30" i="1"/>
  <c r="AV28" i="1"/>
  <c r="AV31" i="1"/>
  <c r="AV41" i="1"/>
  <c r="AV45" i="1"/>
  <c r="AV43" i="1"/>
  <c r="AV27" i="1"/>
  <c r="AV32" i="1"/>
  <c r="AV42" i="1"/>
  <c r="AV35" i="1"/>
  <c r="AV34" i="1"/>
  <c r="AV36" i="1"/>
  <c r="AV33" i="1"/>
  <c r="AV56" i="1"/>
  <c r="AV55" i="1"/>
  <c r="AV66" i="1"/>
  <c r="AV80" i="1" s="1"/>
  <c r="AK61" i="1"/>
  <c r="AR44" i="1"/>
  <c r="AR54" i="1"/>
  <c r="AR59" i="1"/>
  <c r="AR57" i="1"/>
  <c r="AR30" i="1"/>
  <c r="AR28" i="1"/>
  <c r="AR29" i="1"/>
  <c r="AR31" i="1"/>
  <c r="AR41" i="1"/>
  <c r="AR43" i="1"/>
  <c r="AR45" i="1"/>
  <c r="AR27" i="1"/>
  <c r="AR32" i="1"/>
  <c r="AR42" i="1"/>
  <c r="AR35" i="1"/>
  <c r="AR34" i="1"/>
  <c r="AR36" i="1"/>
  <c r="AR33" i="1"/>
  <c r="AR66" i="1"/>
  <c r="AR80" i="1" s="1"/>
  <c r="AR56" i="1"/>
  <c r="AR55" i="1"/>
  <c r="AU44" i="1"/>
  <c r="AU57" i="1"/>
  <c r="AU59" i="1"/>
  <c r="AU54" i="1"/>
  <c r="AU30" i="1"/>
  <c r="AU28" i="1"/>
  <c r="AU29" i="1"/>
  <c r="AU41" i="1"/>
  <c r="AU43" i="1"/>
  <c r="AU45" i="1"/>
  <c r="AU31" i="1"/>
  <c r="AU27" i="1"/>
  <c r="AU32" i="1"/>
  <c r="AU42" i="1"/>
  <c r="AU33" i="1"/>
  <c r="AU34" i="1"/>
  <c r="AU36" i="1"/>
  <c r="AU35" i="1"/>
  <c r="AU55" i="1"/>
  <c r="AU56" i="1"/>
  <c r="AU66" i="1"/>
  <c r="AU80" i="1" s="1"/>
  <c r="AK47" i="1"/>
  <c r="AK38" i="1"/>
  <c r="H63" i="41"/>
  <c r="H65" i="41" s="1"/>
  <c r="I64" i="41"/>
  <c r="CI86" i="1"/>
  <c r="CH86" i="1"/>
  <c r="I63" i="41" l="1"/>
  <c r="I65" i="41" s="1"/>
  <c r="AK49" i="1"/>
  <c r="AK82" i="1" s="1"/>
  <c r="AK86" i="1" s="1"/>
  <c r="AT47" i="1"/>
  <c r="AS61" i="1"/>
  <c r="AT61" i="1"/>
  <c r="AV61" i="1"/>
  <c r="F63" i="41"/>
  <c r="F65" i="41" s="1"/>
  <c r="AR61" i="1"/>
  <c r="AU61" i="1"/>
  <c r="F56" i="41"/>
  <c r="F58" i="41" s="1"/>
  <c r="AS47" i="1"/>
  <c r="AS38" i="1"/>
  <c r="AV38" i="1"/>
  <c r="AR47" i="1"/>
  <c r="AR38" i="1"/>
  <c r="AT38" i="1"/>
  <c r="AV47" i="1"/>
  <c r="AU38" i="1"/>
  <c r="AU47" i="1"/>
  <c r="AR49" i="1" l="1"/>
  <c r="AR82" i="1" s="1"/>
  <c r="AR86" i="1" s="1"/>
  <c r="AT49" i="1"/>
  <c r="AT82" i="1" s="1"/>
  <c r="AT86" i="1" s="1"/>
  <c r="AU49" i="1"/>
  <c r="AU82" i="1" s="1"/>
  <c r="AU86" i="1" s="1"/>
  <c r="AS49" i="1"/>
  <c r="AS82" i="1" s="1"/>
  <c r="AS86" i="1" s="1"/>
  <c r="AV49" i="1"/>
  <c r="AV82" i="1" s="1"/>
  <c r="AV86" i="1" s="1"/>
  <c r="AQ23" i="1" l="1"/>
  <c r="CC24" i="1" l="1"/>
  <c r="AQ24" i="1"/>
  <c r="AQ58" i="1" s="1"/>
  <c r="G48" i="41"/>
  <c r="G50" i="41" s="1"/>
  <c r="AQ66" i="1" l="1"/>
  <c r="AQ80" i="1" s="1"/>
  <c r="AQ44" i="1"/>
  <c r="AQ31" i="1"/>
  <c r="AQ43" i="1"/>
  <c r="AQ41" i="1"/>
  <c r="AQ30" i="1"/>
  <c r="AQ29" i="1"/>
  <c r="AQ34" i="1"/>
  <c r="AQ32" i="1"/>
  <c r="AQ55" i="1"/>
  <c r="AQ59" i="1"/>
  <c r="AQ42" i="1"/>
  <c r="AQ57" i="1"/>
  <c r="AQ28" i="1"/>
  <c r="AQ27" i="1"/>
  <c r="AQ36" i="1"/>
  <c r="AQ45" i="1"/>
  <c r="AQ56" i="1"/>
  <c r="AQ35" i="1"/>
  <c r="AQ33" i="1"/>
  <c r="AQ54" i="1"/>
  <c r="AQ47" i="1" l="1"/>
  <c r="AQ61" i="1"/>
  <c r="AQ38" i="1"/>
  <c r="AQ49" i="1" l="1"/>
  <c r="AQ82" i="1" s="1"/>
  <c r="AQ86" i="1" s="1"/>
  <c r="G63" i="41" s="1"/>
  <c r="G56" i="41"/>
  <c r="G58" i="41" s="1"/>
  <c r="AL17" i="1"/>
  <c r="AL13" i="1"/>
  <c r="AM17" i="1"/>
  <c r="AN17" i="1"/>
  <c r="AO17" i="1"/>
  <c r="AP17" i="1"/>
  <c r="AR17" i="1"/>
  <c r="AU17" i="1"/>
  <c r="AV17" i="1"/>
  <c r="AT17" i="1"/>
  <c r="AS17" i="1"/>
  <c r="AQ17" i="1"/>
  <c r="AP13" i="1"/>
  <c r="AS13" i="1"/>
  <c r="AT13" i="1"/>
  <c r="AU13" i="1"/>
  <c r="AO13" i="1"/>
  <c r="AR13" i="1"/>
  <c r="AQ13" i="1"/>
  <c r="AV13" i="1"/>
  <c r="AM13" i="1"/>
  <c r="AN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Cate Erturkuner</author>
  </authors>
  <commentList>
    <comment ref="AI9" authorId="0" shapeId="0" xr:uid="{221EC699-33C9-43EE-B66D-DCB90532BEE7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mid-month close, partial month</t>
        </r>
      </text>
    </comment>
    <comment ref="AI11" authorId="0" shapeId="0" xr:uid="{D41BB453-B372-49E8-9393-A97DA5F3E053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prelim #</t>
        </r>
      </text>
    </comment>
    <comment ref="AK11" authorId="0" shapeId="0" xr:uid="{2E551349-3898-4A8F-B4D1-09AD571DE93C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September - January, discussed/confirmed hardcoded #s with Cassie</t>
        </r>
      </text>
    </comment>
    <comment ref="AP11" authorId="0" shapeId="0" xr:uid="{2E4A40F0-5665-4AEE-A612-AF3D57872E5E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remainder of Y1 split based on seasonality across Feb - August</t>
        </r>
      </text>
    </comment>
    <comment ref="AK91" authorId="0" shapeId="0" xr:uid="{3C367E67-E4EE-4258-AF72-59489EA7C0B6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Cate Erturkuner</author>
  </authors>
  <commentList>
    <comment ref="O78" authorId="0" shapeId="0" xr:uid="{77A80761-8DD9-407F-AB6C-6BFCB5EB9C7A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per AJ 8/14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Cate Erturkuner</author>
  </authors>
  <commentList>
    <comment ref="L53" authorId="0" shapeId="0" xr:uid="{F8BCC342-BFF2-484C-BF1E-5CAECAB1A61A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$0 for full estate package to show multi day buyout</t>
        </r>
      </text>
    </comment>
    <comment ref="L59" authorId="0" shapeId="0" xr:uid="{172E9BCE-38FC-435C-8291-DCA452E3BA27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$0 for full estate package to show multi day buyout</t>
        </r>
      </text>
    </comment>
    <comment ref="L60" authorId="0" shapeId="0" xr:uid="{4DF9653E-E0E3-40F5-96D3-BB6274619CAD}">
      <text>
        <r>
          <rPr>
            <b/>
            <sz val="9"/>
            <color indexed="81"/>
            <rFont val="Tahoma"/>
            <family val="2"/>
          </rPr>
          <t>Cate Erturkuner:</t>
        </r>
        <r>
          <rPr>
            <sz val="9"/>
            <color indexed="81"/>
            <rFont val="Tahoma"/>
            <family val="2"/>
          </rPr>
          <t xml:space="preserve">
$0 for full estate package to show multi day buyout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7" authorId="0" shapeId="0" xr:uid="{C221ECCC-F20D-4229-9E66-1F8ADC57B41E}">
      <text>
        <r>
          <rPr>
            <sz val="11"/>
            <color theme="1"/>
            <rFont val="Aptos Narrow"/>
            <family val="2"/>
            <scheme val="minor"/>
          </rPr>
          <t>======
ID#AAAB_E_ZFL4
Abigail James    (2026-07-02 20:38:17)
what is this $350 for?</t>
        </r>
      </text>
    </comment>
    <comment ref="F31" authorId="0" shapeId="0" xr:uid="{73D7DDA2-FD00-4947-932B-C6532AB9B792}">
      <text>
        <r>
          <rPr>
            <sz val="11"/>
            <color theme="1"/>
            <rFont val="Aptos Narrow"/>
            <family val="2"/>
            <scheme val="minor"/>
          </rPr>
          <t>======
ID#AAAB_E_ZFLw
Abigail James    (2026-07-02 20:37:07)
does she have lodging? I don't see a contract
------
ID#AAACEzdIViI
Abigail James    (2026-08-05 00:28:00)
need to enter Lodging event in TS if so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tc={AD2F26F6-2FC0-4A7B-A640-227398987A0F}</author>
  </authors>
  <commentList>
    <comment ref="B2" authorId="0" shapeId="0" xr:uid="{AD2F26F6-2FC0-4A7B-A640-227398987A0F}">
      <text>
        <t>[Threaded comment]
Your version of Excel allows you to read this threaded comment; however, any edits to it will get removed if the file is opened in a newer version of Excel. Learn more: https://go.microsoft.com/fwlink/?linkid=870924
Comment:
    @aspalten@waltershospitality.com please use this tab to populate the KPI sections of the workbook for the RVP's and management reporting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<sst xmlns="http://schemas.openxmlformats.org/spreadsheetml/2006/main" count="4785" uniqueCount="1210">
  <si>
    <t>Revenue</t>
  </si>
  <si>
    <t>Floral Revenue</t>
  </si>
  <si>
    <t>Photography Revenue</t>
  </si>
  <si>
    <t>DJ Revenue</t>
  </si>
  <si>
    <t>Stationery Revenue</t>
  </si>
  <si>
    <t>Bakery Revenue</t>
  </si>
  <si>
    <t>Luxury Vehicle Revenue</t>
  </si>
  <si>
    <t>Linen Revenue</t>
  </si>
  <si>
    <t>Bridal Revenue</t>
  </si>
  <si>
    <t>Jewelry Revenue</t>
  </si>
  <si>
    <t>Add-On Revenue</t>
  </si>
  <si>
    <t>Suit/Tux Revenue</t>
  </si>
  <si>
    <t>Ancillary Revenue</t>
  </si>
  <si>
    <t>Food Revenue</t>
  </si>
  <si>
    <t>Wedding Reception Room</t>
  </si>
  <si>
    <t>Venue Revenue Contra - WWE Refunds</t>
  </si>
  <si>
    <t>Room Rental Revenue</t>
  </si>
  <si>
    <t>Service Charge</t>
  </si>
  <si>
    <t>Alcohol Revenue</t>
  </si>
  <si>
    <t>Bartender Fee</t>
  </si>
  <si>
    <t>Soda Bar</t>
  </si>
  <si>
    <t>Beverage Revenue</t>
  </si>
  <si>
    <t>Cancelled Events</t>
  </si>
  <si>
    <t>Outside Events</t>
  </si>
  <si>
    <t>Discounts</t>
  </si>
  <si>
    <t>Casitas Room Revenue</t>
  </si>
  <si>
    <t>Lodging Revenue</t>
  </si>
  <si>
    <t>WWI Lodging Rooms</t>
  </si>
  <si>
    <t>Treehouse Room Revenue</t>
  </si>
  <si>
    <t>HF Lookout Room Revenue</t>
  </si>
  <si>
    <t>Retreat Room Revenue</t>
  </si>
  <si>
    <t>Lodging Late Check-out Fee</t>
  </si>
  <si>
    <t>Lodging Revenues</t>
  </si>
  <si>
    <t>Venue Deposits</t>
  </si>
  <si>
    <t>Rent Revenue (Holding Co)</t>
  </si>
  <si>
    <t>Facility Lease</t>
  </si>
  <si>
    <t>Security Revenue</t>
  </si>
  <si>
    <t>Financing Revenue</t>
  </si>
  <si>
    <t>Parking Lease</t>
  </si>
  <si>
    <t>Equestrian Revenue</t>
  </si>
  <si>
    <t>Food Contra Reimbursement - All Events</t>
  </si>
  <si>
    <t>Vendor Contra</t>
  </si>
  <si>
    <t>Alcohol - All Events</t>
  </si>
  <si>
    <t>Catering - All Events</t>
  </si>
  <si>
    <t>Additional Venue Hours Staff</t>
  </si>
  <si>
    <t>Other Revenue</t>
  </si>
  <si>
    <t>Food Purchases COGS</t>
  </si>
  <si>
    <t>Catering Disposables COGS</t>
  </si>
  <si>
    <t>Food COGS</t>
  </si>
  <si>
    <t>Floral COGS</t>
  </si>
  <si>
    <t>Photography COGS</t>
  </si>
  <si>
    <t>DJ COGS</t>
  </si>
  <si>
    <t>Bakery COGS</t>
  </si>
  <si>
    <t>Luxury Vehicle COGS</t>
  </si>
  <si>
    <t>Linen COGS</t>
  </si>
  <si>
    <t>Bridal COGS</t>
  </si>
  <si>
    <t>Jewelry COGS</t>
  </si>
  <si>
    <t>Other ancillary COGS</t>
  </si>
  <si>
    <t>Diamond COGS</t>
  </si>
  <si>
    <t>Alcohol COGS</t>
  </si>
  <si>
    <t>Security Expense</t>
  </si>
  <si>
    <t>Bar Supplies COGS</t>
  </si>
  <si>
    <t>Lodging COGS</t>
  </si>
  <si>
    <t>Room Maintenance COGS</t>
  </si>
  <si>
    <t>Rooms - Breakfast</t>
  </si>
  <si>
    <t>Rooms - Linens</t>
  </si>
  <si>
    <t>Rooms - Cleaning Supplies</t>
  </si>
  <si>
    <t>Room COGS</t>
  </si>
  <si>
    <t>WWE COGS</t>
  </si>
  <si>
    <t>Wedding Reception COGS</t>
  </si>
  <si>
    <t>Other COGS</t>
  </si>
  <si>
    <t>Gross Margin</t>
  </si>
  <si>
    <t>Operating Expenses</t>
  </si>
  <si>
    <t>Sales Team Base Payroll</t>
  </si>
  <si>
    <t>Sales Team Commission/Bonus</t>
  </si>
  <si>
    <t>Sales Team Payroll</t>
  </si>
  <si>
    <t>Planning Salary</t>
  </si>
  <si>
    <t>Planning Hourly</t>
  </si>
  <si>
    <t>Planning Commission/Bonus</t>
  </si>
  <si>
    <t>Planning Team Payroll</t>
  </si>
  <si>
    <t>Operations Team Base Payroll</t>
  </si>
  <si>
    <t>Operations Team Bonus</t>
  </si>
  <si>
    <t>Maintenance Payroll</t>
  </si>
  <si>
    <t>Maintenance Hourly</t>
  </si>
  <si>
    <t>Housekeeping Payroll</t>
  </si>
  <si>
    <t>Operations Team Payroll</t>
  </si>
  <si>
    <t>Floral Payroll</t>
  </si>
  <si>
    <t>Photography Payroll</t>
  </si>
  <si>
    <t>DJ Payroll</t>
  </si>
  <si>
    <t>Bakery Payroll</t>
  </si>
  <si>
    <t>Stationery Payroll</t>
  </si>
  <si>
    <t>Driver Payroll</t>
  </si>
  <si>
    <t>Ancillary Payroll</t>
  </si>
  <si>
    <t>Contractor - Wedding</t>
  </si>
  <si>
    <t>Contractor - BC/Server</t>
  </si>
  <si>
    <t>Contractor - Bar</t>
  </si>
  <si>
    <t>Contractor - Maid</t>
  </si>
  <si>
    <t>Contractor - Kitchen Temp</t>
  </si>
  <si>
    <t>Contractor - Maintenance</t>
  </si>
  <si>
    <t>Contractor - Landscaping</t>
  </si>
  <si>
    <t>Contractor - Accounting/Bookkeeping</t>
  </si>
  <si>
    <t>Contractor Payroll</t>
  </si>
  <si>
    <t>Executive Base Payroll</t>
  </si>
  <si>
    <t>Executive Bonus</t>
  </si>
  <si>
    <t>Accounting Team Base Payroll</t>
  </si>
  <si>
    <t>Accounting Team Bonus</t>
  </si>
  <si>
    <t>Marketing Team Base Payroll</t>
  </si>
  <si>
    <t>Marketing Team Bonus</t>
  </si>
  <si>
    <t>Training Team Base Payroll</t>
  </si>
  <si>
    <t>Training Team Bonus</t>
  </si>
  <si>
    <t>Legal Base Payroll</t>
  </si>
  <si>
    <t>Corporate Team Payroll</t>
  </si>
  <si>
    <t>BC/Server Payroll</t>
  </si>
  <si>
    <t>Kitchen Hourly</t>
  </si>
  <si>
    <t>Business Dev Payroll</t>
  </si>
  <si>
    <t>Chef Salary</t>
  </si>
  <si>
    <t>F&amp;B Bar Payroll</t>
  </si>
  <si>
    <t>F&amp;B Director Payroll</t>
  </si>
  <si>
    <t>F&amp;B Director Bonus</t>
  </si>
  <si>
    <t>F&amp;B Team Payroll</t>
  </si>
  <si>
    <t>FICA &amp; Medicare Tax</t>
  </si>
  <si>
    <t>Health/Dental Premium</t>
  </si>
  <si>
    <t>Payroll Processing Fee</t>
  </si>
  <si>
    <t>401(k) Retirement Match</t>
  </si>
  <si>
    <t>TX Unemp Tax Expense</t>
  </si>
  <si>
    <t>GA Unemp Tax Expense</t>
  </si>
  <si>
    <t>Futa Tax Expense</t>
  </si>
  <si>
    <t>Georgia Employee Tax Withholding</t>
  </si>
  <si>
    <t>Payroll Admin &amp; Benefit Expenses</t>
  </si>
  <si>
    <t>Front Desk Payroll</t>
  </si>
  <si>
    <t>In-Training Payroll</t>
  </si>
  <si>
    <t>Landscape Payroll</t>
  </si>
  <si>
    <t>Construction Manager Payroll</t>
  </si>
  <si>
    <t>Other Payroll</t>
  </si>
  <si>
    <t>Advertising</t>
  </si>
  <si>
    <t>Marketing Materials</t>
  </si>
  <si>
    <t>Dues and Subscriptions</t>
  </si>
  <si>
    <t>Referral Program</t>
  </si>
  <si>
    <t>Marketing Expense</t>
  </si>
  <si>
    <t>Grounds Maintenance</t>
  </si>
  <si>
    <t>Building Repairs/Maintenance</t>
  </si>
  <si>
    <t>Equipment Rental</t>
  </si>
  <si>
    <t>Equipment Repairs</t>
  </si>
  <si>
    <t>Exterminator Expense</t>
  </si>
  <si>
    <t>Pool Expense</t>
  </si>
  <si>
    <t>Maintenance Expense</t>
  </si>
  <si>
    <t>Electric</t>
  </si>
  <si>
    <t>Water</t>
  </si>
  <si>
    <t>Telephone/Cable/Internet</t>
  </si>
  <si>
    <t>Waste</t>
  </si>
  <si>
    <t>Gas (Heating/Propane)</t>
  </si>
  <si>
    <t>Utilities Expense</t>
  </si>
  <si>
    <t>Furniture, Fixtures &amp; Equipment Under $5,000.00</t>
  </si>
  <si>
    <t>Janitorial Expense</t>
  </si>
  <si>
    <t>Office Supplies</t>
  </si>
  <si>
    <t>Postage and Delivery</t>
  </si>
  <si>
    <t>Office Expense</t>
  </si>
  <si>
    <t>Computer Software</t>
  </si>
  <si>
    <t>Computer Hardware</t>
  </si>
  <si>
    <t>Computer Expense</t>
  </si>
  <si>
    <t>Automobile Service (Inspection, Registration, etc.)</t>
  </si>
  <si>
    <t>Automobile Gas/Fuel</t>
  </si>
  <si>
    <t>Automobile Parking/Tolls</t>
  </si>
  <si>
    <t>Automobile Expense</t>
  </si>
  <si>
    <t>Automobile Expenses</t>
  </si>
  <si>
    <t>Employee Trips, Parties and Rewards</t>
  </si>
  <si>
    <t>Recruiting</t>
  </si>
  <si>
    <t>Guest Experience Enhancement</t>
  </si>
  <si>
    <t>Professional Development</t>
  </si>
  <si>
    <t>Background Check Fee</t>
  </si>
  <si>
    <t>Training &amp; Development Expense</t>
  </si>
  <si>
    <t>Property Tax</t>
  </si>
  <si>
    <t>State Tax</t>
  </si>
  <si>
    <t>MB Gross Receipts Tax (6.7%)</t>
  </si>
  <si>
    <t>Mixed Beverage Sales Tax</t>
  </si>
  <si>
    <t>Tax Expense</t>
  </si>
  <si>
    <t>Travel</t>
  </si>
  <si>
    <t>Meals</t>
  </si>
  <si>
    <t>Travel Expense</t>
  </si>
  <si>
    <t>Professional Fees</t>
  </si>
  <si>
    <t>Professional Management Fees</t>
  </si>
  <si>
    <t>Professional Expenses</t>
  </si>
  <si>
    <t>Rent Expense</t>
  </si>
  <si>
    <t>Insurance</t>
  </si>
  <si>
    <t>Credit Card Disc. Charges</t>
  </si>
  <si>
    <t>Bad Debts</t>
  </si>
  <si>
    <t>Cash Over/Short</t>
  </si>
  <si>
    <t>Finance Charge</t>
  </si>
  <si>
    <t>Bank Service Charges</t>
  </si>
  <si>
    <t>Finance Expenses</t>
  </si>
  <si>
    <t>Linen Expense</t>
  </si>
  <si>
    <t>Closing Costs</t>
  </si>
  <si>
    <t>Licenses and Permits</t>
  </si>
  <si>
    <t>POA Fees</t>
  </si>
  <si>
    <t>Uniforms</t>
  </si>
  <si>
    <t>Printing and Reproduction</t>
  </si>
  <si>
    <t>Dry Cleaning</t>
  </si>
  <si>
    <t>Contributions</t>
  </si>
  <si>
    <t>Donations</t>
  </si>
  <si>
    <t>Insurance:Automobile - Keith &amp; Sarah's Vehicles</t>
  </si>
  <si>
    <t>Insurance:Lender Required Life</t>
  </si>
  <si>
    <t>Miscellaneous Expense</t>
  </si>
  <si>
    <t>BOD Expenses</t>
  </si>
  <si>
    <t>Other Operating Expenses</t>
  </si>
  <si>
    <t>Total Operating Expenses</t>
  </si>
  <si>
    <t>Interest Income</t>
  </si>
  <si>
    <t>Interest Expense</t>
  </si>
  <si>
    <t>Loan Interest</t>
  </si>
  <si>
    <t>Depreciation Expense</t>
  </si>
  <si>
    <t>Amortization Expense</t>
  </si>
  <si>
    <t>Depreciation and Amortization</t>
  </si>
  <si>
    <t>G/L on Sale of Fixed Asset</t>
  </si>
  <si>
    <t>Other Income</t>
  </si>
  <si>
    <t>Other Non-Operating Income / (Expense)</t>
  </si>
  <si>
    <t>Federal Tax</t>
  </si>
  <si>
    <t>Income Tax Expense</t>
  </si>
  <si>
    <t>Category</t>
  </si>
  <si>
    <t>L1</t>
  </si>
  <si>
    <t>L2</t>
  </si>
  <si>
    <t>x</t>
  </si>
  <si>
    <t>Total Revenue</t>
  </si>
  <si>
    <t>Ancillary COGS</t>
  </si>
  <si>
    <t>Events</t>
  </si>
  <si>
    <t>COGS</t>
  </si>
  <si>
    <t>Payroll</t>
  </si>
  <si>
    <t>Maintenance</t>
  </si>
  <si>
    <t>Marketing</t>
  </si>
  <si>
    <t>Utilities</t>
  </si>
  <si>
    <t>Taxes</t>
  </si>
  <si>
    <t>Rent</t>
  </si>
  <si>
    <t>Interest</t>
  </si>
  <si>
    <t>D&amp;A</t>
  </si>
  <si>
    <t>Non-Operating</t>
  </si>
  <si>
    <t>Income Tax</t>
  </si>
  <si>
    <t>Total COGS</t>
  </si>
  <si>
    <t>Total Payroll</t>
  </si>
  <si>
    <t>Historicals</t>
  </si>
  <si>
    <t>PF</t>
  </si>
  <si>
    <t>Y1</t>
  </si>
  <si>
    <t>Y2</t>
  </si>
  <si>
    <t>Y3</t>
  </si>
  <si>
    <t>PF P&amp;L Analysis</t>
  </si>
  <si>
    <t>WH Standard</t>
  </si>
  <si>
    <t>$ / Event</t>
  </si>
  <si>
    <t>Food</t>
  </si>
  <si>
    <t>Room Rental</t>
  </si>
  <si>
    <t>Beverage</t>
  </si>
  <si>
    <t>Lodgings</t>
  </si>
  <si>
    <t>WH Average</t>
  </si>
  <si>
    <t>DJ</t>
  </si>
  <si>
    <t>Floral</t>
  </si>
  <si>
    <t>Bakery</t>
  </si>
  <si>
    <t>Photography</t>
  </si>
  <si>
    <t>Total Events</t>
  </si>
  <si>
    <t>OC</t>
  </si>
  <si>
    <t>Venue</t>
  </si>
  <si>
    <t>Net Interest Expense</t>
  </si>
  <si>
    <t>EBITDA</t>
  </si>
  <si>
    <t>Revenue &amp; Events</t>
  </si>
  <si>
    <t>Item</t>
  </si>
  <si>
    <t>Operational Data</t>
  </si>
  <si>
    <t># Venues</t>
  </si>
  <si>
    <t xml:space="preserve"># Events </t>
  </si>
  <si>
    <t># DJ Events</t>
  </si>
  <si>
    <t># Floral Events</t>
  </si>
  <si>
    <t># Stationery Events</t>
  </si>
  <si>
    <t># Photography Events</t>
  </si>
  <si>
    <t>DJ Rev / Event</t>
  </si>
  <si>
    <t>Floral Rev / Event</t>
  </si>
  <si>
    <t>Bakery Rev / Event</t>
  </si>
  <si>
    <t>Stationery Rev / Event</t>
  </si>
  <si>
    <t>Photography Rev / Event</t>
  </si>
  <si>
    <t># Events  / Venue</t>
  </si>
  <si>
    <t># DJ Events / Venue</t>
  </si>
  <si>
    <t># Floral Events / Venue</t>
  </si>
  <si>
    <t># Bakery Events / Venue</t>
  </si>
  <si>
    <t># Stationery Events / Venue</t>
  </si>
  <si>
    <t># Photography Events / Venue</t>
  </si>
  <si>
    <t>DJ % of Total</t>
  </si>
  <si>
    <t>Floral % of Total</t>
  </si>
  <si>
    <t>Bakery % of Total</t>
  </si>
  <si>
    <t>Stationery % of Total</t>
  </si>
  <si>
    <t>Photography % of Total</t>
  </si>
  <si>
    <t>% of Total Events</t>
  </si>
  <si>
    <t>Avg. $ / Event</t>
  </si>
  <si>
    <t>Total</t>
  </si>
  <si>
    <t>New</t>
  </si>
  <si>
    <t>Summary</t>
  </si>
  <si>
    <t>Booked Events Summary</t>
  </si>
  <si>
    <t>May</t>
  </si>
  <si>
    <t>Monthly</t>
  </si>
  <si>
    <t>Year</t>
  </si>
  <si>
    <t>LTM</t>
  </si>
  <si>
    <t>LTM 26</t>
  </si>
  <si>
    <t>LTM 27</t>
  </si>
  <si>
    <t># Bakery Events</t>
  </si>
  <si>
    <t>Ancillary Rev / TOTAL Event</t>
  </si>
  <si>
    <t>Financial Data - MAY 2025</t>
  </si>
  <si>
    <t>Beverage Rev / TOTAL Events</t>
  </si>
  <si>
    <t>Food Rev / TOTAL Events</t>
  </si>
  <si>
    <t>Service Charge / TOTAL Events</t>
  </si>
  <si>
    <t>Room Rental Rev / TOTAL Events</t>
  </si>
  <si>
    <t>To Compare</t>
  </si>
  <si>
    <t>Other Ancillary</t>
  </si>
  <si>
    <t>Other Add On Rev / TOTAL Event</t>
  </si>
  <si>
    <t>Inputs</t>
  </si>
  <si>
    <t>$ in thousands</t>
  </si>
  <si>
    <t>EBITDAR</t>
  </si>
  <si>
    <t>N/A</t>
  </si>
  <si>
    <t>OC Revenue</t>
  </si>
  <si>
    <t>New Contracts</t>
  </si>
  <si>
    <t>Events - OC</t>
  </si>
  <si>
    <t>Total OC Events</t>
  </si>
  <si>
    <t>Total NEW CONTRACT Events</t>
  </si>
  <si>
    <t>Events - NEW CONTRACT</t>
  </si>
  <si>
    <t>Revenue OC</t>
  </si>
  <si>
    <t>Total NEW CONTRACT Revenue</t>
  </si>
  <si>
    <t>Revenue NEW CONTRACT</t>
  </si>
  <si>
    <t>EVENTS</t>
  </si>
  <si>
    <t>REVENUE</t>
  </si>
  <si>
    <t>Total OC Revenue</t>
  </si>
  <si>
    <t>Average $ / OC Event</t>
  </si>
  <si>
    <t>Average $ / NEW CONTRACT Event</t>
  </si>
  <si>
    <t>ALL New Revenue (OC and NC)</t>
  </si>
  <si>
    <t>CHECKS</t>
  </si>
  <si>
    <t>Historical</t>
  </si>
  <si>
    <t>Personal Expenses</t>
  </si>
  <si>
    <t>Owner Salaries</t>
  </si>
  <si>
    <t>Drivers</t>
  </si>
  <si>
    <t>Jun</t>
  </si>
  <si>
    <t>OC New Rev</t>
  </si>
  <si>
    <t>Type</t>
  </si>
  <si>
    <t>Location</t>
  </si>
  <si>
    <t>Venues</t>
  </si>
  <si>
    <t>Region</t>
  </si>
  <si>
    <t>District</t>
  </si>
  <si>
    <t>Jan</t>
  </si>
  <si>
    <t>Feb</t>
  </si>
  <si>
    <t>Mar</t>
  </si>
  <si>
    <t>Apr</t>
  </si>
  <si>
    <t>Jul</t>
  </si>
  <si>
    <t>Aug</t>
  </si>
  <si>
    <t>Sep</t>
  </si>
  <si>
    <t>Oct</t>
  </si>
  <si>
    <t>Nov</t>
  </si>
  <si>
    <t>Dec</t>
  </si>
  <si>
    <t>Venue Count - Events</t>
  </si>
  <si>
    <t>Aristide - Flower Mound</t>
  </si>
  <si>
    <t>DFW</t>
  </si>
  <si>
    <t>DFW E</t>
  </si>
  <si>
    <t>Aristide - McKinney</t>
  </si>
  <si>
    <t>Chapel at Ana Villa</t>
  </si>
  <si>
    <t>Chapel at Riverwalk</t>
  </si>
  <si>
    <t>Hidden Pines - Highland Village</t>
  </si>
  <si>
    <t>Ashton Gardens - Corinth</t>
  </si>
  <si>
    <t>DFW N</t>
  </si>
  <si>
    <t>Monroe Pearson</t>
  </si>
  <si>
    <t>The Milestone - Aubrey</t>
  </si>
  <si>
    <t>The Milestone - Denton</t>
  </si>
  <si>
    <t>The Olana</t>
  </si>
  <si>
    <t>The Olana Design Center</t>
  </si>
  <si>
    <t>Wildwood Inn</t>
  </si>
  <si>
    <t>Aristide - Colleyville</t>
  </si>
  <si>
    <t>DFW S</t>
  </si>
  <si>
    <t>Aristide - Mansfield</t>
  </si>
  <si>
    <t>Chapel at Palacios</t>
  </si>
  <si>
    <t>Hayes Hollow - Arlington</t>
  </si>
  <si>
    <t>Hidden Pines - Hurst</t>
  </si>
  <si>
    <t>Hidden Falls</t>
  </si>
  <si>
    <t>HC</t>
  </si>
  <si>
    <t>Morgan Creek Barn- Dripping Springs</t>
  </si>
  <si>
    <t>The Laiken on Lake Travis</t>
  </si>
  <si>
    <t>The Milestone - Boerne</t>
  </si>
  <si>
    <t>The Milestone - Georgetown</t>
  </si>
  <si>
    <t>The Milestone - New Braunfels</t>
  </si>
  <si>
    <t>The Terrace at Highland Lakes</t>
  </si>
  <si>
    <t>Ashton Gardens - North Houston</t>
  </si>
  <si>
    <t>HTX</t>
  </si>
  <si>
    <t>Ashton Gardens - West Houston</t>
  </si>
  <si>
    <t>Hidden Pines | Lake Houston</t>
  </si>
  <si>
    <t>The Carriage House</t>
  </si>
  <si>
    <t>The Lakota</t>
  </si>
  <si>
    <t>The Milestone - Montgomery</t>
  </si>
  <si>
    <t>Jennings Trace</t>
  </si>
  <si>
    <t>Ashton Gardens - Sugar Hill</t>
  </si>
  <si>
    <t>ATL</t>
  </si>
  <si>
    <t>Firefly Gardens</t>
  </si>
  <si>
    <t>Total Event Count</t>
  </si>
  <si>
    <t>Events with Ancillary</t>
  </si>
  <si>
    <t>Stationery</t>
  </si>
  <si>
    <t>Total Event Count - Sat</t>
  </si>
  <si>
    <t>Total Event Count - Sun</t>
  </si>
  <si>
    <t>Total Event Count - Fri</t>
  </si>
  <si>
    <t>Total Event Count - Weekday</t>
  </si>
  <si>
    <t>WH Venue</t>
  </si>
  <si>
    <t>WH Region</t>
  </si>
  <si>
    <t>Net Revenue</t>
  </si>
  <si>
    <t>Cost of goods sold</t>
  </si>
  <si>
    <t>Payroll Expense</t>
  </si>
  <si>
    <t>Opex %</t>
  </si>
  <si>
    <t>Net income</t>
  </si>
  <si>
    <t>Net income %</t>
  </si>
  <si>
    <t>Historical / PF Comments</t>
  </si>
  <si>
    <t>WH Comparable Venue</t>
  </si>
  <si>
    <t>$</t>
  </si>
  <si>
    <t>%</t>
  </si>
  <si>
    <t>Current</t>
  </si>
  <si>
    <t>% Type</t>
  </si>
  <si>
    <t>% Food Rev</t>
  </si>
  <si>
    <t>% Ancillary Rev</t>
  </si>
  <si>
    <t>% Alcohol Rev</t>
  </si>
  <si>
    <t>% Total Rev</t>
  </si>
  <si>
    <t>J</t>
  </si>
  <si>
    <t>K</t>
  </si>
  <si>
    <t>L</t>
  </si>
  <si>
    <t>M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</si>
  <si>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</si>
  <si>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</si>
  <si>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</si>
  <si>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</si>
  <si>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</si>
  <si>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</si>
  <si>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</si>
  <si>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</si>
  <si>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</si>
  <si>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</si>
  <si>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</si>
  <si>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</si>
  <si>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</si>
  <si>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</si>
  <si>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</si>
  <si>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</si>
  <si>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</si>
  <si>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</si>
  <si>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</si>
  <si>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</si>
  <si>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</si>
  <si>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AL</t>
  </si>
  <si>
    <t>AM</t>
  </si>
  <si>
    <t>AN</t>
  </si>
  <si>
    <t>AO</t>
  </si>
  <si>
    <t>PF Drivers</t>
  </si>
  <si>
    <t>% Total Other Payroll</t>
  </si>
  <si>
    <t>$/team member</t>
  </si>
  <si>
    <t>LTM 28</t>
  </si>
  <si>
    <t>Revenue Analysis</t>
  </si>
  <si>
    <t>Fixed</t>
  </si>
  <si>
    <t>% Lodging Rev</t>
  </si>
  <si>
    <t>% F&amp;B Rev</t>
  </si>
  <si>
    <t>AK</t>
  </si>
  <si>
    <t>LTM 29</t>
  </si>
  <si>
    <t>Morgan Creek- Dripping Springs</t>
  </si>
  <si>
    <t>Camp Hosea</t>
  </si>
  <si>
    <t>Stationery COGS</t>
  </si>
  <si>
    <t>Cost of Goods Sold</t>
  </si>
  <si>
    <t>Gross Margin %</t>
  </si>
  <si>
    <t>Labor</t>
  </si>
  <si>
    <t>Payroll %</t>
  </si>
  <si>
    <t>AP</t>
  </si>
  <si>
    <t>AQ</t>
  </si>
  <si>
    <t>AR</t>
  </si>
  <si>
    <t>AS</t>
  </si>
  <si>
    <t>AT</t>
  </si>
  <si>
    <t>AV</t>
  </si>
  <si>
    <t>AU</t>
  </si>
  <si>
    <t>DFW Excl Olana &amp; OLDC</t>
  </si>
  <si>
    <t>AW</t>
  </si>
  <si>
    <t>Forecast</t>
  </si>
  <si>
    <t>Leads</t>
  </si>
  <si>
    <t>Contracts</t>
  </si>
  <si>
    <t>Original</t>
  </si>
  <si>
    <t>Seasonality</t>
  </si>
  <si>
    <t>% of CY</t>
  </si>
  <si>
    <t>Month</t>
  </si>
  <si>
    <t>% Use</t>
  </si>
  <si>
    <t>PF Events</t>
  </si>
  <si>
    <t>Annual - Rev Analysis</t>
  </si>
  <si>
    <t>Annual - P&amp;L</t>
  </si>
  <si>
    <t>Y -2</t>
  </si>
  <si>
    <t>Y -1</t>
  </si>
  <si>
    <t>Y0</t>
  </si>
  <si>
    <t>Notes:</t>
  </si>
  <si>
    <t>Close Date</t>
  </si>
  <si>
    <t>Timing</t>
  </si>
  <si>
    <t>% of Annual Events</t>
  </si>
  <si>
    <t>Monthly Split</t>
  </si>
  <si>
    <t>Split evently</t>
  </si>
  <si>
    <t>NA</t>
  </si>
  <si>
    <t>Monthly - P&amp;L</t>
  </si>
  <si>
    <t>Check</t>
  </si>
  <si>
    <t>LTM Jul-26</t>
  </si>
  <si>
    <t>LTM Aug-27</t>
  </si>
  <si>
    <t>LTM Aug-28</t>
  </si>
  <si>
    <t>LTM Aug-29</t>
  </si>
  <si>
    <t>To-Dos</t>
  </si>
  <si>
    <t>Mid-month close, most recent LTM available is LTM Jul-26 but first full year of ownership is LTM Aug-27</t>
  </si>
  <si>
    <t>Damn Good Dawg Farms</t>
  </si>
  <si>
    <t>Profit and Loss by Month</t>
  </si>
  <si>
    <t>January 1, 2024-August 5, 2026</t>
  </si>
  <si>
    <t/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</si>
  <si>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</si>
  <si>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</si>
  <si>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</si>
  <si>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</si>
  <si>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</si>
  <si>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</si>
  <si>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</si>
  <si>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</si>
  <si>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</si>
  <si>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</si>
  <si>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</si>
  <si>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</si>
  <si>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</si>
  <si>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</si>
  <si>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</si>
  <si>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</si>
  <si>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</si>
  <si>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</si>
  <si>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</si>
  <si>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</si>
  <si>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</si>
  <si>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</si>
  <si>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</si>
  <si>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</si>
  <si>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</si>
  <si>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</si>
  <si>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</si>
  <si>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</si>
  <si>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</si>
  <si>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</si>
  <si>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</si>
  <si>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1-5 2026</t>
  </si>
  <si>
    <t>Income</t>
  </si>
  <si>
    <t>41000 Sales -  Event Rentals</t>
  </si>
  <si>
    <t>41100 Photo Session Rental</t>
  </si>
  <si>
    <t>42000 Interest Income</t>
  </si>
  <si>
    <t>43000 Sales - Food</t>
  </si>
  <si>
    <t>43050 Sales - Gift Certificates</t>
  </si>
  <si>
    <t>43100 Sales - Merchandise</t>
  </si>
  <si>
    <t>43200 Sales - Blueberries</t>
  </si>
  <si>
    <t>43400 Sales - Wine</t>
  </si>
  <si>
    <t>43500 Sales - Winery</t>
  </si>
  <si>
    <t>43550 Sales - Charm &amp; Chain</t>
  </si>
  <si>
    <t>43575 Sales - Flowers</t>
  </si>
  <si>
    <t>43600 Sales - Pop Up Events</t>
  </si>
  <si>
    <t>47500 Farm Services Income</t>
  </si>
  <si>
    <t>47600 Airbnb Income</t>
  </si>
  <si>
    <t>49999 Discounts/Refunds Given</t>
  </si>
  <si>
    <t>BG_Discounts/Refunds Given</t>
  </si>
  <si>
    <t>Clover Sales</t>
  </si>
  <si>
    <t>Technology_Fees_BG</t>
  </si>
  <si>
    <t>Unapplied Cash Payment Income</t>
  </si>
  <si>
    <t>Total for Income</t>
  </si>
  <si>
    <t>50000 Cost of Goods Sold</t>
  </si>
  <si>
    <t>53000 Purchases - Food</t>
  </si>
  <si>
    <t>53100 Purchases -  Merchandise</t>
  </si>
  <si>
    <t>53400 Purchases - Wine</t>
  </si>
  <si>
    <t>Total for 50000 Cost of Goods Sold</t>
  </si>
  <si>
    <t>52000 Subcontractors Expense</t>
  </si>
  <si>
    <t>54000 Cost of Labor</t>
  </si>
  <si>
    <t>54100 Direct Labor Expense</t>
  </si>
  <si>
    <t>Total for 54000 Cost of Labor</t>
  </si>
  <si>
    <t>Purchases - Charm &amp; Chain</t>
  </si>
  <si>
    <t>Supplies &amp; Materials - COGS</t>
  </si>
  <si>
    <t>Total for Cost of Goods Sold</t>
  </si>
  <si>
    <t>Gross Profit</t>
  </si>
  <si>
    <t>Expenses</t>
  </si>
  <si>
    <t>60200 Automobile Expenses</t>
  </si>
  <si>
    <t>60300 Advertising</t>
  </si>
  <si>
    <t>60400 Bank Service Charges</t>
  </si>
  <si>
    <t>61500 Chemicals Purchased</t>
  </si>
  <si>
    <t>61700 Computer and Internet Expenses</t>
  </si>
  <si>
    <t>61800 Credit Card Fees</t>
  </si>
  <si>
    <t>62400 Depreciation Expense</t>
  </si>
  <si>
    <t>63000 Fertilizers and Lime</t>
  </si>
  <si>
    <t>63200 Gasoline, Fuel and Oil</t>
  </si>
  <si>
    <t>63250 Gifts &amp; Charitable Donations</t>
  </si>
  <si>
    <t>63300 Insurance Expense</t>
  </si>
  <si>
    <t>63400 Interest Expense</t>
  </si>
  <si>
    <t>63401 Misc. Expenses</t>
  </si>
  <si>
    <t>63425 Laundry and Linen</t>
  </si>
  <si>
    <t>63450 Janitorial Expense</t>
  </si>
  <si>
    <t>63500 Grounds Maintenance</t>
  </si>
  <si>
    <t>63600 Facility Maintenance</t>
  </si>
  <si>
    <t>63650 Live Entertainment</t>
  </si>
  <si>
    <t>63700 Meals and Entertainment</t>
  </si>
  <si>
    <t>63715 Melio Credit card fee</t>
  </si>
  <si>
    <t>64900 Office Supplies</t>
  </si>
  <si>
    <t>65000 Officer Salary</t>
  </si>
  <si>
    <t>66000 Payroll Expenses</t>
  </si>
  <si>
    <t>66001 Payroll Tax Expenses</t>
  </si>
  <si>
    <t>66500 Property Tax</t>
  </si>
  <si>
    <t>66700 Professional Fees</t>
  </si>
  <si>
    <t>67100 Rent Expense</t>
  </si>
  <si>
    <t>67200 Repairs and Maintenance</t>
  </si>
  <si>
    <t>67300 Security</t>
  </si>
  <si>
    <t>67800 Small Tools and Equipment</t>
  </si>
  <si>
    <t>Total for 67805 Supplies &amp; Materials</t>
  </si>
  <si>
    <t>67850 Software Subscriptions</t>
  </si>
  <si>
    <t>68000 Taxes &amp; Licenses</t>
  </si>
  <si>
    <t>68600 Utilities</t>
  </si>
  <si>
    <t>BG Merchant Fees</t>
  </si>
  <si>
    <t>Unapplied Cash Bill Payment Expense</t>
  </si>
  <si>
    <t>Total for Expenses</t>
  </si>
  <si>
    <t>Net Operating Income</t>
  </si>
  <si>
    <t>90000 Other Income</t>
  </si>
  <si>
    <t>91000 Sales Tax Commission Income</t>
  </si>
  <si>
    <t>95000 Gain on Sale of Asset</t>
  </si>
  <si>
    <t>Total for Other Income</t>
  </si>
  <si>
    <t>Other Expenses</t>
  </si>
  <si>
    <t>80000 Ask My Accountant</t>
  </si>
  <si>
    <t>85000 Loss on Sale of Asset</t>
  </si>
  <si>
    <t>Total for Other Expenses</t>
  </si>
  <si>
    <t>Net Other Income</t>
  </si>
  <si>
    <t>Net Income</t>
  </si>
  <si>
    <t>Cash Basis Wednesday, August 05, 2026 01:40 PM GMT-05:00</t>
  </si>
  <si>
    <t>Depreciation</t>
  </si>
  <si>
    <t>- Update August</t>
  </si>
  <si>
    <t>RENT - Excluding</t>
  </si>
  <si>
    <t>Event Name</t>
  </si>
  <si>
    <t>Event Date</t>
  </si>
  <si>
    <t>Day of the Week</t>
  </si>
  <si>
    <t>Package Type</t>
  </si>
  <si>
    <t>Venue Price</t>
  </si>
  <si>
    <t>Lodging</t>
  </si>
  <si>
    <t>Other</t>
  </si>
  <si>
    <t>Contract Total</t>
  </si>
  <si>
    <t>Notes</t>
  </si>
  <si>
    <t>poolside rehearsal</t>
  </si>
  <si>
    <t>paid in full at time of booking, 10% discount</t>
  </si>
  <si>
    <t>Stephanie Dickens</t>
  </si>
  <si>
    <t>Friday</t>
  </si>
  <si>
    <t>RHS</t>
  </si>
  <si>
    <t>Paid $1,000? RHS dinner - Oak Room Tent but not on calendar?</t>
  </si>
  <si>
    <t>Avery Denny &amp; Luke Dickens</t>
  </si>
  <si>
    <t>Saturday</t>
  </si>
  <si>
    <t>Signature</t>
  </si>
  <si>
    <t>oak room lawn rehearsal</t>
  </si>
  <si>
    <t>Kirk McClellan RHS</t>
  </si>
  <si>
    <t>The Oak Room</t>
  </si>
  <si>
    <t>Kirk McClellan Wedding</t>
  </si>
  <si>
    <t>John's friend</t>
  </si>
  <si>
    <t>Kenzie Bullard &amp; Kenneth O'Kelley OC Wedding</t>
  </si>
  <si>
    <t>Micro</t>
  </si>
  <si>
    <t>Oark Night of Thanks OC Event</t>
  </si>
  <si>
    <t>Thursday</t>
  </si>
  <si>
    <t>Non-Profit</t>
  </si>
  <si>
    <t>The Estate Room</t>
  </si>
  <si>
    <t>Lanie Clark OC RHS</t>
  </si>
  <si>
    <t>RHS Dinner - Lodge / Poolside</t>
  </si>
  <si>
    <t>Lanie Clark OC Wedding</t>
  </si>
  <si>
    <t>Melanie Gonzalez &amp; Oliver Woodruff OC Wedding</t>
  </si>
  <si>
    <t>lodge</t>
  </si>
  <si>
    <t>Alpha Delta Pi OC Event</t>
  </si>
  <si>
    <t>Sunday</t>
  </si>
  <si>
    <t>Grayson Johns OC Wedding</t>
  </si>
  <si>
    <t>paid in full discount</t>
  </si>
  <si>
    <t>Bailey Jarrard Bridal OC Luncheon</t>
  </si>
  <si>
    <t>Special Event</t>
  </si>
  <si>
    <t xml:space="preserve">Bridal Luncheon  </t>
  </si>
  <si>
    <t>Bailey Jarrard OC RHS</t>
  </si>
  <si>
    <t>RHS Dinner</t>
  </si>
  <si>
    <t>Bailey Jarrard OC Wedding</t>
  </si>
  <si>
    <t>Caroline Bentley &amp; Zach Kinnon OC Wedding</t>
  </si>
  <si>
    <t>Brianna Stewart OC Wedding</t>
  </si>
  <si>
    <t>Kaitlyn Frame &amp; Mitchell Mannino OC Wedding</t>
  </si>
  <si>
    <t>Alee Stidham &amp; Luke OC RHS</t>
  </si>
  <si>
    <t>Poolside RHS</t>
  </si>
  <si>
    <t>Alee Stidham &amp; Luke OC Wedding</t>
  </si>
  <si>
    <t>Ellie Murray &amp; Brock Tate OC RHS</t>
  </si>
  <si>
    <t>The Oak Room RHS</t>
  </si>
  <si>
    <t>Ellie Murray &amp; Brock Tate OC Wedding</t>
  </si>
  <si>
    <t>Natalie Waterfill OC Wedding</t>
  </si>
  <si>
    <t>McKinsey Rogers &amp; Chandler Payne OC Wedding</t>
  </si>
  <si>
    <t>Sydney Howell &amp; Grand Grahl OC Wedding</t>
  </si>
  <si>
    <t>Caitlyn Patterson &amp; Autumn Daugherity OC Wedding</t>
  </si>
  <si>
    <t>Ava Kreitner &amp; Alex Zanebis OC Wedding</t>
  </si>
  <si>
    <t>add'l bartender</t>
  </si>
  <si>
    <t>Cafe 1040 Event</t>
  </si>
  <si>
    <t>NonProfit</t>
  </si>
  <si>
    <t>Lauren Ackleh OC Wedding</t>
  </si>
  <si>
    <t>Kristen Dowdy OC Wedding</t>
  </si>
  <si>
    <t>Abigail McWhorter OC Wedding</t>
  </si>
  <si>
    <t>Attie Ridley OC Wedding</t>
  </si>
  <si>
    <t>Grace Worthington OC Wedding</t>
  </si>
  <si>
    <t>Mallory Cromer OC Wedding</t>
  </si>
  <si>
    <t>Savannah McBee OC Wedding</t>
  </si>
  <si>
    <t>Sarah Wages OC ESTATE Package</t>
  </si>
  <si>
    <t>Estate</t>
  </si>
  <si>
    <t>Taylor Rylee OC ESTATE Package</t>
  </si>
  <si>
    <t>Ellen Daiss OC Wedding</t>
  </si>
  <si>
    <t>Emily Courson OC RHS</t>
  </si>
  <si>
    <t>Lodge Pool</t>
  </si>
  <si>
    <t>Emily Courson OC Wedding</t>
  </si>
  <si>
    <t>Ella Gossett OC Wedding</t>
  </si>
  <si>
    <t>- Ask Abigail to check historical events</t>
  </si>
  <si>
    <t>Event #</t>
  </si>
  <si>
    <t>Date</t>
  </si>
  <si>
    <t>Month End</t>
  </si>
  <si>
    <t>Venue Fee ($)</t>
  </si>
  <si>
    <t>Lodge ($)</t>
  </si>
  <si>
    <t>Other ($)</t>
  </si>
  <si>
    <t>Total Revenue ($)</t>
  </si>
  <si>
    <t>Deposits Received ($)</t>
  </si>
  <si>
    <t>Baby Shower - Winery</t>
  </si>
  <si>
    <t>Bar Mitzvah - Close Friend</t>
  </si>
  <si>
    <t>Wedding</t>
  </si>
  <si>
    <t>Birtrhday - Winery</t>
  </si>
  <si>
    <t>OCHS Girls Bball - Cleaning Fee Only [date corrected: source file typo had 03/22/24 in 2025 tab]</t>
  </si>
  <si>
    <t>Airbnb - Lodge</t>
  </si>
  <si>
    <t>FFA Banquet - Cleaning Fee Only</t>
  </si>
  <si>
    <t>Graduation Party</t>
  </si>
  <si>
    <t>Rehearsal Dinner</t>
  </si>
  <si>
    <t>Corporate - Bridal House</t>
  </si>
  <si>
    <t>Corporate - Lodge</t>
  </si>
  <si>
    <t>Corporate - Cleaning Fee Only</t>
  </si>
  <si>
    <t>Bridal Shower - Winery</t>
  </si>
  <si>
    <t>Non Profit</t>
  </si>
  <si>
    <t>Birthday - Winery</t>
  </si>
  <si>
    <t>Christmas Party</t>
  </si>
  <si>
    <t>Birthday Party</t>
  </si>
  <si>
    <t>Party &amp; Lodge</t>
  </si>
  <si>
    <t>OCHS Boys Basketball - Cleaning Fee Only</t>
  </si>
  <si>
    <t>Chosen for Life - Non Profit</t>
  </si>
  <si>
    <t>Oconee Lacrosse - Cleaning Fee Only</t>
  </si>
  <si>
    <t>UGA Fashion Show</t>
  </si>
  <si>
    <t>Engagement Party</t>
  </si>
  <si>
    <t>Photo Session</t>
  </si>
  <si>
    <t>Rehearsal Dinner - Winery</t>
  </si>
  <si>
    <t>Reunion</t>
  </si>
  <si>
    <t>Social Event - Winery</t>
  </si>
  <si>
    <t>Nonprofit</t>
  </si>
  <si>
    <t>Christmas with Santa - winery</t>
  </si>
  <si>
    <t>VRBO</t>
  </si>
  <si>
    <t>Winery</t>
  </si>
  <si>
    <t>Grad Party</t>
  </si>
  <si>
    <t>Package</t>
  </si>
  <si>
    <t>- AJ: what do we count as a contract - just per couple right like if they do venue rental then Rehersal that's not 2?</t>
  </si>
  <si>
    <t>2 days</t>
  </si>
  <si>
    <t>Rehersal Dinner</t>
  </si>
  <si>
    <t>2 days - Rehersal</t>
  </si>
  <si>
    <t>2 Days Rehersal/Bridal Lunch</t>
  </si>
  <si>
    <t>2 day event</t>
  </si>
  <si>
    <t>Venue Fee</t>
  </si>
  <si>
    <t>T-&gt;C Conversion</t>
  </si>
  <si>
    <t>Tours</t>
  </si>
  <si>
    <t>Hadden Estate</t>
  </si>
  <si>
    <t>AGA Stats</t>
  </si>
  <si>
    <t>By Month</t>
  </si>
  <si>
    <t>Avg. % per Month</t>
  </si>
  <si>
    <t>L-&gt;T</t>
  </si>
  <si>
    <t>T-&gt;C</t>
  </si>
  <si>
    <t>L-&gt;C</t>
  </si>
  <si>
    <t>Average</t>
  </si>
  <si>
    <t>Emma Roussel's Project</t>
  </si>
  <si>
    <t>Emma Roussel</t>
  </si>
  <si>
    <t>TBD</t>
  </si>
  <si>
    <t>Hallie Anderson's Project</t>
  </si>
  <si>
    <t>Hallie Anderson</t>
  </si>
  <si>
    <t>Lizzie Stewart's Project</t>
  </si>
  <si>
    <t>Lizzie Stewart</t>
  </si>
  <si>
    <t>Anabelle Brannen's Project</t>
  </si>
  <si>
    <t>Anabelle Brannen</t>
  </si>
  <si>
    <t>Bridal Luncheon - Bailey</t>
  </si>
  <si>
    <t>Jennifer Fell</t>
  </si>
  <si>
    <t>Clark - Hopkins Rehearsal</t>
  </si>
  <si>
    <t>Lori Hopkins</t>
  </si>
  <si>
    <t>Katherine Garrison's Project</t>
  </si>
  <si>
    <t>Katherine Garrison</t>
  </si>
  <si>
    <t>Lauren Sheffield's Project</t>
  </si>
  <si>
    <t>Lauren Sheffield</t>
  </si>
  <si>
    <t>Gracie Boss's Project</t>
  </si>
  <si>
    <t>Gracie Boss</t>
  </si>
  <si>
    <t>Lodge Rental</t>
  </si>
  <si>
    <t>Stephanie Schrantz</t>
  </si>
  <si>
    <t>Michelle Small's Project</t>
  </si>
  <si>
    <t>Michelle Small</t>
  </si>
  <si>
    <t>Devin Hicks's Project</t>
  </si>
  <si>
    <t>Devin Hicks</t>
  </si>
  <si>
    <t>Kirk McClellan</t>
  </si>
  <si>
    <t>Cara Stein's Project</t>
  </si>
  <si>
    <t>Cara Stein</t>
  </si>
  <si>
    <t>Diana Malloy's Project</t>
  </si>
  <si>
    <t>Diana Malloy</t>
  </si>
  <si>
    <t>Rehearsal Dinner - Courtyard</t>
  </si>
  <si>
    <t>Bailey Jarrard</t>
  </si>
  <si>
    <t>Natalie Waterfill's Project</t>
  </si>
  <si>
    <t>Natalie Waterfill</t>
  </si>
  <si>
    <t>mya lovelace's Project</t>
  </si>
  <si>
    <t>mya lovelace</t>
  </si>
  <si>
    <t>Laura Grace Guice's Project</t>
  </si>
  <si>
    <t>Laura Grace Guice</t>
  </si>
  <si>
    <t>Jan Wall's Project</t>
  </si>
  <si>
    <t>Jan Wall</t>
  </si>
  <si>
    <t>Tara Trotter's Project</t>
  </si>
  <si>
    <t>Tara Trotter</t>
  </si>
  <si>
    <t>Elizabeth Nelson's Project</t>
  </si>
  <si>
    <t>Elizabeth Nelson</t>
  </si>
  <si>
    <t>Lily Degnan's Project</t>
  </si>
  <si>
    <t>Lily Degnan</t>
  </si>
  <si>
    <t>Rehearsal - pool</t>
  </si>
  <si>
    <t>Madison Roark</t>
  </si>
  <si>
    <t>Brooke Browning's Project</t>
  </si>
  <si>
    <t>Brooke Browning</t>
  </si>
  <si>
    <t>Mary Brett Anderson's Project</t>
  </si>
  <si>
    <t>Mary Brett Anderson</t>
  </si>
  <si>
    <t>Abigail Cherry's Project</t>
  </si>
  <si>
    <t>Abigail Cherry</t>
  </si>
  <si>
    <t>Elizabeth Lally 's Project</t>
  </si>
  <si>
    <t>Elizabeth Lally</t>
  </si>
  <si>
    <t>Renee Black's Project</t>
  </si>
  <si>
    <t>Renee Black</t>
  </si>
  <si>
    <t>Night-Of Lodge Rental</t>
  </si>
  <si>
    <t>Marcus Underwood</t>
  </si>
  <si>
    <t>Isabel Henderson's Project</t>
  </si>
  <si>
    <t>Isabel Henderson</t>
  </si>
  <si>
    <t>Arshi Shah's Project</t>
  </si>
  <si>
    <t>Arshi Shah</t>
  </si>
  <si>
    <t>Alexis Franklin's Project</t>
  </si>
  <si>
    <t>Alexis Franklin</t>
  </si>
  <si>
    <t>Alyssa Lombres's Project</t>
  </si>
  <si>
    <t>Alyssa Lombres</t>
  </si>
  <si>
    <t>Callie Chapman's Project</t>
  </si>
  <si>
    <t>Callie Chapman</t>
  </si>
  <si>
    <t>Alison Rawlings's Project</t>
  </si>
  <si>
    <t>Alison Rawlings</t>
  </si>
  <si>
    <t>Emily Fleming's Project</t>
  </si>
  <si>
    <t>Emily Fleming</t>
  </si>
  <si>
    <t>Mckenzie Manning 's Project</t>
  </si>
  <si>
    <t>Mckenzie Manning</t>
  </si>
  <si>
    <t>emily weihe's Project</t>
  </si>
  <si>
    <t>emily weihe</t>
  </si>
  <si>
    <t>Savannah Harper's Project</t>
  </si>
  <si>
    <t>Savannah Harper</t>
  </si>
  <si>
    <t>Jamie Cargill</t>
  </si>
  <si>
    <t>Drew Dennis's Project</t>
  </si>
  <si>
    <t>Drew Dennis</t>
  </si>
  <si>
    <t>Taylor Jackson's Project</t>
  </si>
  <si>
    <t>Taylor Jackson</t>
  </si>
  <si>
    <t>Rehearsal Dinner - Poolside</t>
  </si>
  <si>
    <t>TaylorMarie Beck</t>
  </si>
  <si>
    <t>Raegan Beightol's Project</t>
  </si>
  <si>
    <t>Raegan Beightol</t>
  </si>
  <si>
    <t>kayla's Project</t>
  </si>
  <si>
    <t>kayla</t>
  </si>
  <si>
    <t>Bri Schaffer's Project</t>
  </si>
  <si>
    <t>Bri Schaffer</t>
  </si>
  <si>
    <t>Asia Anderson's Project</t>
  </si>
  <si>
    <t>Asia Anderson</t>
  </si>
  <si>
    <t>Callie Davis's Project</t>
  </si>
  <si>
    <t>Callie Davis</t>
  </si>
  <si>
    <t>Kelsey Good + Chris Carpenter</t>
  </si>
  <si>
    <t>Kelsey Good</t>
  </si>
  <si>
    <t>Marie Theobald's Project</t>
  </si>
  <si>
    <t>Marie Theobald</t>
  </si>
  <si>
    <t>Leah Townsend's Project</t>
  </si>
  <si>
    <t>Leah Townsend</t>
  </si>
  <si>
    <t>Rachel Walker 's Project</t>
  </si>
  <si>
    <t>Chandler Adams</t>
  </si>
  <si>
    <t>Kendall Wilmot's Project</t>
  </si>
  <si>
    <t>Kendall Wilmot</t>
  </si>
  <si>
    <t>Roby Turcios's Project</t>
  </si>
  <si>
    <t>Roby Turcios</t>
  </si>
  <si>
    <t>Tiffany Pilgrim 's Project</t>
  </si>
  <si>
    <t>Tiffany Pilgrim</t>
  </si>
  <si>
    <t>Maree Jane Moore's Project</t>
  </si>
  <si>
    <t>Maree Jane Moore</t>
  </si>
  <si>
    <t>Megan's Project</t>
  </si>
  <si>
    <t>Megan</t>
  </si>
  <si>
    <t>Camille Stephenson's Project</t>
  </si>
  <si>
    <t>Camille Stephenson</t>
  </si>
  <si>
    <t>Poolside Rehearsal</t>
  </si>
  <si>
    <t>Natalie Allen</t>
  </si>
  <si>
    <t>Brianna Lodge Stay</t>
  </si>
  <si>
    <t>Brianna Stewart</t>
  </si>
  <si>
    <t>Kelsey &amp; Chris Carpenter</t>
  </si>
  <si>
    <t>Paige Metz's Project</t>
  </si>
  <si>
    <t>Paige Metz</t>
  </si>
  <si>
    <t>Kacie Booth's Project</t>
  </si>
  <si>
    <t>Kacie Booth</t>
  </si>
  <si>
    <t>Rylie Quick's Project</t>
  </si>
  <si>
    <t>Rylie Quick</t>
  </si>
  <si>
    <t>Rehearsal Dinner - poolside</t>
  </si>
  <si>
    <t>Dana Brown</t>
  </si>
  <si>
    <t>Grayson Johns's Project</t>
  </si>
  <si>
    <t>Grayson Johns</t>
  </si>
  <si>
    <t>Ashley Gay's Project</t>
  </si>
  <si>
    <t>Ashley Gay</t>
  </si>
  <si>
    <t>Ethan + William Grad Party</t>
  </si>
  <si>
    <t>Jenna Herrera's Project</t>
  </si>
  <si>
    <t>Jenna Herrera</t>
  </si>
  <si>
    <t>Megan Barrickman's Project</t>
  </si>
  <si>
    <t>Megan Barrickman</t>
  </si>
  <si>
    <t>Trisha Caputo's Project</t>
  </si>
  <si>
    <t>Trisha Caputo</t>
  </si>
  <si>
    <t>Camille Wynn Wilson's Project</t>
  </si>
  <si>
    <t>Camille Wynn Wilson</t>
  </si>
  <si>
    <t>Attie Ridley's Project</t>
  </si>
  <si>
    <t>Attie Ridley</t>
  </si>
  <si>
    <t>Leslie Cornejo's Project</t>
  </si>
  <si>
    <t>Leslie Cornejo</t>
  </si>
  <si>
    <t>elsa wolford's Project</t>
  </si>
  <si>
    <t>elsa wolford</t>
  </si>
  <si>
    <t>Amanda Torres's Project</t>
  </si>
  <si>
    <t>Amanda Torres</t>
  </si>
  <si>
    <t>Kleo Wilkerson's Project</t>
  </si>
  <si>
    <t>Kleo Wilkerson</t>
  </si>
  <si>
    <t>Alexandra Miller's Project</t>
  </si>
  <si>
    <t>Alexandra Miller</t>
  </si>
  <si>
    <t>Rupal Patel</t>
  </si>
  <si>
    <t>Christina Byerly's Project</t>
  </si>
  <si>
    <t>Christina Byerly</t>
  </si>
  <si>
    <t>Lauren Giesler's Project</t>
  </si>
  <si>
    <t>Lauren Giesler</t>
  </si>
  <si>
    <t>Lauren Worley's Project</t>
  </si>
  <si>
    <t>Lauren Worley</t>
  </si>
  <si>
    <t>Bridget Baker's Project</t>
  </si>
  <si>
    <t>Bridget Baker</t>
  </si>
  <si>
    <t>Megin Mannheimer's Project</t>
  </si>
  <si>
    <t>Megin Mannheimer</t>
  </si>
  <si>
    <t>Maneewan's Project</t>
  </si>
  <si>
    <t>Maneewan</t>
  </si>
  <si>
    <t>Susan Carlson's Project</t>
  </si>
  <si>
    <t>Susan Carlson</t>
  </si>
  <si>
    <t>Brittany Schrader's Project</t>
  </si>
  <si>
    <t>Brittany Schrader</t>
  </si>
  <si>
    <t>Joslyn Nicosia's Project</t>
  </si>
  <si>
    <t>Joslyn Nicosia</t>
  </si>
  <si>
    <t>Hannah MacDowell - Honeymoon Suite</t>
  </si>
  <si>
    <t>Hannah MacDowell</t>
  </si>
  <si>
    <t>Governor &amp; First Lady Kemp/Derek Dooley Event 3.27.26</t>
  </si>
  <si>
    <t>Mary Parks Ferguson</t>
  </si>
  <si>
    <t>Jessy Dibb</t>
  </si>
  <si>
    <t>non profit - LeAnne</t>
  </si>
  <si>
    <t>LeAnne Hale</t>
  </si>
  <si>
    <t>Abigail Sugg</t>
  </si>
  <si>
    <t>Cindy Brand</t>
  </si>
  <si>
    <t>Lindsay Nelson</t>
  </si>
  <si>
    <t>Morgan Green</t>
  </si>
  <si>
    <t>Alexis Johnson</t>
  </si>
  <si>
    <t>Christen Bramblett</t>
  </si>
  <si>
    <t>Aubriann DiPietro</t>
  </si>
  <si>
    <t>Ali Rodrigue</t>
  </si>
  <si>
    <t>Breona Avery</t>
  </si>
  <si>
    <t>Aleah Dempsey</t>
  </si>
  <si>
    <t>Karla Arellano</t>
  </si>
  <si>
    <t>Aaron Head</t>
  </si>
  <si>
    <t>Kate Moore</t>
  </si>
  <si>
    <t>Chandler Boatwrigtht</t>
  </si>
  <si>
    <t>marileedenny</t>
  </si>
  <si>
    <t>Baylie Jade Phillips</t>
  </si>
  <si>
    <t>Leah Sneddon</t>
  </si>
  <si>
    <t>Lodge Rental - Johns</t>
  </si>
  <si>
    <t>Cory Johns</t>
  </si>
  <si>
    <t>Rehearsal Dinner - Igo Jones</t>
  </si>
  <si>
    <t>Taylor Jones</t>
  </si>
  <si>
    <t>Barbara Marable</t>
  </si>
  <si>
    <t>Taylor Rylee</t>
  </si>
  <si>
    <t>Karen Tate - Rehearsal Dinner</t>
  </si>
  <si>
    <t>Karen Tate</t>
  </si>
  <si>
    <t>Amy Edwards</t>
  </si>
  <si>
    <t>Tynia Pittard</t>
  </si>
  <si>
    <t>Teal Bailey</t>
  </si>
  <si>
    <t>Cafe 1040 non-profit</t>
  </si>
  <si>
    <t>Cafe 1040 non profit</t>
  </si>
  <si>
    <t>Olivia Holcombe</t>
  </si>
  <si>
    <t>LaDonna Withrow</t>
  </si>
  <si>
    <t>Addison Montroy</t>
  </si>
  <si>
    <t>Lucy Kellam</t>
  </si>
  <si>
    <t>Emily Costa</t>
  </si>
  <si>
    <t>Olivia Jones</t>
  </si>
  <si>
    <t>Aditya</t>
  </si>
  <si>
    <t>Jessica Gravitt</t>
  </si>
  <si>
    <t>Katie Goldstein</t>
  </si>
  <si>
    <t>lodge rental - entire house</t>
  </si>
  <si>
    <t>Sherlin Alvarez</t>
  </si>
  <si>
    <t>Sherlin Mejia</t>
  </si>
  <si>
    <t>Kara Remington</t>
  </si>
  <si>
    <t>Sydney Roche</t>
  </si>
  <si>
    <t>Bryant Burroughs</t>
  </si>
  <si>
    <t>Hannah Mullins</t>
  </si>
  <si>
    <t>Baylee Lowe</t>
  </si>
  <si>
    <t>Emily Bodamer</t>
  </si>
  <si>
    <t>ashtyn allen</t>
  </si>
  <si>
    <t>Dickens Rehearsal Dinner</t>
  </si>
  <si>
    <t>Drew Dockter</t>
  </si>
  <si>
    <t>Madison Dee</t>
  </si>
  <si>
    <t>Sydney Baumgardner</t>
  </si>
  <si>
    <t>OLIVIA WILLIAMS</t>
  </si>
  <si>
    <t>Avery Carbone</t>
  </si>
  <si>
    <t>Linda Brito</t>
  </si>
  <si>
    <t>Wendy Morris</t>
  </si>
  <si>
    <t>Rachel Smith</t>
  </si>
  <si>
    <t>Elizabeth Prince</t>
  </si>
  <si>
    <t>Jewell Cox</t>
  </si>
  <si>
    <t>Lanie Grad Party</t>
  </si>
  <si>
    <t>Matthew Marvel</t>
  </si>
  <si>
    <t>Samantha renz</t>
  </si>
  <si>
    <t>Catherine Huskey</t>
  </si>
  <si>
    <t>Christian Dillahunt</t>
  </si>
  <si>
    <t>Kayden Parker</t>
  </si>
  <si>
    <t>Alicia Lane</t>
  </si>
  <si>
    <t>Emily Courson</t>
  </si>
  <si>
    <t>Lindsey Bowen</t>
  </si>
  <si>
    <t>Callie Payne</t>
  </si>
  <si>
    <t>Jared Steckl</t>
  </si>
  <si>
    <t>Mallory Riley</t>
  </si>
  <si>
    <t>Caroline Wood</t>
  </si>
  <si>
    <t>Rachel Zitzelsberger</t>
  </si>
  <si>
    <t>Haley Mealor</t>
  </si>
  <si>
    <t>Lexy Bussey</t>
  </si>
  <si>
    <t>Katlyn Gates Danner (wedding planner)</t>
  </si>
  <si>
    <t>Taylor Rylee - The Estate Package</t>
  </si>
  <si>
    <t>Poolside Rehearsal Dinner</t>
  </si>
  <si>
    <t>Louise Coleman</t>
  </si>
  <si>
    <t>Jarrett Broome</t>
  </si>
  <si>
    <t>Malisia Taylor</t>
  </si>
  <si>
    <t>Jack Doll</t>
  </si>
  <si>
    <t>Brenna Gassman</t>
  </si>
  <si>
    <t>Brittani Mazzeo</t>
  </si>
  <si>
    <t>Ellie Young</t>
  </si>
  <si>
    <t>Matthew Wong</t>
  </si>
  <si>
    <t>Lily Rogers</t>
  </si>
  <si>
    <t>Morgan Busbee</t>
  </si>
  <si>
    <t>Megan McPherson</t>
  </si>
  <si>
    <t>Sara Massey</t>
  </si>
  <si>
    <t>Michele Bell</t>
  </si>
  <si>
    <t>Ellen Daiss</t>
  </si>
  <si>
    <t>Emma Murray</t>
  </si>
  <si>
    <t>Kayla Zukusky</t>
  </si>
  <si>
    <t>Ashley Thomas</t>
  </si>
  <si>
    <t>Kiana McIntyre</t>
  </si>
  <si>
    <t>Lauren Ackleh</t>
  </si>
  <si>
    <t>Lauren Lamb</t>
  </si>
  <si>
    <t>Rachel Phillips</t>
  </si>
  <si>
    <t>Hannah Kipper</t>
  </si>
  <si>
    <t>Amy Sullivan</t>
  </si>
  <si>
    <t>Mary-Blake Whittington</t>
  </si>
  <si>
    <t>Brantley Herrington</t>
  </si>
  <si>
    <t>Michele Bell Party</t>
  </si>
  <si>
    <t>Henry Harris</t>
  </si>
  <si>
    <t>Sarah Resutek</t>
  </si>
  <si>
    <t>Katie Dunn</t>
  </si>
  <si>
    <t>Anna Catherine Womack</t>
  </si>
  <si>
    <t>Margaret Ann Yates</t>
  </si>
  <si>
    <t>Elizabeth Harrell</t>
  </si>
  <si>
    <t>Lodge Rental - DeDe</t>
  </si>
  <si>
    <t>DeDe Gonzalez</t>
  </si>
  <si>
    <t>Ella Smith</t>
  </si>
  <si>
    <t>Dave Jefferson</t>
  </si>
  <si>
    <t>Lisa Perry</t>
  </si>
  <si>
    <t>Andrea Lazcano</t>
  </si>
  <si>
    <t>Meiah Luttrell</t>
  </si>
  <si>
    <t>Alyssa Langford</t>
  </si>
  <si>
    <t>McKeely Fortune</t>
  </si>
  <si>
    <t>Aliese Stubbs</t>
  </si>
  <si>
    <t>Trent Baker</t>
  </si>
  <si>
    <t>Linnea Wylie</t>
  </si>
  <si>
    <t>Layton Morris</t>
  </si>
  <si>
    <t>Chandler Amerson</t>
  </si>
  <si>
    <t>Zoe Harrison</t>
  </si>
  <si>
    <t>Lodge Stay</t>
  </si>
  <si>
    <t>Beckett's Birthday Party</t>
  </si>
  <si>
    <t>Kristen Dowdy</t>
  </si>
  <si>
    <t>Beth Dowdy</t>
  </si>
  <si>
    <t>delaney dewitt</t>
  </si>
  <si>
    <t>Megan Willis</t>
  </si>
  <si>
    <t>Annika Phelps</t>
  </si>
  <si>
    <t>Jones Rehearsal Dinner</t>
  </si>
  <si>
    <t>KIRSTEN JONES</t>
  </si>
  <si>
    <t>Madison Cannon</t>
  </si>
  <si>
    <t>Emma Morris</t>
  </si>
  <si>
    <t>Erin Mullis</t>
  </si>
  <si>
    <t>Isabelle Jessie Sharpe</t>
  </si>
  <si>
    <t>Brooke Waters</t>
  </si>
  <si>
    <t>Grace Worthington</t>
  </si>
  <si>
    <t>Katherine Weller</t>
  </si>
  <si>
    <t>Oark Night of Thanks</t>
  </si>
  <si>
    <t>Amanda Davis</t>
  </si>
  <si>
    <t>Abbey Folsom</t>
  </si>
  <si>
    <t>Payton Munroe</t>
  </si>
  <si>
    <t>Candice Meeler</t>
  </si>
  <si>
    <t>Skylar Nieuwhof &amp;</t>
  </si>
  <si>
    <t>Skylar Nieuwhof</t>
  </si>
  <si>
    <t>Rebecca Hampton</t>
  </si>
  <si>
    <t>Brittany Haynes</t>
  </si>
  <si>
    <t>Elizabeth Rigsby</t>
  </si>
  <si>
    <t>Becca Hampton</t>
  </si>
  <si>
    <t>Katelyn Seale</t>
  </si>
  <si>
    <t>Sidney Cardinale - UGA Equestrian</t>
  </si>
  <si>
    <t>Dinner Party</t>
  </si>
  <si>
    <t>Gracie Pilkenton</t>
  </si>
  <si>
    <t>Brooke Mitas</t>
  </si>
  <si>
    <t>Karli Whitaker</t>
  </si>
  <si>
    <t>Emma Mitchell</t>
  </si>
  <si>
    <t>Morgan Kaupas</t>
  </si>
  <si>
    <t>Monce Barrera</t>
  </si>
  <si>
    <t>Malerie Wells</t>
  </si>
  <si>
    <t>Aleysha Marrero</t>
  </si>
  <si>
    <t>Destinee Delgado</t>
  </si>
  <si>
    <t>Brandy Solis</t>
  </si>
  <si>
    <t>Abbey Spires</t>
  </si>
  <si>
    <t>liam outreach</t>
  </si>
  <si>
    <t>Alpha Delta Pi</t>
  </si>
  <si>
    <t>Bosie Miles</t>
  </si>
  <si>
    <t>Madison Williams</t>
  </si>
  <si>
    <t>Linda fuller</t>
  </si>
  <si>
    <t>Emma Gore</t>
  </si>
  <si>
    <t>Cali Macisak</t>
  </si>
  <si>
    <t>Lawanda Lumpkin</t>
  </si>
  <si>
    <t>Caroline Bentley</t>
  </si>
  <si>
    <t>Kirsten Bowen</t>
  </si>
  <si>
    <t>Mikaela Weidmann</t>
  </si>
  <si>
    <t>Daniella Swarr</t>
  </si>
  <si>
    <t>Antonio Torres</t>
  </si>
  <si>
    <t>Sarah Sidwell</t>
  </si>
  <si>
    <t>Victoria Wittmeyer</t>
  </si>
  <si>
    <t>Reagan Fulcher</t>
  </si>
  <si>
    <t>reagan fulcher</t>
  </si>
  <si>
    <t>Kaitlyn Ward</t>
  </si>
  <si>
    <t>Crystal Haynes</t>
  </si>
  <si>
    <t>Kristina Nash</t>
  </si>
  <si>
    <t>Emma Luersman</t>
  </si>
  <si>
    <t>Brent Parker</t>
  </si>
  <si>
    <t>Hailey McCommons</t>
  </si>
  <si>
    <t>Kam Caldwell</t>
  </si>
  <si>
    <t>Abigail McWhorter</t>
  </si>
  <si>
    <t>Abbie McWhorter</t>
  </si>
  <si>
    <t>Carly Mink</t>
  </si>
  <si>
    <t>Courtney Rubio</t>
  </si>
  <si>
    <t>Mackenzie Riley</t>
  </si>
  <si>
    <t>Lindsay Hollis</t>
  </si>
  <si>
    <t>Addison Kernaghan</t>
  </si>
  <si>
    <t>Stephen Davison</t>
  </si>
  <si>
    <t>Caroline Martin</t>
  </si>
  <si>
    <t>Rainsford Reel</t>
  </si>
  <si>
    <t>Demi Mcclain</t>
  </si>
  <si>
    <t>Lexie Sengkhammee</t>
  </si>
  <si>
    <t>Nick Wiest</t>
  </si>
  <si>
    <t>Alyssa Murray</t>
  </si>
  <si>
    <t>Haley Hunt</t>
  </si>
  <si>
    <t>Sydney March</t>
  </si>
  <si>
    <t>Mattie Gibson</t>
  </si>
  <si>
    <t>Justin Tran</t>
  </si>
  <si>
    <t>Riley Welch</t>
  </si>
  <si>
    <t>Kara Phillips</t>
  </si>
  <si>
    <t>Jill Buchanan</t>
  </si>
  <si>
    <t>OSB xmas Party</t>
  </si>
  <si>
    <t>Cindy Roach</t>
  </si>
  <si>
    <t>Ella Gossett</t>
  </si>
  <si>
    <t>Julia Notaroberto</t>
  </si>
  <si>
    <t>Brandy Bisig</t>
  </si>
  <si>
    <t>Adam Locke</t>
  </si>
  <si>
    <t>Kenna Kay</t>
  </si>
  <si>
    <t>ben</t>
  </si>
  <si>
    <t>Lauren Stone</t>
  </si>
  <si>
    <t>Ellie Siewert</t>
  </si>
  <si>
    <t>Smruti</t>
  </si>
  <si>
    <t>OCSO Christmas Party</t>
  </si>
  <si>
    <t>Vanna kyte</t>
  </si>
  <si>
    <t>Lead Date</t>
  </si>
  <si>
    <t>Lead</t>
  </si>
  <si>
    <t>Contact Name</t>
  </si>
  <si>
    <t>Tour Date</t>
  </si>
  <si>
    <t>Matched Event</t>
  </si>
  <si>
    <t>Ashtyn Allen</t>
  </si>
  <si>
    <t>Bri Stewart</t>
  </si>
  <si>
    <t>Linda Fuller</t>
  </si>
  <si>
    <t>L-&gt;T Conversion</t>
  </si>
  <si>
    <t>N</t>
  </si>
  <si>
    <t>&lt;- ~33% LTM, discuss if we think this will be higher</t>
  </si>
  <si>
    <t>&lt;- $18.5k venue rental fee on average, less 22% service charge</t>
  </si>
  <si>
    <t>Checks</t>
  </si>
  <si>
    <t>Blueberries, Pop Up events, merch</t>
  </si>
  <si>
    <t>Person</t>
  </si>
  <si>
    <t>Annual $</t>
  </si>
  <si>
    <t>Danielle</t>
  </si>
  <si>
    <t>Josh</t>
  </si>
  <si>
    <t>Yami</t>
  </si>
  <si>
    <t>Planner</t>
  </si>
  <si>
    <t>$ / Hour</t>
  </si>
  <si>
    <t>Coordinator</t>
  </si>
  <si>
    <t>Adi</t>
  </si>
  <si>
    <t>&lt;- 39hr * 52 weeks</t>
  </si>
  <si>
    <t>Weekly Hr</t>
  </si>
  <si>
    <t>Kathy</t>
  </si>
  <si>
    <t>Sales</t>
  </si>
  <si>
    <t>PF Leads</t>
  </si>
  <si>
    <t>PF Tours</t>
  </si>
  <si>
    <t>PF Contracts</t>
  </si>
  <si>
    <t>OK</t>
  </si>
  <si>
    <t>Kathy (5% YoY)</t>
  </si>
  <si>
    <t>Danielle and Yami (5% YoY)</t>
  </si>
  <si>
    <t>Josh &amp; Adi (5% YoY)</t>
  </si>
  <si>
    <t>Actual premiums ~$28k currently</t>
  </si>
  <si>
    <t>&lt;- historical, not assuming additional</t>
  </si>
  <si>
    <t>&lt;- not assuming any additional attachment given Danielle is working with most of these</t>
  </si>
  <si>
    <t>&lt;- start selling in September for events to occur as soon as we have packaging - assuming November 2026+ - 15% // 50% // 100% of ATL Average</t>
  </si>
  <si>
    <t>&lt;- start selling in September for events to occur in November 2026+ - 15% // 50% // 100% of ATL Average</t>
  </si>
  <si>
    <t>&lt;- will need to build out their catering kitchen, assume we can do that in the next 6mo to start selling / attaching by beginning of Y2, assuming ~50% ramp up from then to 75% in Y3</t>
  </si>
  <si>
    <t>&lt;- WH Average conservatively vs ATL Average</t>
  </si>
  <si>
    <t>&lt;- current average for add-on events less 22%</t>
  </si>
  <si>
    <t>&lt;- 20 hrs * through end of November</t>
  </si>
  <si>
    <t>&lt;- ~50% LTM, team thinks this will increase as we're starting to include in all packages so assuming 75%</t>
  </si>
  <si>
    <t>&lt;- start selling in September for events to occur in November 2026+ - 15% // 50% // 80% of ATL Average - people want bands more here so not hitting 100%</t>
  </si>
  <si>
    <t>LTM double counts property taxes, 2025 was ~30k, adding 10%+</t>
  </si>
  <si>
    <t>&lt;- Assuming we can start selling now for 2027 events, so assuming 50% of Y2 then 75% of Y3 as it likely won't be required</t>
  </si>
  <si>
    <t>Avg ATL</t>
  </si>
  <si>
    <t xml:space="preserve"> </t>
  </si>
  <si>
    <t>1/2 ATL spend today - 5% YoY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</si>
</sst>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164" formatCode="#,##0_);\(#,##0\);\-_)"/>
    <numFmt numFmtId="165" formatCode="#,##0.0_);\(#,##0.0\);\-_)"/>
    <numFmt numFmtId="166" formatCode="&quot;$&quot;#,##0_);\(&quot;$&quot;#,##0\);\-_)"/>
    <numFmt numFmtId="167" formatCode="&quot;$&quot;#,##0.0_);\(&quot;$&quot;#,##0.0\)"/>
    <numFmt numFmtId="168" formatCode="0%_);\(0%\);\-_)"/>
    <numFmt numFmtId="169" formatCode="[$-409]mmm\-yy;@"/>
    <numFmt numFmtId="170" formatCode="&quot;$&quot;#,##0.0_);\(&quot;$&quot;#,##0.0\);\-_)"/>
    <numFmt numFmtId="171" formatCode="#,##0.00_);\(#,##0.00\);\-_)"/>
    <numFmt numFmtId="172" formatCode="&quot;$&quot;#,##0.00"/>
    <numFmt numFmtId="173" formatCode="0.0%"/>
    <numFmt numFmtId="174" formatCode="&quot;$&quot;#,##0"/>
    <numFmt numFmtId="175" formatCode="&quot;Y&quot;#"/>
    <numFmt numFmtId="176" formatCode="#"/>
    <numFmt numFmtId="177" formatCode="&quot;$&quot;#,##0.000_);\(&quot;$&quot;#,##0.000\);\-_)"/>
    <numFmt numFmtId="178" formatCode="mm/dd/yy"/>
    <numFmt numFmtId="179" formatCode="\$#,##0.00"/>
    <numFmt numFmtId="180" formatCode="[$-409]mmm\-yy"/>
    <numFmt numFmtId="181" formatCode="\$#,##0_);\(\$#,##0\);\-_)"/>
    <numFmt numFmtId="182" formatCode="0_);\(0\)"/>
    <numFmt numFmtId="183" formatCode="d\-mmmm\-yy"/>
    <numFmt numFmtId="184" formatCode="yyyy\-mm\-dd"/>
  </numFmts>
  <fonts count="7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9"/>
      <color rgb="FF63666A"/>
      <name val="Arial"/>
      <family val="2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66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6600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u val="singleAccounting"/>
      <sz val="11"/>
      <color theme="0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i/>
      <u val="singleAccounting"/>
      <sz val="11"/>
      <name val="Aptos Narrow"/>
      <family val="2"/>
      <scheme val="minor"/>
    </font>
    <font>
      <b/>
      <u val="singleAccounting"/>
      <sz val="11"/>
      <name val="Aptos Narrow"/>
      <family val="2"/>
      <scheme val="minor"/>
    </font>
    <font>
      <sz val="10"/>
      <color indexed="8"/>
      <name val="Helvetica Neue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9"/>
      <color theme="1"/>
      <name val="Arial"/>
      <family val="2"/>
    </font>
    <font>
      <b/>
      <u val="singleAccounting"/>
      <sz val="9"/>
      <color theme="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rgb="FF006600"/>
      <name val="Aptos Narrow"/>
      <family val="2"/>
      <scheme val="minor"/>
    </font>
    <font>
      <b/>
      <u val="singleAccounting"/>
      <sz val="11"/>
      <color rgb="FF0000FF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1"/>
      <color theme="9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rgb="FF0000FF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rgb="FFFF0000"/>
      <name val="Aptos Narrow"/>
      <family val="2"/>
      <scheme val="minor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3333FF"/>
      <name val="Aptos Narrow"/>
      <family val="2"/>
    </font>
    <font>
      <i/>
      <sz val="11"/>
      <color theme="1"/>
      <name val="Aptos Narrow"/>
      <family val="2"/>
    </font>
    <font>
      <sz val="11"/>
      <color rgb="FF3333FF"/>
      <name val="Aptos Narrow"/>
      <family val="2"/>
    </font>
    <font>
      <sz val="12"/>
      <color rgb="FF000000"/>
      <name val="Calibri"/>
      <family val="2"/>
    </font>
    <font>
      <b/>
      <sz val="12"/>
      <color rgb="FFFFFFFF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EFF6F9"/>
      </patternFill>
    </fill>
    <fill>
      <patternFill patternType="solid">
        <fgColor rgb="FFF2F2F2"/>
        <bgColor rgb="FFF2F2F2"/>
      </patternFill>
    </fill>
    <fill>
      <patternFill patternType="solid">
        <fgColor rgb="FF182951"/>
        <bgColor rgb="FF182951"/>
      </patternFill>
    </fill>
    <fill>
      <patternFill patternType="solid">
        <fgColor theme="3" tint="-9.9978637043366805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7" tint="0.59996337778862885"/>
      </top>
      <bottom style="thin">
        <color theme="7" tint="0.59996337778862885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tted">
        <color rgb="FFFF0000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FF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9" fillId="0" borderId="0"/>
    <xf numFmtId="0" fontId="3" fillId="0" borderId="0"/>
    <xf numFmtId="0" fontId="33" fillId="0" borderId="0" applyNumberFormat="0" applyFill="0" applyBorder="0" applyProtection="0">
      <alignment vertical="top" wrapText="1"/>
    </xf>
    <xf numFmtId="0" fontId="34" fillId="0" borderId="0"/>
    <xf numFmtId="0" fontId="35" fillId="0" borderId="0"/>
    <xf numFmtId="9" fontId="3" fillId="0" borderId="0" applyFont="0" applyFill="0" applyBorder="0" applyAlignment="0" applyProtection="0"/>
    <xf numFmtId="0" fontId="59" fillId="0" borderId="21"/>
  </cellStyleXfs>
  <cellXfs count="39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/>
    </xf>
    <xf numFmtId="0" fontId="6" fillId="0" borderId="0" xfId="0" applyFont="1"/>
    <xf numFmtId="0" fontId="0" fillId="0" borderId="0" xfId="0" applyAlignment="1">
      <alignment horizontal="left" indent="1"/>
    </xf>
    <xf numFmtId="0" fontId="1" fillId="0" borderId="1" xfId="0" applyFont="1" applyBorder="1"/>
    <xf numFmtId="0" fontId="6" fillId="0" borderId="0" xfId="0" applyFont="1" applyAlignment="1">
      <alignment horizontal="left"/>
    </xf>
    <xf numFmtId="0" fontId="0" fillId="0" borderId="1" xfId="0" applyBorder="1"/>
    <xf numFmtId="0" fontId="7" fillId="0" borderId="0" xfId="2" applyFont="1" applyAlignment="1">
      <alignment horizontal="left" indent="1"/>
    </xf>
    <xf numFmtId="164" fontId="0" fillId="0" borderId="0" xfId="0" applyNumberFormat="1"/>
    <xf numFmtId="164" fontId="1" fillId="0" borderId="1" xfId="0" applyNumberFormat="1" applyFont="1" applyBorder="1"/>
    <xf numFmtId="164" fontId="1" fillId="0" borderId="0" xfId="0" applyNumberFormat="1" applyFont="1"/>
    <xf numFmtId="0" fontId="1" fillId="4" borderId="2" xfId="0" applyFont="1" applyFill="1" applyBorder="1" applyAlignment="1">
      <alignment horizontal="left"/>
    </xf>
    <xf numFmtId="164" fontId="1" fillId="4" borderId="2" xfId="0" applyNumberFormat="1" applyFont="1" applyFill="1" applyBorder="1"/>
    <xf numFmtId="164" fontId="10" fillId="0" borderId="0" xfId="0" applyNumberFormat="1" applyFont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167" fontId="0" fillId="0" borderId="0" xfId="0" applyNumberFormat="1"/>
    <xf numFmtId="164" fontId="12" fillId="4" borderId="0" xfId="0" applyNumberFormat="1" applyFont="1" applyFill="1"/>
    <xf numFmtId="0" fontId="11" fillId="0" borderId="1" xfId="0" applyFont="1" applyBorder="1"/>
    <xf numFmtId="0" fontId="14" fillId="0" borderId="0" xfId="0" applyFont="1"/>
    <xf numFmtId="165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left" indent="1"/>
    </xf>
    <xf numFmtId="9" fontId="11" fillId="0" borderId="0" xfId="0" applyNumberFormat="1" applyFont="1"/>
    <xf numFmtId="168" fontId="10" fillId="0" borderId="0" xfId="0" applyNumberFormat="1" applyFont="1"/>
    <xf numFmtId="164" fontId="8" fillId="4" borderId="0" xfId="0" applyNumberFormat="1" applyFont="1" applyFill="1"/>
    <xf numFmtId="166" fontId="10" fillId="4" borderId="0" xfId="0" applyNumberFormat="1" applyFont="1" applyFill="1"/>
    <xf numFmtId="0" fontId="8" fillId="5" borderId="0" xfId="0" applyFont="1" applyFill="1"/>
    <xf numFmtId="16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2" borderId="0" xfId="0" applyFont="1" applyFill="1" applyAlignment="1">
      <alignment horizontal="centerContinuous"/>
    </xf>
    <xf numFmtId="164" fontId="7" fillId="0" borderId="0" xfId="0" applyNumberFormat="1" applyFont="1"/>
    <xf numFmtId="0" fontId="17" fillId="0" borderId="0" xfId="0" applyFont="1"/>
    <xf numFmtId="0" fontId="13" fillId="0" borderId="0" xfId="0" applyFont="1"/>
    <xf numFmtId="166" fontId="0" fillId="0" borderId="0" xfId="0" applyNumberFormat="1"/>
    <xf numFmtId="170" fontId="0" fillId="4" borderId="0" xfId="0" applyNumberFormat="1" applyFill="1"/>
    <xf numFmtId="170" fontId="0" fillId="0" borderId="0" xfId="0" applyNumberFormat="1"/>
    <xf numFmtId="170" fontId="10" fillId="0" borderId="0" xfId="0" applyNumberFormat="1" applyFont="1"/>
    <xf numFmtId="0" fontId="7" fillId="0" borderId="0" xfId="2" applyFont="1" applyAlignment="1">
      <alignment horizontal="left" indent="2"/>
    </xf>
    <xf numFmtId="0" fontId="1" fillId="3" borderId="3" xfId="0" applyFont="1" applyFill="1" applyBorder="1"/>
    <xf numFmtId="168" fontId="1" fillId="3" borderId="3" xfId="0" applyNumberFormat="1" applyFont="1" applyFill="1" applyBorder="1"/>
    <xf numFmtId="166" fontId="15" fillId="3" borderId="3" xfId="0" applyNumberFormat="1" applyFont="1" applyFill="1" applyBorder="1"/>
    <xf numFmtId="166" fontId="1" fillId="0" borderId="1" xfId="0" applyNumberFormat="1" applyFont="1" applyBorder="1"/>
    <xf numFmtId="0" fontId="2" fillId="2" borderId="0" xfId="0" applyFont="1" applyFill="1" applyAlignment="1">
      <alignment horizontal="centerContinuous" wrapText="1"/>
    </xf>
    <xf numFmtId="168" fontId="8" fillId="5" borderId="0" xfId="0" applyNumberFormat="1" applyFont="1" applyFill="1"/>
    <xf numFmtId="164" fontId="21" fillId="0" borderId="0" xfId="0" quotePrefix="1" applyNumberFormat="1" applyFont="1"/>
    <xf numFmtId="5" fontId="8" fillId="0" borderId="0" xfId="0" applyNumberFormat="1" applyFont="1"/>
    <xf numFmtId="7" fontId="0" fillId="0" borderId="0" xfId="0" applyNumberFormat="1"/>
    <xf numFmtId="16" fontId="14" fillId="0" borderId="0" xfId="0" quotePrefix="1" applyNumberFormat="1" applyFont="1" applyAlignment="1">
      <alignment horizontal="right"/>
    </xf>
    <xf numFmtId="0" fontId="0" fillId="4" borderId="0" xfId="0" applyFill="1"/>
    <xf numFmtId="164" fontId="22" fillId="5" borderId="1" xfId="0" applyNumberFormat="1" applyFont="1" applyFill="1" applyBorder="1"/>
    <xf numFmtId="170" fontId="7" fillId="0" borderId="0" xfId="0" applyNumberFormat="1" applyFont="1"/>
    <xf numFmtId="170" fontId="15" fillId="0" borderId="1" xfId="0" applyNumberFormat="1" applyFont="1" applyBorder="1"/>
    <xf numFmtId="164" fontId="11" fillId="0" borderId="0" xfId="0" applyNumberFormat="1" applyFont="1"/>
    <xf numFmtId="164" fontId="19" fillId="0" borderId="0" xfId="0" applyNumberFormat="1" applyFont="1"/>
    <xf numFmtId="166" fontId="19" fillId="0" borderId="0" xfId="0" applyNumberFormat="1" applyFont="1"/>
    <xf numFmtId="0" fontId="3" fillId="0" borderId="0" xfId="6"/>
    <xf numFmtId="0" fontId="1" fillId="0" borderId="0" xfId="6" applyFont="1"/>
    <xf numFmtId="0" fontId="2" fillId="2" borderId="0" xfId="6" applyFont="1" applyFill="1" applyAlignment="1">
      <alignment horizontal="centerContinuous"/>
    </xf>
    <xf numFmtId="166" fontId="7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26" fillId="0" borderId="0" xfId="0" applyFont="1"/>
    <xf numFmtId="0" fontId="1" fillId="4" borderId="0" xfId="0" applyFont="1" applyFill="1"/>
    <xf numFmtId="164" fontId="28" fillId="0" borderId="0" xfId="0" quotePrefix="1" applyNumberFormat="1" applyFont="1"/>
    <xf numFmtId="0" fontId="1" fillId="0" borderId="1" xfId="0" applyFont="1" applyBorder="1" applyAlignment="1">
      <alignment horizontal="left" indent="1"/>
    </xf>
    <xf numFmtId="0" fontId="29" fillId="7" borderId="0" xfId="0" applyFont="1" applyFill="1"/>
    <xf numFmtId="164" fontId="18" fillId="7" borderId="0" xfId="0" applyNumberFormat="1" applyFont="1" applyFill="1"/>
    <xf numFmtId="164" fontId="16" fillId="7" borderId="0" xfId="0" applyNumberFormat="1" applyFont="1" applyFill="1" applyAlignment="1">
      <alignment horizontal="centerContinuous"/>
    </xf>
    <xf numFmtId="164" fontId="2" fillId="7" borderId="0" xfId="0" applyNumberFormat="1" applyFont="1" applyFill="1" applyAlignment="1">
      <alignment horizontal="centerContinuous"/>
    </xf>
    <xf numFmtId="0" fontId="18" fillId="7" borderId="4" xfId="0" applyFont="1" applyFill="1" applyBorder="1"/>
    <xf numFmtId="164" fontId="18" fillId="7" borderId="4" xfId="0" applyNumberFormat="1" applyFont="1" applyFill="1" applyBorder="1"/>
    <xf numFmtId="164" fontId="27" fillId="7" borderId="4" xfId="0" applyNumberFormat="1" applyFont="1" applyFill="1" applyBorder="1"/>
    <xf numFmtId="0" fontId="29" fillId="8" borderId="0" xfId="0" applyFont="1" applyFill="1"/>
    <xf numFmtId="164" fontId="18" fillId="8" borderId="0" xfId="0" applyNumberFormat="1" applyFont="1" applyFill="1"/>
    <xf numFmtId="164" fontId="16" fillId="8" borderId="0" xfId="0" applyNumberFormat="1" applyFont="1" applyFill="1" applyAlignment="1">
      <alignment horizontal="centerContinuous"/>
    </xf>
    <xf numFmtId="164" fontId="2" fillId="8" borderId="0" xfId="0" applyNumberFormat="1" applyFont="1" applyFill="1" applyAlignment="1">
      <alignment horizontal="centerContinuous"/>
    </xf>
    <xf numFmtId="0" fontId="18" fillId="8" borderId="5" xfId="0" applyFont="1" applyFill="1" applyBorder="1"/>
    <xf numFmtId="164" fontId="27" fillId="8" borderId="5" xfId="0" applyNumberFormat="1" applyFont="1" applyFill="1" applyBorder="1"/>
    <xf numFmtId="166" fontId="18" fillId="8" borderId="5" xfId="0" applyNumberFormat="1" applyFont="1" applyFill="1" applyBorder="1"/>
    <xf numFmtId="0" fontId="1" fillId="9" borderId="3" xfId="0" applyFont="1" applyFill="1" applyBorder="1"/>
    <xf numFmtId="164" fontId="15" fillId="9" borderId="3" xfId="0" applyNumberFormat="1" applyFont="1" applyFill="1" applyBorder="1"/>
    <xf numFmtId="164" fontId="1" fillId="9" borderId="3" xfId="0" applyNumberFormat="1" applyFont="1" applyFill="1" applyBorder="1"/>
    <xf numFmtId="168" fontId="1" fillId="9" borderId="3" xfId="0" applyNumberFormat="1" applyFont="1" applyFill="1" applyBorder="1"/>
    <xf numFmtId="0" fontId="30" fillId="0" borderId="0" xfId="0" applyFont="1"/>
    <xf numFmtId="164" fontId="15" fillId="0" borderId="0" xfId="0" applyNumberFormat="1" applyFont="1"/>
    <xf numFmtId="164" fontId="31" fillId="0" borderId="0" xfId="0" applyNumberFormat="1" applyFont="1" applyAlignment="1">
      <alignment horizontal="centerContinuous"/>
    </xf>
    <xf numFmtId="164" fontId="32" fillId="0" borderId="0" xfId="0" applyNumberFormat="1" applyFont="1" applyAlignment="1">
      <alignment horizontal="centerContinuous"/>
    </xf>
    <xf numFmtId="0" fontId="23" fillId="0" borderId="0" xfId="0" applyFont="1"/>
    <xf numFmtId="170" fontId="11" fillId="0" borderId="0" xfId="0" applyNumberFormat="1" applyFont="1"/>
    <xf numFmtId="166" fontId="15" fillId="4" borderId="1" xfId="0" applyNumberFormat="1" applyFont="1" applyFill="1" applyBorder="1"/>
    <xf numFmtId="164" fontId="7" fillId="4" borderId="1" xfId="0" applyNumberFormat="1" applyFont="1" applyFill="1" applyBorder="1"/>
    <xf numFmtId="166" fontId="11" fillId="0" borderId="0" xfId="0" applyNumberFormat="1" applyFont="1"/>
    <xf numFmtId="171" fontId="0" fillId="0" borderId="0" xfId="0" applyNumberFormat="1"/>
    <xf numFmtId="164" fontId="0" fillId="0" borderId="0" xfId="0" applyNumberFormat="1" applyAlignment="1">
      <alignment horizontal="right"/>
    </xf>
    <xf numFmtId="0" fontId="35" fillId="0" borderId="0" xfId="9"/>
    <xf numFmtId="166" fontId="10" fillId="0" borderId="0" xfId="0" applyNumberFormat="1" applyFont="1"/>
    <xf numFmtId="0" fontId="2" fillId="2" borderId="0" xfId="0" quotePrefix="1" applyFont="1" applyFill="1" applyAlignment="1">
      <alignment horizontal="centerContinuous"/>
    </xf>
    <xf numFmtId="166" fontId="7" fillId="4" borderId="0" xfId="0" applyNumberFormat="1" applyFont="1" applyFill="1"/>
    <xf numFmtId="0" fontId="37" fillId="2" borderId="0" xfId="0" applyFont="1" applyFill="1" applyAlignment="1">
      <alignment horizontal="left" vertical="top"/>
    </xf>
    <xf numFmtId="0" fontId="40" fillId="2" borderId="0" xfId="9" applyFont="1" applyFill="1"/>
    <xf numFmtId="0" fontId="41" fillId="2" borderId="0" xfId="9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1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7" fontId="0" fillId="0" borderId="0" xfId="0" applyNumberFormat="1" applyAlignment="1">
      <alignment horizontal="center"/>
    </xf>
    <xf numFmtId="16" fontId="14" fillId="0" borderId="0" xfId="0" quotePrefix="1" applyNumberFormat="1" applyFont="1" applyAlignment="1">
      <alignment horizontal="center"/>
    </xf>
    <xf numFmtId="5" fontId="8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68" fontId="10" fillId="4" borderId="0" xfId="0" applyNumberFormat="1" applyFont="1" applyFill="1"/>
    <xf numFmtId="168" fontId="0" fillId="4" borderId="0" xfId="0" applyNumberFormat="1" applyFill="1"/>
    <xf numFmtId="0" fontId="39" fillId="0" borderId="0" xfId="0" applyFont="1"/>
    <xf numFmtId="0" fontId="39" fillId="0" borderId="0" xfId="0" applyFont="1" applyAlignment="1">
      <alignment horizontal="right"/>
    </xf>
    <xf numFmtId="0" fontId="39" fillId="0" borderId="0" xfId="0" applyFont="1" applyAlignment="1">
      <alignment wrapText="1"/>
    </xf>
    <xf numFmtId="0" fontId="39" fillId="0" borderId="13" xfId="0" applyFont="1" applyBorder="1"/>
    <xf numFmtId="0" fontId="39" fillId="0" borderId="0" xfId="0" applyFont="1" applyAlignment="1">
      <alignment horizontal="left"/>
    </xf>
    <xf numFmtId="0" fontId="42" fillId="0" borderId="0" xfId="0" applyFont="1"/>
    <xf numFmtId="0" fontId="24" fillId="0" borderId="0" xfId="0" applyFont="1"/>
    <xf numFmtId="0" fontId="24" fillId="0" borderId="1" xfId="0" applyFont="1" applyBorder="1"/>
    <xf numFmtId="0" fontId="21" fillId="0" borderId="0" xfId="0" applyFont="1"/>
    <xf numFmtId="168" fontId="7" fillId="4" borderId="0" xfId="0" applyNumberFormat="1" applyFont="1" applyFill="1"/>
    <xf numFmtId="168" fontId="0" fillId="0" borderId="0" xfId="0" applyNumberFormat="1"/>
    <xf numFmtId="168" fontId="1" fillId="0" borderId="1" xfId="0" applyNumberFormat="1" applyFont="1" applyBorder="1"/>
    <xf numFmtId="168" fontId="1" fillId="4" borderId="2" xfId="0" applyNumberFormat="1" applyFont="1" applyFill="1" applyBorder="1"/>
    <xf numFmtId="168" fontId="8" fillId="0" borderId="0" xfId="0" applyNumberFormat="1" applyFont="1"/>
    <xf numFmtId="0" fontId="2" fillId="0" borderId="0" xfId="0" applyFont="1" applyAlignment="1">
      <alignment horizontal="centerContinuous"/>
    </xf>
    <xf numFmtId="166" fontId="1" fillId="4" borderId="2" xfId="0" applyNumberFormat="1" applyFont="1" applyFill="1" applyBorder="1"/>
    <xf numFmtId="166" fontId="20" fillId="0" borderId="0" xfId="0" applyNumberFormat="1" applyFont="1"/>
    <xf numFmtId="166" fontId="1" fillId="3" borderId="3" xfId="0" applyNumberFormat="1" applyFont="1" applyFill="1" applyBorder="1"/>
    <xf numFmtId="166" fontId="1" fillId="0" borderId="0" xfId="0" applyNumberFormat="1" applyFont="1"/>
    <xf numFmtId="0" fontId="11" fillId="4" borderId="0" xfId="0" applyFont="1" applyFill="1"/>
    <xf numFmtId="170" fontId="10" fillId="4" borderId="0" xfId="0" applyNumberFormat="1" applyFont="1" applyFill="1"/>
    <xf numFmtId="170" fontId="7" fillId="4" borderId="0" xfId="0" applyNumberFormat="1" applyFont="1" applyFill="1"/>
    <xf numFmtId="170" fontId="8" fillId="0" borderId="0" xfId="0" applyNumberFormat="1" applyFont="1"/>
    <xf numFmtId="164" fontId="45" fillId="3" borderId="3" xfId="0" applyNumberFormat="1" applyFont="1" applyFill="1" applyBorder="1"/>
    <xf numFmtId="0" fontId="2" fillId="8" borderId="0" xfId="0" applyFont="1" applyFill="1" applyAlignment="1">
      <alignment horizontal="centerContinuous"/>
    </xf>
    <xf numFmtId="0" fontId="43" fillId="8" borderId="0" xfId="0" applyFont="1" applyFill="1" applyAlignment="1">
      <alignment horizontal="centerContinuous"/>
    </xf>
    <xf numFmtId="0" fontId="2" fillId="8" borderId="0" xfId="0" applyFont="1" applyFill="1" applyAlignment="1">
      <alignment horizontal="centerContinuous" wrapText="1"/>
    </xf>
    <xf numFmtId="0" fontId="2" fillId="8" borderId="0" xfId="0" applyFont="1" applyFill="1" applyAlignment="1">
      <alignment horizontal="center"/>
    </xf>
    <xf numFmtId="0" fontId="46" fillId="8" borderId="0" xfId="0" applyFont="1" applyFill="1" applyAlignment="1">
      <alignment horizontal="centerContinuous" wrapText="1"/>
    </xf>
    <xf numFmtId="0" fontId="42" fillId="0" borderId="1" xfId="0" applyFont="1" applyBorder="1"/>
    <xf numFmtId="170" fontId="1" fillId="4" borderId="1" xfId="0" applyNumberFormat="1" applyFont="1" applyFill="1" applyBorder="1"/>
    <xf numFmtId="169" fontId="17" fillId="0" borderId="0" xfId="0" applyNumberFormat="1" applyFont="1"/>
    <xf numFmtId="0" fontId="2" fillId="2" borderId="0" xfId="6" applyFont="1" applyFill="1" applyAlignment="1">
      <alignment horizontal="centerContinuous" wrapText="1"/>
    </xf>
    <xf numFmtId="166" fontId="0" fillId="0" borderId="1" xfId="0" applyNumberFormat="1" applyBorder="1"/>
    <xf numFmtId="166" fontId="0" fillId="4" borderId="0" xfId="0" applyNumberFormat="1" applyFill="1"/>
    <xf numFmtId="0" fontId="39" fillId="0" borderId="0" xfId="0" applyFont="1" applyAlignment="1">
      <alignment horizontal="center" wrapText="1"/>
    </xf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8" fillId="0" borderId="7" xfId="0" applyFont="1" applyBorder="1"/>
    <xf numFmtId="0" fontId="38" fillId="0" borderId="8" xfId="0" applyFont="1" applyBorder="1"/>
    <xf numFmtId="0" fontId="38" fillId="0" borderId="8" xfId="0" applyFont="1" applyBorder="1" applyAlignment="1">
      <alignment horizontal="left"/>
    </xf>
    <xf numFmtId="0" fontId="38" fillId="0" borderId="9" xfId="0" applyFont="1" applyBorder="1"/>
    <xf numFmtId="0" fontId="38" fillId="0" borderId="8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10" xfId="0" applyFont="1" applyBorder="1"/>
    <xf numFmtId="0" fontId="38" fillId="0" borderId="11" xfId="0" applyFont="1" applyBorder="1"/>
    <xf numFmtId="0" fontId="38" fillId="0" borderId="11" xfId="0" applyFont="1" applyBorder="1" applyAlignment="1">
      <alignment horizontal="left"/>
    </xf>
    <xf numFmtId="0" fontId="38" fillId="0" borderId="12" xfId="0" applyFont="1" applyBorder="1"/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6" fillId="0" borderId="6" xfId="0" applyFont="1" applyBorder="1"/>
    <xf numFmtId="0" fontId="36" fillId="0" borderId="6" xfId="0" applyFont="1" applyBorder="1" applyAlignment="1">
      <alignment horizontal="center"/>
    </xf>
    <xf numFmtId="0" fontId="36" fillId="0" borderId="13" xfId="0" applyFont="1" applyBorder="1" applyAlignment="1">
      <alignment horizontal="center"/>
    </xf>
    <xf numFmtId="0" fontId="36" fillId="0" borderId="14" xfId="0" applyFont="1" applyBorder="1"/>
    <xf numFmtId="172" fontId="36" fillId="0" borderId="15" xfId="0" applyNumberFormat="1" applyFont="1" applyBorder="1"/>
    <xf numFmtId="0" fontId="39" fillId="0" borderId="15" xfId="0" applyFont="1" applyBorder="1" applyAlignment="1">
      <alignment horizontal="left"/>
    </xf>
    <xf numFmtId="0" fontId="39" fillId="0" borderId="15" xfId="0" applyFont="1" applyBorder="1"/>
    <xf numFmtId="0" fontId="36" fillId="0" borderId="16" xfId="0" applyFont="1" applyBorder="1"/>
    <xf numFmtId="0" fontId="36" fillId="0" borderId="15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36" fillId="0" borderId="10" xfId="0" applyFont="1" applyBorder="1"/>
    <xf numFmtId="172" fontId="36" fillId="0" borderId="11" xfId="0" applyNumberFormat="1" applyFont="1" applyBorder="1"/>
    <xf numFmtId="0" fontId="39" fillId="0" borderId="11" xfId="0" applyFont="1" applyBorder="1" applyAlignment="1">
      <alignment horizontal="left"/>
    </xf>
    <xf numFmtId="0" fontId="39" fillId="0" borderId="11" xfId="0" applyFont="1" applyBorder="1"/>
    <xf numFmtId="0" fontId="36" fillId="0" borderId="12" xfId="0" applyFont="1" applyBorder="1"/>
    <xf numFmtId="0" fontId="39" fillId="0" borderId="6" xfId="0" applyFont="1" applyBorder="1"/>
    <xf numFmtId="0" fontId="39" fillId="0" borderId="6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4" xfId="0" applyFont="1" applyBorder="1"/>
    <xf numFmtId="172" fontId="39" fillId="0" borderId="15" xfId="0" applyNumberFormat="1" applyFont="1" applyBorder="1"/>
    <xf numFmtId="0" fontId="39" fillId="0" borderId="16" xfId="0" applyFont="1" applyBorder="1"/>
    <xf numFmtId="0" fontId="39" fillId="0" borderId="15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14" fontId="0" fillId="0" borderId="0" xfId="0" applyNumberFormat="1"/>
    <xf numFmtId="0" fontId="18" fillId="11" borderId="0" xfId="0" applyFont="1" applyFill="1" applyAlignment="1">
      <alignment horizontal="center" wrapText="1"/>
    </xf>
    <xf numFmtId="0" fontId="48" fillId="0" borderId="0" xfId="2" applyFont="1" applyAlignment="1">
      <alignment horizontal="left"/>
    </xf>
    <xf numFmtId="0" fontId="49" fillId="6" borderId="0" xfId="2" applyFont="1" applyFill="1" applyAlignment="1">
      <alignment horizontal="left" indent="2"/>
    </xf>
    <xf numFmtId="174" fontId="7" fillId="6" borderId="0" xfId="0" applyNumberFormat="1" applyFont="1" applyFill="1"/>
    <xf numFmtId="174" fontId="0" fillId="6" borderId="0" xfId="0" applyNumberFormat="1" applyFill="1"/>
    <xf numFmtId="0" fontId="49" fillId="0" borderId="0" xfId="2" applyFont="1" applyAlignment="1">
      <alignment horizontal="left" indent="1"/>
    </xf>
    <xf numFmtId="174" fontId="7" fillId="0" borderId="0" xfId="0" applyNumberFormat="1" applyFont="1"/>
    <xf numFmtId="174" fontId="0" fillId="0" borderId="0" xfId="0" applyNumberFormat="1"/>
    <xf numFmtId="0" fontId="49" fillId="0" borderId="0" xfId="4" applyFont="1"/>
    <xf numFmtId="0" fontId="50" fillId="0" borderId="1" xfId="2" applyFont="1" applyBorder="1" applyAlignment="1">
      <alignment horizontal="left"/>
    </xf>
    <xf numFmtId="174" fontId="7" fillId="0" borderId="1" xfId="0" applyNumberFormat="1" applyFont="1" applyBorder="1"/>
    <xf numFmtId="174" fontId="0" fillId="0" borderId="1" xfId="0" applyNumberFormat="1" applyBorder="1"/>
    <xf numFmtId="0" fontId="50" fillId="0" borderId="0" xfId="2" applyFont="1" applyAlignment="1">
      <alignment horizontal="left" indent="1"/>
    </xf>
    <xf numFmtId="0" fontId="49" fillId="0" borderId="0" xfId="2" applyFont="1" applyAlignment="1">
      <alignment horizontal="left" indent="2"/>
    </xf>
    <xf numFmtId="0" fontId="50" fillId="0" borderId="1" xfId="2" applyFont="1" applyBorder="1"/>
    <xf numFmtId="0" fontId="50" fillId="0" borderId="0" xfId="2" applyFont="1" applyAlignment="1">
      <alignment horizontal="left"/>
    </xf>
    <xf numFmtId="0" fontId="51" fillId="0" borderId="0" xfId="2" applyFont="1" applyAlignment="1">
      <alignment horizontal="left" indent="1"/>
    </xf>
    <xf numFmtId="9" fontId="7" fillId="0" borderId="0" xfId="10" applyFont="1"/>
    <xf numFmtId="9" fontId="3" fillId="0" borderId="0" xfId="10" applyFont="1"/>
    <xf numFmtId="0" fontId="49" fillId="6" borderId="0" xfId="2" applyFont="1" applyFill="1" applyAlignment="1">
      <alignment horizontal="left" indent="3"/>
    </xf>
    <xf numFmtId="174" fontId="15" fillId="0" borderId="1" xfId="0" applyNumberFormat="1" applyFont="1" applyBorder="1"/>
    <xf numFmtId="174" fontId="1" fillId="0" borderId="1" xfId="0" applyNumberFormat="1" applyFont="1" applyBorder="1"/>
    <xf numFmtId="9" fontId="47" fillId="0" borderId="0" xfId="10" applyFont="1"/>
    <xf numFmtId="9" fontId="11" fillId="0" borderId="0" xfId="10" applyFont="1"/>
    <xf numFmtId="9" fontId="0" fillId="0" borderId="0" xfId="10" applyFont="1"/>
    <xf numFmtId="0" fontId="49" fillId="12" borderId="0" xfId="2" applyFont="1" applyFill="1" applyAlignment="1">
      <alignment horizontal="left" indent="2"/>
    </xf>
    <xf numFmtId="174" fontId="1" fillId="0" borderId="0" xfId="0" applyNumberFormat="1" applyFont="1"/>
    <xf numFmtId="174" fontId="50" fillId="0" borderId="1" xfId="2" applyNumberFormat="1" applyFont="1" applyBorder="1" applyAlignment="1">
      <alignment horizontal="left"/>
    </xf>
    <xf numFmtId="174" fontId="48" fillId="0" borderId="17" xfId="2" applyNumberFormat="1" applyFont="1" applyBorder="1" applyAlignment="1">
      <alignment horizontal="left"/>
    </xf>
    <xf numFmtId="174" fontId="15" fillId="0" borderId="17" xfId="0" applyNumberFormat="1" applyFont="1" applyBorder="1"/>
    <xf numFmtId="174" fontId="1" fillId="0" borderId="17" xfId="0" applyNumberFormat="1" applyFont="1" applyBorder="1"/>
    <xf numFmtId="5" fontId="10" fillId="0" borderId="0" xfId="0" applyNumberFormat="1" applyFont="1" applyAlignment="1">
      <alignment horizontal="right"/>
    </xf>
    <xf numFmtId="9" fontId="3" fillId="0" borderId="0" xfId="10" applyFont="1" applyBorder="1"/>
    <xf numFmtId="9" fontId="11" fillId="0" borderId="0" xfId="10" applyFont="1" applyBorder="1"/>
    <xf numFmtId="9" fontId="0" fillId="0" borderId="0" xfId="10" applyFont="1" applyBorder="1"/>
    <xf numFmtId="0" fontId="2" fillId="8" borderId="0" xfId="6" applyFont="1" applyFill="1" applyAlignment="1">
      <alignment horizontal="centerContinuous"/>
    </xf>
    <xf numFmtId="0" fontId="2" fillId="8" borderId="0" xfId="6" applyFont="1" applyFill="1" applyAlignment="1">
      <alignment horizontal="centerContinuous" wrapText="1"/>
    </xf>
    <xf numFmtId="169" fontId="2" fillId="2" borderId="0" xfId="0" applyNumberFormat="1" applyFont="1" applyFill="1" applyAlignment="1">
      <alignment horizontal="centerContinuous"/>
    </xf>
    <xf numFmtId="169" fontId="2" fillId="0" borderId="0" xfId="0" applyNumberFormat="1" applyFont="1" applyAlignment="1">
      <alignment horizontal="center"/>
    </xf>
    <xf numFmtId="164" fontId="45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9" fontId="2" fillId="8" borderId="0" xfId="0" applyNumberFormat="1" applyFont="1" applyFill="1" applyAlignment="1">
      <alignment horizontal="centerContinuous"/>
    </xf>
    <xf numFmtId="164" fontId="12" fillId="0" borderId="0" xfId="0" applyNumberFormat="1" applyFont="1"/>
    <xf numFmtId="164" fontId="12" fillId="0" borderId="0" xfId="0" applyNumberFormat="1" applyFont="1" applyAlignment="1">
      <alignment horizontal="center"/>
    </xf>
    <xf numFmtId="166" fontId="12" fillId="0" borderId="0" xfId="0" applyNumberFormat="1" applyFont="1"/>
    <xf numFmtId="166" fontId="8" fillId="0" borderId="0" xfId="0" applyNumberFormat="1" applyFont="1"/>
    <xf numFmtId="170" fontId="0" fillId="0" borderId="1" xfId="0" applyNumberFormat="1" applyBorder="1"/>
    <xf numFmtId="170" fontId="2" fillId="2" borderId="0" xfId="0" applyNumberFormat="1" applyFont="1" applyFill="1" applyAlignment="1">
      <alignment horizontal="centerContinuous"/>
    </xf>
    <xf numFmtId="164" fontId="15" fillId="3" borderId="3" xfId="0" applyNumberFormat="1" applyFont="1" applyFill="1" applyBorder="1"/>
    <xf numFmtId="164" fontId="10" fillId="4" borderId="0" xfId="0" applyNumberFormat="1" applyFont="1" applyFill="1"/>
    <xf numFmtId="9" fontId="0" fillId="0" borderId="0" xfId="0" applyNumberFormat="1"/>
    <xf numFmtId="9" fontId="0" fillId="0" borderId="0" xfId="0" applyNumberFormat="1" applyAlignment="1">
      <alignment horizontal="right"/>
    </xf>
    <xf numFmtId="175" fontId="52" fillId="0" borderId="0" xfId="0" applyNumberFormat="1" applyFont="1" applyAlignment="1">
      <alignment horizontal="center"/>
    </xf>
    <xf numFmtId="176" fontId="52" fillId="0" borderId="0" xfId="0" applyNumberFormat="1" applyFont="1" applyAlignment="1">
      <alignment horizontal="center"/>
    </xf>
    <xf numFmtId="164" fontId="7" fillId="4" borderId="0" xfId="0" applyNumberFormat="1" applyFont="1" applyFill="1"/>
    <xf numFmtId="164" fontId="15" fillId="3" borderId="18" xfId="0" applyNumberFormat="1" applyFont="1" applyFill="1" applyBorder="1"/>
    <xf numFmtId="0" fontId="2" fillId="13" borderId="0" xfId="6" applyFont="1" applyFill="1" applyAlignment="1">
      <alignment horizontal="centerContinuous"/>
    </xf>
    <xf numFmtId="0" fontId="27" fillId="0" borderId="0" xfId="0" applyFont="1"/>
    <xf numFmtId="0" fontId="32" fillId="10" borderId="0" xfId="6" applyFont="1" applyFill="1" applyAlignment="1">
      <alignment horizontal="centerContinuous"/>
    </xf>
    <xf numFmtId="0" fontId="32" fillId="10" borderId="0" xfId="6" applyFont="1" applyFill="1" applyAlignment="1">
      <alignment horizontal="centerContinuous" wrapText="1"/>
    </xf>
    <xf numFmtId="0" fontId="8" fillId="5" borderId="19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14" fontId="8" fillId="5" borderId="19" xfId="0" applyNumberFormat="1" applyFont="1" applyFill="1" applyBorder="1" applyAlignment="1">
      <alignment horizontal="right"/>
    </xf>
    <xf numFmtId="0" fontId="25" fillId="0" borderId="0" xfId="0" applyFont="1"/>
    <xf numFmtId="0" fontId="55" fillId="5" borderId="19" xfId="0" applyFont="1" applyFill="1" applyBorder="1" applyAlignment="1">
      <alignment horizontal="centerContinuous" wrapText="1"/>
    </xf>
    <xf numFmtId="0" fontId="8" fillId="5" borderId="19" xfId="0" applyFont="1" applyFill="1" applyBorder="1" applyAlignment="1">
      <alignment horizontal="centerContinuous" wrapText="1"/>
    </xf>
    <xf numFmtId="0" fontId="8" fillId="0" borderId="0" xfId="0" applyFont="1"/>
    <xf numFmtId="9" fontId="11" fillId="0" borderId="0" xfId="0" applyNumberFormat="1" applyFont="1" applyAlignment="1">
      <alignment horizontal="left" indent="1"/>
    </xf>
    <xf numFmtId="9" fontId="47" fillId="0" borderId="0" xfId="0" applyNumberFormat="1" applyFont="1"/>
    <xf numFmtId="164" fontId="7" fillId="0" borderId="20" xfId="0" applyNumberFormat="1" applyFont="1" applyBorder="1"/>
    <xf numFmtId="175" fontId="32" fillId="10" borderId="0" xfId="6" applyNumberFormat="1" applyFont="1" applyFill="1" applyAlignment="1">
      <alignment horizontal="centerContinuous" wrapText="1"/>
    </xf>
    <xf numFmtId="0" fontId="12" fillId="0" borderId="0" xfId="0" applyFont="1" applyAlignment="1">
      <alignment horizontal="right"/>
    </xf>
    <xf numFmtId="168" fontId="7" fillId="5" borderId="0" xfId="0" applyNumberFormat="1" applyFont="1" applyFill="1"/>
    <xf numFmtId="170" fontId="7" fillId="5" borderId="0" xfId="0" applyNumberFormat="1" applyFont="1" applyFill="1"/>
    <xf numFmtId="170" fontId="8" fillId="5" borderId="0" xfId="0" applyNumberFormat="1" applyFont="1" applyFill="1"/>
    <xf numFmtId="0" fontId="0" fillId="0" borderId="0" xfId="0" quotePrefix="1"/>
    <xf numFmtId="0" fontId="56" fillId="0" borderId="0" xfId="5" applyFont="1" applyAlignment="1">
      <alignment horizontal="center" wrapText="1"/>
    </xf>
    <xf numFmtId="0" fontId="9" fillId="0" borderId="0" xfId="5" applyAlignment="1">
      <alignment wrapText="1"/>
    </xf>
    <xf numFmtId="0" fontId="9" fillId="0" borderId="0" xfId="5"/>
    <xf numFmtId="0" fontId="57" fillId="0" borderId="0" xfId="5" applyFont="1" applyAlignment="1">
      <alignment horizontal="center" wrapText="1"/>
    </xf>
    <xf numFmtId="0" fontId="58" fillId="0" borderId="0" xfId="5" applyFont="1" applyAlignment="1">
      <alignment horizontal="center" wrapText="1"/>
    </xf>
    <xf numFmtId="0" fontId="42" fillId="0" borderId="21" xfId="11" applyFont="1" applyAlignment="1">
      <alignment horizontal="center" wrapText="1"/>
    </xf>
    <xf numFmtId="0" fontId="60" fillId="0" borderId="0" xfId="5" applyFont="1" applyAlignment="1">
      <alignment horizontal="left" wrapText="1"/>
    </xf>
    <xf numFmtId="0" fontId="60" fillId="0" borderId="0" xfId="5" applyFont="1" applyAlignment="1">
      <alignment wrapText="1"/>
    </xf>
    <xf numFmtId="0" fontId="60" fillId="0" borderId="0" xfId="5" applyFont="1" applyAlignment="1">
      <alignment horizontal="left" wrapText="1" indent="1"/>
    </xf>
    <xf numFmtId="4" fontId="60" fillId="0" borderId="0" xfId="5" applyNumberFormat="1" applyFont="1" applyAlignment="1">
      <alignment wrapText="1"/>
    </xf>
    <xf numFmtId="0" fontId="61" fillId="0" borderId="0" xfId="5" applyFont="1" applyAlignment="1">
      <alignment horizontal="left" wrapText="1"/>
    </xf>
    <xf numFmtId="4" fontId="61" fillId="0" borderId="1" xfId="5" applyNumberFormat="1" applyFont="1" applyBorder="1" applyAlignment="1">
      <alignment wrapText="1"/>
    </xf>
    <xf numFmtId="172" fontId="61" fillId="0" borderId="1" xfId="5" applyNumberFormat="1" applyFont="1" applyBorder="1" applyAlignment="1">
      <alignment wrapText="1"/>
    </xf>
    <xf numFmtId="0" fontId="60" fillId="0" borderId="0" xfId="5" applyFont="1" applyAlignment="1">
      <alignment horizontal="left" wrapText="1" indent="2"/>
    </xf>
    <xf numFmtId="172" fontId="60" fillId="0" borderId="0" xfId="5" applyNumberFormat="1" applyFont="1" applyAlignment="1">
      <alignment wrapText="1"/>
    </xf>
    <xf numFmtId="0" fontId="61" fillId="0" borderId="0" xfId="5" applyFont="1" applyAlignment="1">
      <alignment horizontal="left" wrapText="1" indent="1"/>
    </xf>
    <xf numFmtId="0" fontId="60" fillId="0" borderId="0" xfId="5" applyFont="1" applyAlignment="1">
      <alignment horizontal="center" wrapText="1"/>
    </xf>
    <xf numFmtId="0" fontId="3" fillId="0" borderId="0" xfId="0" applyFont="1"/>
    <xf numFmtId="0" fontId="62" fillId="0" borderId="0" xfId="5" applyFont="1"/>
    <xf numFmtId="0" fontId="9" fillId="14" borderId="0" xfId="5" applyFill="1"/>
    <xf numFmtId="0" fontId="19" fillId="0" borderId="0" xfId="0" applyFont="1"/>
    <xf numFmtId="174" fontId="9" fillId="0" borderId="0" xfId="5" applyNumberFormat="1" applyAlignment="1">
      <alignment wrapText="1"/>
    </xf>
    <xf numFmtId="177" fontId="0" fillId="0" borderId="0" xfId="0" applyNumberFormat="1"/>
    <xf numFmtId="172" fontId="63" fillId="0" borderId="0" xfId="0" applyNumberFormat="1" applyFont="1" applyAlignment="1">
      <alignment horizontal="center" vertical="center" wrapText="1"/>
    </xf>
    <xf numFmtId="172" fontId="63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center"/>
    </xf>
    <xf numFmtId="14" fontId="64" fillId="0" borderId="0" xfId="0" applyNumberFormat="1" applyFont="1" applyAlignment="1">
      <alignment horizontal="center"/>
    </xf>
    <xf numFmtId="172" fontId="64" fillId="0" borderId="0" xfId="0" applyNumberFormat="1" applyFont="1" applyAlignment="1">
      <alignment horizontal="center"/>
    </xf>
    <xf numFmtId="178" fontId="64" fillId="0" borderId="0" xfId="0" applyNumberFormat="1" applyFont="1" applyAlignment="1">
      <alignment horizontal="center"/>
    </xf>
    <xf numFmtId="0" fontId="65" fillId="0" borderId="0" xfId="0" applyFont="1" applyAlignment="1">
      <alignment horizontal="center" vertical="center"/>
    </xf>
    <xf numFmtId="14" fontId="65" fillId="0" borderId="0" xfId="0" applyNumberFormat="1" applyFont="1" applyAlignment="1">
      <alignment horizontal="center" vertical="center"/>
    </xf>
    <xf numFmtId="179" fontId="65" fillId="0" borderId="0" xfId="0" applyNumberFormat="1" applyFont="1" applyAlignment="1">
      <alignment vertical="center"/>
    </xf>
    <xf numFmtId="179" fontId="65" fillId="0" borderId="0" xfId="0" applyNumberFormat="1" applyFont="1" applyAlignment="1">
      <alignment horizontal="center" vertical="center"/>
    </xf>
    <xf numFmtId="0" fontId="65" fillId="15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/>
    </xf>
    <xf numFmtId="178" fontId="65" fillId="0" borderId="0" xfId="0" applyNumberFormat="1" applyFont="1" applyAlignment="1">
      <alignment horizontal="center" vertical="center"/>
    </xf>
    <xf numFmtId="179" fontId="65" fillId="15" borderId="0" xfId="0" applyNumberFormat="1" applyFont="1" applyFill="1" applyAlignment="1">
      <alignment horizontal="center" vertical="center"/>
    </xf>
    <xf numFmtId="0" fontId="65" fillId="0" borderId="0" xfId="0" applyFont="1" applyAlignment="1">
      <alignment vertical="center"/>
    </xf>
    <xf numFmtId="179" fontId="65" fillId="16" borderId="0" xfId="0" applyNumberFormat="1" applyFont="1" applyFill="1" applyAlignment="1">
      <alignment horizontal="center" vertical="center"/>
    </xf>
    <xf numFmtId="0" fontId="65" fillId="17" borderId="0" xfId="0" applyFont="1" applyFill="1" applyAlignment="1">
      <alignment horizontal="center" vertical="center"/>
    </xf>
    <xf numFmtId="178" fontId="65" fillId="17" borderId="0" xfId="0" applyNumberFormat="1" applyFont="1" applyFill="1" applyAlignment="1">
      <alignment horizontal="center" vertical="center"/>
    </xf>
    <xf numFmtId="179" fontId="65" fillId="17" borderId="0" xfId="0" applyNumberFormat="1" applyFont="1" applyFill="1" applyAlignment="1">
      <alignment horizontal="center" vertical="center"/>
    </xf>
    <xf numFmtId="172" fontId="65" fillId="17" borderId="0" xfId="0" applyNumberFormat="1" applyFont="1" applyFill="1" applyAlignment="1">
      <alignment horizontal="center" vertical="center"/>
    </xf>
    <xf numFmtId="0" fontId="64" fillId="17" borderId="0" xfId="0" applyFont="1" applyFill="1" applyAlignment="1">
      <alignment horizontal="center" vertical="center"/>
    </xf>
    <xf numFmtId="172" fontId="65" fillId="0" borderId="0" xfId="0" applyNumberFormat="1" applyFont="1" applyAlignment="1">
      <alignment horizontal="center" vertical="center"/>
    </xf>
    <xf numFmtId="0" fontId="65" fillId="18" borderId="0" xfId="0" applyFont="1" applyFill="1" applyAlignment="1">
      <alignment horizontal="center" vertical="center"/>
    </xf>
    <xf numFmtId="178" fontId="65" fillId="18" borderId="0" xfId="0" applyNumberFormat="1" applyFont="1" applyFill="1" applyAlignment="1">
      <alignment horizontal="center" vertical="center"/>
    </xf>
    <xf numFmtId="179" fontId="65" fillId="18" borderId="0" xfId="0" applyNumberFormat="1" applyFont="1" applyFill="1" applyAlignment="1">
      <alignment horizontal="center" vertical="center"/>
    </xf>
    <xf numFmtId="172" fontId="65" fillId="18" borderId="0" xfId="0" applyNumberFormat="1" applyFont="1" applyFill="1" applyAlignment="1">
      <alignment horizontal="center" vertical="center"/>
    </xf>
    <xf numFmtId="0" fontId="64" fillId="18" borderId="0" xfId="0" applyFont="1" applyFill="1" applyAlignment="1">
      <alignment horizontal="center" vertical="center"/>
    </xf>
    <xf numFmtId="172" fontId="65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4" fontId="65" fillId="15" borderId="0" xfId="0" applyNumberFormat="1" applyFont="1" applyFill="1" applyAlignment="1">
      <alignment horizontal="center" vertical="center"/>
    </xf>
    <xf numFmtId="0" fontId="65" fillId="15" borderId="0" xfId="0" applyFont="1" applyFill="1" applyAlignment="1">
      <alignment vertical="center"/>
    </xf>
    <xf numFmtId="0" fontId="64" fillId="15" borderId="0" xfId="0" applyFont="1" applyFill="1" applyAlignment="1">
      <alignment horizontal="center" vertical="center"/>
    </xf>
    <xf numFmtId="0" fontId="65" fillId="19" borderId="0" xfId="0" applyFont="1" applyFill="1" applyAlignment="1">
      <alignment horizontal="center" vertical="center"/>
    </xf>
    <xf numFmtId="14" fontId="65" fillId="19" borderId="0" xfId="0" applyNumberFormat="1" applyFont="1" applyFill="1" applyAlignment="1">
      <alignment horizontal="center" vertical="center"/>
    </xf>
    <xf numFmtId="179" fontId="65" fillId="19" borderId="0" xfId="0" applyNumberFormat="1" applyFont="1" applyFill="1" applyAlignment="1">
      <alignment horizontal="center" vertical="center"/>
    </xf>
    <xf numFmtId="0" fontId="65" fillId="19" borderId="0" xfId="0" applyFont="1" applyFill="1" applyAlignment="1">
      <alignment vertical="center"/>
    </xf>
    <xf numFmtId="0" fontId="64" fillId="19" borderId="0" xfId="0" applyFont="1" applyFill="1" applyAlignment="1">
      <alignment horizontal="center" vertical="center"/>
    </xf>
    <xf numFmtId="0" fontId="67" fillId="0" borderId="0" xfId="0" applyFont="1"/>
    <xf numFmtId="14" fontId="68" fillId="0" borderId="0" xfId="0" applyNumberFormat="1" applyFont="1"/>
    <xf numFmtId="180" fontId="68" fillId="0" borderId="0" xfId="0" applyNumberFormat="1" applyFont="1"/>
    <xf numFmtId="181" fontId="68" fillId="0" borderId="0" xfId="0" applyNumberFormat="1" applyFont="1"/>
    <xf numFmtId="181" fontId="0" fillId="0" borderId="0" xfId="0" applyNumberFormat="1"/>
    <xf numFmtId="166" fontId="2" fillId="2" borderId="0" xfId="0" applyNumberFormat="1" applyFont="1" applyFill="1" applyAlignment="1">
      <alignment horizontal="centerContinuous"/>
    </xf>
    <xf numFmtId="164" fontId="69" fillId="21" borderId="3" xfId="0" applyNumberFormat="1" applyFont="1" applyFill="1" applyBorder="1"/>
    <xf numFmtId="173" fontId="70" fillId="0" borderId="0" xfId="0" applyNumberFormat="1" applyFont="1"/>
    <xf numFmtId="166" fontId="68" fillId="22" borderId="0" xfId="0" applyNumberFormat="1" applyFont="1" applyFill="1"/>
    <xf numFmtId="164" fontId="71" fillId="5" borderId="19" xfId="0" applyNumberFormat="1" applyFont="1" applyFill="1" applyBorder="1"/>
    <xf numFmtId="169" fontId="0" fillId="0" borderId="0" xfId="0" applyNumberFormat="1"/>
    <xf numFmtId="37" fontId="0" fillId="0" borderId="0" xfId="0" applyNumberFormat="1"/>
    <xf numFmtId="182" fontId="0" fillId="0" borderId="0" xfId="0" applyNumberFormat="1"/>
    <xf numFmtId="173" fontId="11" fillId="0" borderId="0" xfId="0" applyNumberFormat="1" applyFont="1"/>
    <xf numFmtId="168" fontId="11" fillId="0" borderId="0" xfId="0" applyNumberFormat="1" applyFont="1"/>
    <xf numFmtId="164" fontId="69" fillId="5" borderId="19" xfId="0" applyNumberFormat="1" applyFont="1" applyFill="1" applyBorder="1"/>
    <xf numFmtId="173" fontId="11" fillId="0" borderId="0" xfId="0" applyNumberFormat="1" applyFont="1" applyAlignment="1">
      <alignment horizontal="right"/>
    </xf>
    <xf numFmtId="0" fontId="72" fillId="0" borderId="0" xfId="0" applyFont="1" applyAlignment="1">
      <alignment horizontal="right"/>
    </xf>
    <xf numFmtId="0" fontId="72" fillId="0" borderId="0" xfId="0" applyFont="1"/>
    <xf numFmtId="15" fontId="72" fillId="0" borderId="0" xfId="0" applyNumberFormat="1" applyFont="1" applyAlignment="1">
      <alignment horizontal="right"/>
    </xf>
    <xf numFmtId="183" fontId="72" fillId="0" borderId="0" xfId="0" applyNumberFormat="1" applyFont="1" applyAlignment="1">
      <alignment horizontal="right"/>
    </xf>
    <xf numFmtId="0" fontId="73" fillId="23" borderId="22" xfId="0" applyFont="1" applyFill="1" applyBorder="1"/>
    <xf numFmtId="0" fontId="34" fillId="0" borderId="23" xfId="0" applyFont="1" applyBorder="1"/>
    <xf numFmtId="184" fontId="34" fillId="0" borderId="23" xfId="0" applyNumberFormat="1" applyFont="1" applyBorder="1"/>
    <xf numFmtId="0" fontId="34" fillId="0" borderId="24" xfId="0" applyFont="1" applyBorder="1"/>
    <xf numFmtId="184" fontId="34" fillId="0" borderId="24" xfId="0" applyNumberFormat="1" applyFont="1" applyBorder="1"/>
    <xf numFmtId="9" fontId="11" fillId="0" borderId="0" xfId="0" applyNumberFormat="1" applyFont="1" applyAlignment="1">
      <alignment horizontal="right"/>
    </xf>
    <xf numFmtId="164" fontId="45" fillId="4" borderId="0" xfId="0" applyNumberFormat="1" applyFont="1" applyFill="1"/>
    <xf numFmtId="9" fontId="12" fillId="0" borderId="0" xfId="0" applyNumberFormat="1" applyFont="1"/>
    <xf numFmtId="164" fontId="47" fillId="0" borderId="0" xfId="0" applyNumberFormat="1" applyFont="1"/>
    <xf numFmtId="9" fontId="7" fillId="0" borderId="0" xfId="0" applyNumberFormat="1" applyFont="1"/>
    <xf numFmtId="164" fontId="21" fillId="20" borderId="0" xfId="0" quotePrefix="1" applyNumberFormat="1" applyFont="1" applyFill="1"/>
    <xf numFmtId="9" fontId="10" fillId="0" borderId="0" xfId="0" applyNumberFormat="1" applyFont="1"/>
    <xf numFmtId="7" fontId="20" fillId="0" borderId="0" xfId="0" applyNumberFormat="1" applyFont="1"/>
    <xf numFmtId="164" fontId="15" fillId="0" borderId="1" xfId="0" applyNumberFormat="1" applyFont="1" applyBorder="1"/>
    <xf numFmtId="166" fontId="15" fillId="4" borderId="2" xfId="0" applyNumberFormat="1" applyFont="1" applyFill="1" applyBorder="1"/>
    <xf numFmtId="166" fontId="15" fillId="0" borderId="1" xfId="0" applyNumberFormat="1" applyFont="1" applyBorder="1"/>
    <xf numFmtId="168" fontId="1" fillId="0" borderId="0" xfId="0" applyNumberFormat="1" applyFont="1"/>
    <xf numFmtId="0" fontId="44" fillId="0" borderId="0" xfId="0" applyFont="1"/>
    <xf numFmtId="37" fontId="8" fillId="0" borderId="0" xfId="0" applyNumberFormat="1" applyFont="1"/>
    <xf numFmtId="37" fontId="19" fillId="0" borderId="0" xfId="0" applyNumberFormat="1" applyFont="1"/>
    <xf numFmtId="164" fontId="74" fillId="3" borderId="3" xfId="0" applyNumberFormat="1" applyFont="1" applyFill="1" applyBorder="1"/>
    <xf numFmtId="0" fontId="25" fillId="24" borderId="0" xfId="0" applyFont="1" applyFill="1"/>
    <xf numFmtId="164" fontId="74" fillId="3" borderId="18" xfId="0" applyNumberFormat="1" applyFont="1" applyFill="1" applyBorder="1"/>
    <xf numFmtId="166" fontId="22" fillId="0" borderId="0" xfId="0" applyNumberFormat="1" applyFont="1"/>
    <xf numFmtId="166" fontId="15" fillId="0" borderId="0" xfId="0" applyNumberFormat="1" applyFont="1"/>
    <xf numFmtId="164" fontId="0" fillId="4" borderId="0" xfId="0" applyNumberFormat="1" applyFill="1"/>
    <xf numFmtId="164" fontId="1" fillId="4" borderId="1" xfId="0" applyNumberFormat="1" applyFont="1" applyFill="1" applyBorder="1"/>
    <xf numFmtId="166" fontId="1" fillId="4" borderId="1" xfId="0" applyNumberFormat="1" applyFont="1" applyFill="1" applyBorder="1"/>
    <xf numFmtId="166" fontId="1" fillId="4" borderId="3" xfId="0" applyNumberFormat="1" applyFont="1" applyFill="1" applyBorder="1"/>
    <xf numFmtId="177" fontId="0" fillId="4" borderId="0" xfId="0" applyNumberFormat="1" applyFill="1"/>
    <xf numFmtId="168" fontId="8" fillId="25" borderId="0" xfId="0" applyNumberFormat="1" applyFont="1" applyFill="1"/>
    <xf numFmtId="164" fontId="22" fillId="3" borderId="3" xfId="0" applyNumberFormat="1" applyFont="1" applyFill="1" applyBorder="1"/>
    <xf numFmtId="164" fontId="0" fillId="0" borderId="1" xfId="0" applyNumberFormat="1" applyBorder="1"/>
    <xf numFmtId="164" fontId="75" fillId="5" borderId="19" xfId="0" applyNumberFormat="1" applyFont="1" applyFill="1" applyBorder="1"/>
    <xf numFmtId="168" fontId="13" fillId="5" borderId="0" xfId="0" applyNumberFormat="1" applyFont="1" applyFill="1"/>
  </cellXfs>
  <cellStyles count="12">
    <cellStyle name="HeaderCellStyle" xfId="11" xr:uid="{C56B7691-8C8E-412F-B240-94D2DDF2D8FD}"/>
    <cellStyle name="Normal" xfId="0" builtinId="0"/>
    <cellStyle name="Normal 12" xfId="1" xr:uid="{C22D30EE-5465-4B4B-9237-9B9DDF68C35D}"/>
    <cellStyle name="Normal 2" xfId="5" xr:uid="{F9D9AD4F-7B3E-4164-892C-400F734B82D2}"/>
    <cellStyle name="Normal 2 2" xfId="6" xr:uid="{F935AA11-DCA3-4F52-8530-0F8EB8BD7722}"/>
    <cellStyle name="Normal 2 3" xfId="8" xr:uid="{F9D0092A-E473-48B9-B245-9A7DF5A57602}"/>
    <cellStyle name="Normal 2 5" xfId="4" xr:uid="{AFD81DFA-CDAA-48C3-A1B6-6A802CE29091}"/>
    <cellStyle name="Normal 3" xfId="7" xr:uid="{EBC0FE5B-6369-41A4-8FDB-971F3CBEC497}"/>
    <cellStyle name="Normal 3 2" xfId="9" xr:uid="{58AF7BD4-677E-4FE8-96B7-E1D3EFE4C066}"/>
    <cellStyle name="Normal 38 10" xfId="3" xr:uid="{6DFC1D1C-2C87-4763-BD73-80D85904FCCE}"/>
    <cellStyle name="Normal 4 2 2" xfId="2" xr:uid="{51AE1067-E579-4CB5-9290-A517D2C5601F}"/>
    <cellStyle name="Percent" xfId="10" builtinId="5"/>
  </cellStyles>
  <dxfs count="1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0000FF"/>
      <color rgb="FFFFFFCC"/>
      <color rgb="FF006600"/>
      <color rgb="FF3333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 Huang" id="{B4E3BA26-33F9-4167-90D7-39FD5F081AC4}" userId="" providerId="google-sheets"/>
  <person displayName="aspalten@waltershospitality.com" id="{0EDD1DC7-28E9-45E6-8E74-9956EA4122AB}" userId="aspalten@waltershospitality.com" providerId="PeoplePicker"/>
</personList>
</file>

<file path=xl/theme/theme1.xml><?xml version="1.0" encoding="utf-8"?>
<a:theme xmlns:a="http://schemas.openxmlformats.org/drawingml/2006/main" name="Office Theme">
  <a:themeElements>
    <a:clrScheme name="Walters - Excel">
      <a:dk1>
        <a:srgbClr val="000000"/>
      </a:dk1>
      <a:lt1>
        <a:srgbClr val="FFFFFF"/>
      </a:lt1>
      <a:dk2>
        <a:srgbClr val="EFF6F9"/>
      </a:dk2>
      <a:lt2>
        <a:srgbClr val="D0E9EA"/>
      </a:lt2>
      <a:accent1>
        <a:srgbClr val="EFF6F9"/>
      </a:accent1>
      <a:accent2>
        <a:srgbClr val="1A939B"/>
      </a:accent2>
      <a:accent3>
        <a:srgbClr val="D0E9EA"/>
      </a:accent3>
      <a:accent4>
        <a:srgbClr val="92CDD0"/>
      </a:accent4>
      <a:accent5>
        <a:srgbClr val="7DC5B4"/>
      </a:accent5>
      <a:accent6>
        <a:srgbClr val="C4C4C4"/>
      </a:accent6>
      <a:hlink>
        <a:srgbClr val="2998E3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6-26T16:19:54.00" personId="{B4E3BA26-33F9-4167-90D7-39FD5F081AC4}" id="{AD2F26F6-2FC0-4A7B-A640-227398987A0F}">
    <text>@aspalten@waltershospitality.com please use this tab to populate the KPI sections of the workbook for the RVP's and management reporting</text>
    <mentions>
      <mention mentionpersonId="{0EDD1DC7-28E9-45E6-8E74-9956EA4122AB}" mentionId="{8F3B3CB0-C60A-4698-818A-F2F2447FE206}" startIndex="0" length="3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DCC6-5839-427D-8271-22182CD3636F}">
  <sheetPr codeName="Sheet8">
    <tabColor theme="8"/>
  </sheetPr>
  <dimension ref="A1:CS94"/>
  <sheetViews>
    <sheetView showGridLines="0" tabSelected="1" zoomScale="130" zoomScaleNormal="130" workbookViewId="0">
      <pane xSplit="3" ySplit="9" topLeftCell="AK10" activePane="bottomRight" state="frozen"/>
      <selection pane="topRight"/>
      <selection pane="bottomLeft"/>
      <selection pane="bottomRight"/>
    </sheetView>
  </sheetViews>
  <sheetFormatPr defaultRowHeight="14.5" outlineLevelCol="1"/>
  <cols>
    <col min="1" max="2" width="1.54296875" customWidth="1"/>
    <col min="3" max="3" width="38.81640625" bestFit="1" customWidth="1"/>
    <col min="4" max="35" width="8.54296875" hidden="1" customWidth="1" outlineLevel="1"/>
    <col min="36" max="36" width="1.7265625" style="103" hidden="1" customWidth="1" outlineLevel="1" collapsed="1"/>
    <col min="37" max="37" width="8.54296875" customWidth="1" collapsed="1"/>
    <col min="38" max="48" width="8.54296875" customWidth="1"/>
    <col min="49" max="76" width="8.54296875" hidden="1" customWidth="1" outlineLevel="1"/>
    <col min="77" max="77" width="1.7265625" style="103" customWidth="1" collapsed="1"/>
    <col min="78" max="80" width="10.7265625" customWidth="1" outlineLevel="1"/>
    <col min="81" max="83" width="10.7265625" bestFit="1" customWidth="1"/>
    <col min="84" max="84" width="1.7265625" customWidth="1"/>
    <col min="85" max="87" width="10.7265625" bestFit="1" customWidth="1"/>
    <col min="88" max="88" width="1.7265625" customWidth="1"/>
    <col min="89" max="89" width="10.7265625" bestFit="1" customWidth="1"/>
    <col min="90" max="90" width="1.7265625" customWidth="1"/>
    <col min="91" max="92" width="10.7265625" bestFit="1" customWidth="1"/>
    <col min="93" max="93" width="1.7265625" customWidth="1"/>
    <col min="94" max="94" width="27.54296875" style="112" bestFit="1" customWidth="1"/>
    <col min="95" max="95" width="15.81640625" style="112" customWidth="1"/>
    <col min="96" max="96" width="41.7265625" style="112" bestFit="1" customWidth="1"/>
  </cols>
  <sheetData>
    <row r="1" spans="1:96">
      <c r="A1" t="s">
        <v>1208</v>
      </c>
      <c r="D1" s="257">
        <f>YEAR(D9)</f>
        <v>2024</v>
      </c>
      <c r="E1" s="257">
        <f t="shared" ref="E1:O1" si="0">YEAR(E9)</f>
        <v>2024</v>
      </c>
      <c r="F1" s="257">
        <f t="shared" si="0"/>
        <v>2024</v>
      </c>
      <c r="G1" s="257">
        <f t="shared" si="0"/>
        <v>2024</v>
      </c>
      <c r="H1" s="257">
        <f t="shared" si="0"/>
        <v>2024</v>
      </c>
      <c r="I1" s="257">
        <f t="shared" si="0"/>
        <v>2024</v>
      </c>
      <c r="J1" s="257">
        <f t="shared" si="0"/>
        <v>2024</v>
      </c>
      <c r="K1" s="257">
        <f t="shared" si="0"/>
        <v>2024</v>
      </c>
      <c r="L1" s="257">
        <f t="shared" si="0"/>
        <v>2024</v>
      </c>
      <c r="M1" s="257">
        <f t="shared" si="0"/>
        <v>2024</v>
      </c>
      <c r="N1" s="257">
        <f t="shared" si="0"/>
        <v>2024</v>
      </c>
      <c r="O1" s="257">
        <f t="shared" si="0"/>
        <v>2024</v>
      </c>
      <c r="P1" s="257">
        <f>YEAR(P9)</f>
        <v>2025</v>
      </c>
      <c r="Q1" s="257">
        <f t="shared" ref="Q1:AE1" si="1">YEAR(Q9)</f>
        <v>2025</v>
      </c>
      <c r="R1" s="257">
        <f t="shared" si="1"/>
        <v>2025</v>
      </c>
      <c r="S1" s="257">
        <f t="shared" si="1"/>
        <v>2025</v>
      </c>
      <c r="T1" s="257">
        <f t="shared" si="1"/>
        <v>2025</v>
      </c>
      <c r="U1" s="257">
        <f t="shared" si="1"/>
        <v>2025</v>
      </c>
      <c r="V1" s="257">
        <f t="shared" si="1"/>
        <v>2025</v>
      </c>
      <c r="W1" s="257">
        <f t="shared" si="1"/>
        <v>2025</v>
      </c>
      <c r="X1" s="257">
        <f t="shared" si="1"/>
        <v>2025</v>
      </c>
      <c r="Y1" s="257">
        <f t="shared" si="1"/>
        <v>2025</v>
      </c>
      <c r="Z1" s="257">
        <f t="shared" si="1"/>
        <v>2025</v>
      </c>
      <c r="AA1" s="257">
        <f t="shared" si="1"/>
        <v>2025</v>
      </c>
      <c r="AB1" s="257">
        <f t="shared" si="1"/>
        <v>2026</v>
      </c>
      <c r="AC1" s="257">
        <f t="shared" si="1"/>
        <v>2026</v>
      </c>
      <c r="AD1" s="257">
        <f t="shared" si="1"/>
        <v>2026</v>
      </c>
      <c r="AE1" s="257">
        <f t="shared" si="1"/>
        <v>2026</v>
      </c>
      <c r="AF1" s="257">
        <f>YEAR(AF9)</f>
        <v>2026</v>
      </c>
      <c r="AG1" s="257">
        <f t="shared" ref="AG1:AI1" si="2">YEAR(AG9)</f>
        <v>2026</v>
      </c>
      <c r="AH1" s="257">
        <f t="shared" si="2"/>
        <v>2026</v>
      </c>
      <c r="AI1" s="257">
        <f t="shared" si="2"/>
        <v>2026</v>
      </c>
      <c r="AK1" s="257">
        <f t="shared" ref="AK1:BX1" si="3">YEAR(AK9)</f>
        <v>2026</v>
      </c>
      <c r="AL1" s="257">
        <f t="shared" si="3"/>
        <v>2026</v>
      </c>
      <c r="AM1" s="257">
        <f t="shared" si="3"/>
        <v>2026</v>
      </c>
      <c r="AN1" s="257">
        <f t="shared" si="3"/>
        <v>2026</v>
      </c>
      <c r="AO1" s="257">
        <f t="shared" si="3"/>
        <v>2027</v>
      </c>
      <c r="AP1" s="257">
        <f t="shared" si="3"/>
        <v>2027</v>
      </c>
      <c r="AQ1" s="257">
        <f t="shared" si="3"/>
        <v>2027</v>
      </c>
      <c r="AR1" s="257">
        <f t="shared" si="3"/>
        <v>2027</v>
      </c>
      <c r="AS1" s="257">
        <f t="shared" si="3"/>
        <v>2027</v>
      </c>
      <c r="AT1" s="257">
        <f t="shared" si="3"/>
        <v>2027</v>
      </c>
      <c r="AU1" s="257">
        <f t="shared" si="3"/>
        <v>2027</v>
      </c>
      <c r="AV1" s="257">
        <f t="shared" si="3"/>
        <v>2027</v>
      </c>
      <c r="AW1" s="257">
        <f t="shared" si="3"/>
        <v>2027</v>
      </c>
      <c r="AX1" s="257">
        <f t="shared" si="3"/>
        <v>2027</v>
      </c>
      <c r="AY1" s="257">
        <f t="shared" si="3"/>
        <v>2027</v>
      </c>
      <c r="AZ1" s="257">
        <f t="shared" si="3"/>
        <v>2027</v>
      </c>
      <c r="BA1" s="257">
        <f t="shared" si="3"/>
        <v>2028</v>
      </c>
      <c r="BB1" s="257">
        <f t="shared" si="3"/>
        <v>2028</v>
      </c>
      <c r="BC1" s="257">
        <f t="shared" si="3"/>
        <v>2028</v>
      </c>
      <c r="BD1" s="257">
        <f t="shared" si="3"/>
        <v>2028</v>
      </c>
      <c r="BE1" s="257">
        <f t="shared" si="3"/>
        <v>2028</v>
      </c>
      <c r="BF1" s="257">
        <f t="shared" si="3"/>
        <v>2028</v>
      </c>
      <c r="BG1" s="257">
        <f t="shared" si="3"/>
        <v>2028</v>
      </c>
      <c r="BH1" s="257">
        <f t="shared" si="3"/>
        <v>2028</v>
      </c>
      <c r="BI1" s="257">
        <f t="shared" si="3"/>
        <v>2028</v>
      </c>
      <c r="BJ1" s="257">
        <f t="shared" si="3"/>
        <v>2028</v>
      </c>
      <c r="BK1" s="257">
        <f t="shared" si="3"/>
        <v>2028</v>
      </c>
      <c r="BL1" s="257">
        <f t="shared" si="3"/>
        <v>2028</v>
      </c>
      <c r="BM1" s="257">
        <f t="shared" si="3"/>
        <v>2029</v>
      </c>
      <c r="BN1" s="257">
        <f t="shared" si="3"/>
        <v>2029</v>
      </c>
      <c r="BO1" s="257">
        <f t="shared" si="3"/>
        <v>2029</v>
      </c>
      <c r="BP1" s="257">
        <f t="shared" si="3"/>
        <v>2029</v>
      </c>
      <c r="BQ1" s="257">
        <f t="shared" si="3"/>
        <v>2029</v>
      </c>
      <c r="BR1" s="257">
        <f t="shared" si="3"/>
        <v>2029</v>
      </c>
      <c r="BS1" s="257">
        <f t="shared" si="3"/>
        <v>2029</v>
      </c>
      <c r="BT1" s="257">
        <f t="shared" si="3"/>
        <v>2029</v>
      </c>
      <c r="BU1" s="257">
        <f t="shared" si="3"/>
        <v>2029</v>
      </c>
      <c r="BV1" s="257">
        <f t="shared" si="3"/>
        <v>2029</v>
      </c>
      <c r="BW1" s="257">
        <f t="shared" si="3"/>
        <v>2029</v>
      </c>
      <c r="BX1" s="257">
        <f t="shared" si="3"/>
        <v>2029</v>
      </c>
      <c r="CC1" s="256">
        <v>1</v>
      </c>
      <c r="CD1" s="256">
        <v>2</v>
      </c>
      <c r="CE1" s="256">
        <v>3</v>
      </c>
      <c r="CM1" s="28" t="s">
        <v>385</v>
      </c>
    </row>
    <row r="2" spans="1:96">
      <c r="D2" s="257">
        <f>MONTH(D9)</f>
        <v>1</v>
      </c>
      <c r="E2" s="257">
        <f t="shared" ref="E2:O2" si="4">MONTH(E9)</f>
        <v>2</v>
      </c>
      <c r="F2" s="257">
        <f t="shared" si="4"/>
        <v>3</v>
      </c>
      <c r="G2" s="257">
        <f t="shared" si="4"/>
        <v>4</v>
      </c>
      <c r="H2" s="257">
        <f t="shared" si="4"/>
        <v>5</v>
      </c>
      <c r="I2" s="257">
        <f t="shared" si="4"/>
        <v>6</v>
      </c>
      <c r="J2" s="257">
        <f t="shared" si="4"/>
        <v>7</v>
      </c>
      <c r="K2" s="257">
        <f t="shared" si="4"/>
        <v>8</v>
      </c>
      <c r="L2" s="257">
        <f t="shared" si="4"/>
        <v>9</v>
      </c>
      <c r="M2" s="257">
        <f t="shared" si="4"/>
        <v>10</v>
      </c>
      <c r="N2" s="257">
        <f t="shared" si="4"/>
        <v>11</v>
      </c>
      <c r="O2" s="257">
        <f t="shared" si="4"/>
        <v>12</v>
      </c>
      <c r="P2" s="257">
        <f>MONTH(P9)</f>
        <v>1</v>
      </c>
      <c r="Q2" s="257">
        <f t="shared" ref="Q2:AE2" si="5">MONTH(Q9)</f>
        <v>2</v>
      </c>
      <c r="R2" s="257">
        <f t="shared" si="5"/>
        <v>3</v>
      </c>
      <c r="S2" s="257">
        <f t="shared" si="5"/>
        <v>4</v>
      </c>
      <c r="T2" s="257">
        <f t="shared" si="5"/>
        <v>5</v>
      </c>
      <c r="U2" s="257">
        <f t="shared" si="5"/>
        <v>6</v>
      </c>
      <c r="V2" s="257">
        <f t="shared" si="5"/>
        <v>7</v>
      </c>
      <c r="W2" s="257">
        <f t="shared" si="5"/>
        <v>8</v>
      </c>
      <c r="X2" s="257">
        <f t="shared" si="5"/>
        <v>9</v>
      </c>
      <c r="Y2" s="257">
        <f t="shared" si="5"/>
        <v>10</v>
      </c>
      <c r="Z2" s="257">
        <f t="shared" si="5"/>
        <v>11</v>
      </c>
      <c r="AA2" s="257">
        <f t="shared" si="5"/>
        <v>12</v>
      </c>
      <c r="AB2" s="257">
        <f t="shared" si="5"/>
        <v>1</v>
      </c>
      <c r="AC2" s="257">
        <f t="shared" si="5"/>
        <v>2</v>
      </c>
      <c r="AD2" s="257">
        <f t="shared" si="5"/>
        <v>3</v>
      </c>
      <c r="AE2" s="257">
        <f t="shared" si="5"/>
        <v>4</v>
      </c>
      <c r="AF2" s="257">
        <f>MONTH(AF9)</f>
        <v>5</v>
      </c>
      <c r="AG2" s="257">
        <f t="shared" ref="AG2:AI2" si="6">MONTH(AG9)</f>
        <v>6</v>
      </c>
      <c r="AH2" s="257">
        <f t="shared" si="6"/>
        <v>7</v>
      </c>
      <c r="AI2" s="257">
        <f t="shared" si="6"/>
        <v>8</v>
      </c>
      <c r="AK2" s="257">
        <f t="shared" ref="AK2:BX2" si="7">MONTH(AK9)</f>
        <v>9</v>
      </c>
      <c r="AL2" s="257">
        <f t="shared" si="7"/>
        <v>10</v>
      </c>
      <c r="AM2" s="257">
        <f t="shared" si="7"/>
        <v>11</v>
      </c>
      <c r="AN2" s="257">
        <f t="shared" si="7"/>
        <v>12</v>
      </c>
      <c r="AO2" s="257">
        <f t="shared" si="7"/>
        <v>1</v>
      </c>
      <c r="AP2" s="257">
        <f t="shared" si="7"/>
        <v>2</v>
      </c>
      <c r="AQ2" s="257">
        <f t="shared" si="7"/>
        <v>3</v>
      </c>
      <c r="AR2" s="257">
        <f t="shared" si="7"/>
        <v>4</v>
      </c>
      <c r="AS2" s="257">
        <f t="shared" si="7"/>
        <v>5</v>
      </c>
      <c r="AT2" s="257">
        <f t="shared" si="7"/>
        <v>6</v>
      </c>
      <c r="AU2" s="257">
        <f t="shared" si="7"/>
        <v>7</v>
      </c>
      <c r="AV2" s="257">
        <f t="shared" si="7"/>
        <v>8</v>
      </c>
      <c r="AW2" s="257">
        <f t="shared" si="7"/>
        <v>9</v>
      </c>
      <c r="AX2" s="257">
        <f t="shared" si="7"/>
        <v>10</v>
      </c>
      <c r="AY2" s="257">
        <f t="shared" si="7"/>
        <v>11</v>
      </c>
      <c r="AZ2" s="257">
        <f t="shared" si="7"/>
        <v>12</v>
      </c>
      <c r="BA2" s="257">
        <f t="shared" si="7"/>
        <v>1</v>
      </c>
      <c r="BB2" s="257">
        <f t="shared" si="7"/>
        <v>2</v>
      </c>
      <c r="BC2" s="257">
        <f t="shared" si="7"/>
        <v>3</v>
      </c>
      <c r="BD2" s="257">
        <f t="shared" si="7"/>
        <v>4</v>
      </c>
      <c r="BE2" s="257">
        <f t="shared" si="7"/>
        <v>5</v>
      </c>
      <c r="BF2" s="257">
        <f t="shared" si="7"/>
        <v>6</v>
      </c>
      <c r="BG2" s="257">
        <f t="shared" si="7"/>
        <v>7</v>
      </c>
      <c r="BH2" s="257">
        <f t="shared" si="7"/>
        <v>8</v>
      </c>
      <c r="BI2" s="257">
        <f t="shared" si="7"/>
        <v>9</v>
      </c>
      <c r="BJ2" s="257">
        <f t="shared" si="7"/>
        <v>10</v>
      </c>
      <c r="BK2" s="257">
        <f t="shared" si="7"/>
        <v>11</v>
      </c>
      <c r="BL2" s="257">
        <f t="shared" si="7"/>
        <v>12</v>
      </c>
      <c r="BM2" s="257">
        <f t="shared" si="7"/>
        <v>1</v>
      </c>
      <c r="BN2" s="257">
        <f t="shared" si="7"/>
        <v>2</v>
      </c>
      <c r="BO2" s="257">
        <f t="shared" si="7"/>
        <v>3</v>
      </c>
      <c r="BP2" s="257">
        <f t="shared" si="7"/>
        <v>4</v>
      </c>
      <c r="BQ2" s="257">
        <f t="shared" si="7"/>
        <v>5</v>
      </c>
      <c r="BR2" s="257">
        <f t="shared" si="7"/>
        <v>6</v>
      </c>
      <c r="BS2" s="257">
        <f t="shared" si="7"/>
        <v>7</v>
      </c>
      <c r="BT2" s="257">
        <f t="shared" si="7"/>
        <v>8</v>
      </c>
      <c r="BU2" s="257">
        <f t="shared" si="7"/>
        <v>9</v>
      </c>
      <c r="BV2" s="257">
        <f t="shared" si="7"/>
        <v>10</v>
      </c>
      <c r="BW2" s="257">
        <f t="shared" si="7"/>
        <v>11</v>
      </c>
      <c r="BX2" s="257">
        <f t="shared" si="7"/>
        <v>12</v>
      </c>
      <c r="CM2" s="270"/>
    </row>
    <row r="3" spans="1:96"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 t="s">
        <v>292</v>
      </c>
      <c r="X3" s="257" t="s">
        <v>292</v>
      </c>
      <c r="Y3" s="257" t="s">
        <v>292</v>
      </c>
      <c r="Z3" s="257" t="s">
        <v>292</v>
      </c>
      <c r="AA3" s="257" t="s">
        <v>292</v>
      </c>
      <c r="AB3" s="257" t="s">
        <v>292</v>
      </c>
      <c r="AC3" s="257" t="s">
        <v>292</v>
      </c>
      <c r="AD3" s="257" t="s">
        <v>292</v>
      </c>
      <c r="AE3" s="257" t="s">
        <v>292</v>
      </c>
      <c r="AF3" s="257" t="s">
        <v>292</v>
      </c>
      <c r="AG3" s="257" t="s">
        <v>292</v>
      </c>
      <c r="AH3" s="257" t="s">
        <v>292</v>
      </c>
      <c r="AK3" s="256">
        <v>1</v>
      </c>
      <c r="AL3" s="256">
        <f>AK3</f>
        <v>1</v>
      </c>
      <c r="AM3" s="256">
        <f t="shared" ref="AM3:AV3" si="8">AL3</f>
        <v>1</v>
      </c>
      <c r="AN3" s="256">
        <f t="shared" si="8"/>
        <v>1</v>
      </c>
      <c r="AO3" s="256">
        <f t="shared" si="8"/>
        <v>1</v>
      </c>
      <c r="AP3" s="256">
        <f t="shared" si="8"/>
        <v>1</v>
      </c>
      <c r="AQ3" s="256">
        <f t="shared" si="8"/>
        <v>1</v>
      </c>
      <c r="AR3" s="256">
        <f t="shared" si="8"/>
        <v>1</v>
      </c>
      <c r="AS3" s="256">
        <f t="shared" si="8"/>
        <v>1</v>
      </c>
      <c r="AT3" s="256">
        <f t="shared" si="8"/>
        <v>1</v>
      </c>
      <c r="AU3" s="256">
        <f t="shared" si="8"/>
        <v>1</v>
      </c>
      <c r="AV3" s="256">
        <f t="shared" si="8"/>
        <v>1</v>
      </c>
      <c r="AW3" s="256">
        <f>AK3+1</f>
        <v>2</v>
      </c>
      <c r="AX3" s="256">
        <f t="shared" ref="AX3:BX3" si="9">AL3+1</f>
        <v>2</v>
      </c>
      <c r="AY3" s="256">
        <f t="shared" si="9"/>
        <v>2</v>
      </c>
      <c r="AZ3" s="256">
        <f t="shared" si="9"/>
        <v>2</v>
      </c>
      <c r="BA3" s="256">
        <f t="shared" si="9"/>
        <v>2</v>
      </c>
      <c r="BB3" s="256">
        <f t="shared" si="9"/>
        <v>2</v>
      </c>
      <c r="BC3" s="256">
        <f t="shared" si="9"/>
        <v>2</v>
      </c>
      <c r="BD3" s="256">
        <f t="shared" si="9"/>
        <v>2</v>
      </c>
      <c r="BE3" s="256">
        <f t="shared" si="9"/>
        <v>2</v>
      </c>
      <c r="BF3" s="256">
        <f t="shared" si="9"/>
        <v>2</v>
      </c>
      <c r="BG3" s="256">
        <f t="shared" si="9"/>
        <v>2</v>
      </c>
      <c r="BH3" s="256">
        <f t="shared" si="9"/>
        <v>2</v>
      </c>
      <c r="BI3" s="256">
        <f t="shared" si="9"/>
        <v>3</v>
      </c>
      <c r="BJ3" s="256">
        <f t="shared" si="9"/>
        <v>3</v>
      </c>
      <c r="BK3" s="256">
        <f t="shared" si="9"/>
        <v>3</v>
      </c>
      <c r="BL3" s="256">
        <f t="shared" si="9"/>
        <v>3</v>
      </c>
      <c r="BM3" s="256">
        <f t="shared" si="9"/>
        <v>3</v>
      </c>
      <c r="BN3" s="256">
        <f t="shared" si="9"/>
        <v>3</v>
      </c>
      <c r="BO3" s="256">
        <f t="shared" si="9"/>
        <v>3</v>
      </c>
      <c r="BP3" s="256">
        <f t="shared" si="9"/>
        <v>3</v>
      </c>
      <c r="BQ3" s="256">
        <f t="shared" si="9"/>
        <v>3</v>
      </c>
      <c r="BR3" s="256">
        <f t="shared" si="9"/>
        <v>3</v>
      </c>
      <c r="BS3" s="256">
        <f t="shared" si="9"/>
        <v>3</v>
      </c>
      <c r="BT3" s="256">
        <f t="shared" si="9"/>
        <v>3</v>
      </c>
      <c r="BU3" s="256">
        <f t="shared" si="9"/>
        <v>4</v>
      </c>
      <c r="BV3" s="256">
        <f t="shared" si="9"/>
        <v>4</v>
      </c>
      <c r="BW3" s="256">
        <f t="shared" si="9"/>
        <v>4</v>
      </c>
      <c r="BX3" s="256">
        <f t="shared" si="9"/>
        <v>4</v>
      </c>
      <c r="CM3" s="270"/>
    </row>
    <row r="4" spans="1:96" ht="5.15" customHeight="1"/>
    <row r="5" spans="1:96">
      <c r="C5" s="58" t="str">
        <f>Summary!$C$3</f>
        <v>Hadden Estate</v>
      </c>
      <c r="CM5" t="str">
        <f>INDEX('FY25 By Venue Financials'!$1:$1,MATCH(CM1,'FY25 By Venue Financials'!$4:$4,0))</f>
        <v>N</v>
      </c>
    </row>
    <row r="6" spans="1:96">
      <c r="C6" t="s">
        <v>241</v>
      </c>
      <c r="AJ6"/>
      <c r="BY6"/>
      <c r="CP6" s="122"/>
      <c r="CQ6" s="122"/>
      <c r="CR6" s="122"/>
    </row>
    <row r="7" spans="1:96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393"/>
      <c r="AP7" s="393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123"/>
      <c r="CQ7" s="123"/>
      <c r="CR7" s="123"/>
    </row>
    <row r="8" spans="1:96" ht="16">
      <c r="C8" s="2"/>
      <c r="D8" s="2" t="s">
        <v>236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236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K8" s="140" t="s">
        <v>467</v>
      </c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04"/>
      <c r="BZ8" s="2" t="s">
        <v>236</v>
      </c>
      <c r="CA8" s="2"/>
      <c r="CB8" s="2"/>
      <c r="CC8" s="2" t="s">
        <v>237</v>
      </c>
      <c r="CD8" s="2"/>
      <c r="CE8" s="2"/>
      <c r="CG8" s="140" t="s">
        <v>441</v>
      </c>
      <c r="CH8" s="140"/>
      <c r="CI8" s="140"/>
      <c r="CK8" s="140" t="s">
        <v>406</v>
      </c>
      <c r="CM8" s="140" t="s">
        <v>403</v>
      </c>
      <c r="CN8" s="140"/>
      <c r="CP8" s="141"/>
      <c r="CQ8" s="141"/>
      <c r="CR8" s="141"/>
    </row>
    <row r="9" spans="1:96" ht="16">
      <c r="C9" s="2"/>
      <c r="D9" s="238">
        <v>45322</v>
      </c>
      <c r="E9" s="238">
        <f t="shared" ref="E9:AF9" si="10">EOMONTH(D9,1)</f>
        <v>45351</v>
      </c>
      <c r="F9" s="238">
        <f t="shared" si="10"/>
        <v>45382</v>
      </c>
      <c r="G9" s="238">
        <f t="shared" si="10"/>
        <v>45412</v>
      </c>
      <c r="H9" s="238">
        <f t="shared" si="10"/>
        <v>45443</v>
      </c>
      <c r="I9" s="238">
        <f t="shared" si="10"/>
        <v>45473</v>
      </c>
      <c r="J9" s="238">
        <f t="shared" si="10"/>
        <v>45504</v>
      </c>
      <c r="K9" s="238">
        <f t="shared" si="10"/>
        <v>45535</v>
      </c>
      <c r="L9" s="238">
        <f t="shared" si="10"/>
        <v>45565</v>
      </c>
      <c r="M9" s="238">
        <f t="shared" si="10"/>
        <v>45596</v>
      </c>
      <c r="N9" s="238">
        <f t="shared" si="10"/>
        <v>45626</v>
      </c>
      <c r="O9" s="238">
        <f t="shared" si="10"/>
        <v>45657</v>
      </c>
      <c r="P9" s="238">
        <f t="shared" si="10"/>
        <v>45688</v>
      </c>
      <c r="Q9" s="238">
        <f t="shared" si="10"/>
        <v>45716</v>
      </c>
      <c r="R9" s="238">
        <f t="shared" si="10"/>
        <v>45747</v>
      </c>
      <c r="S9" s="238">
        <f t="shared" si="10"/>
        <v>45777</v>
      </c>
      <c r="T9" s="238">
        <f t="shared" si="10"/>
        <v>45808</v>
      </c>
      <c r="U9" s="238">
        <f t="shared" si="10"/>
        <v>45838</v>
      </c>
      <c r="V9" s="238">
        <f t="shared" si="10"/>
        <v>45869</v>
      </c>
      <c r="W9" s="238">
        <f t="shared" si="10"/>
        <v>45900</v>
      </c>
      <c r="X9" s="238">
        <f t="shared" si="10"/>
        <v>45930</v>
      </c>
      <c r="Y9" s="238">
        <f t="shared" si="10"/>
        <v>45961</v>
      </c>
      <c r="Z9" s="238">
        <f t="shared" si="10"/>
        <v>45991</v>
      </c>
      <c r="AA9" s="238">
        <f t="shared" si="10"/>
        <v>46022</v>
      </c>
      <c r="AB9" s="238">
        <f t="shared" si="10"/>
        <v>46053</v>
      </c>
      <c r="AC9" s="238">
        <f t="shared" si="10"/>
        <v>46081</v>
      </c>
      <c r="AD9" s="238">
        <f t="shared" si="10"/>
        <v>46112</v>
      </c>
      <c r="AE9" s="238">
        <f t="shared" si="10"/>
        <v>46142</v>
      </c>
      <c r="AF9" s="238">
        <f t="shared" si="10"/>
        <v>46173</v>
      </c>
      <c r="AG9" s="238">
        <f t="shared" ref="AG9" si="11">EOMONTH(AF9,1)</f>
        <v>46203</v>
      </c>
      <c r="AH9" s="238">
        <f t="shared" ref="AH9" si="12">EOMONTH(AG9,1)</f>
        <v>46234</v>
      </c>
      <c r="AI9" s="238">
        <f t="shared" ref="AI9" si="13">EOMONTH(AH9,1)</f>
        <v>46265</v>
      </c>
      <c r="AJ9" s="239"/>
      <c r="AK9" s="245">
        <f>EOMONTH(AI9,1)</f>
        <v>46295</v>
      </c>
      <c r="AL9" s="245">
        <f t="shared" ref="AL9:BX9" si="14">EOMONTH(AK9,1)</f>
        <v>46326</v>
      </c>
      <c r="AM9" s="245">
        <f t="shared" si="14"/>
        <v>46356</v>
      </c>
      <c r="AN9" s="245">
        <f t="shared" si="14"/>
        <v>46387</v>
      </c>
      <c r="AO9" s="245">
        <f t="shared" si="14"/>
        <v>46418</v>
      </c>
      <c r="AP9" s="245">
        <f t="shared" si="14"/>
        <v>46446</v>
      </c>
      <c r="AQ9" s="245">
        <f t="shared" si="14"/>
        <v>46477</v>
      </c>
      <c r="AR9" s="245">
        <f t="shared" si="14"/>
        <v>46507</v>
      </c>
      <c r="AS9" s="245">
        <f t="shared" si="14"/>
        <v>46538</v>
      </c>
      <c r="AT9" s="245">
        <f t="shared" si="14"/>
        <v>46568</v>
      </c>
      <c r="AU9" s="245">
        <f t="shared" si="14"/>
        <v>46599</v>
      </c>
      <c r="AV9" s="245">
        <f t="shared" si="14"/>
        <v>46630</v>
      </c>
      <c r="AW9" s="245">
        <f t="shared" si="14"/>
        <v>46660</v>
      </c>
      <c r="AX9" s="245">
        <f t="shared" si="14"/>
        <v>46691</v>
      </c>
      <c r="AY9" s="245">
        <f t="shared" si="14"/>
        <v>46721</v>
      </c>
      <c r="AZ9" s="245">
        <f t="shared" si="14"/>
        <v>46752</v>
      </c>
      <c r="BA9" s="245">
        <f t="shared" si="14"/>
        <v>46783</v>
      </c>
      <c r="BB9" s="245">
        <f t="shared" si="14"/>
        <v>46812</v>
      </c>
      <c r="BC9" s="245">
        <f t="shared" si="14"/>
        <v>46843</v>
      </c>
      <c r="BD9" s="245">
        <f t="shared" si="14"/>
        <v>46873</v>
      </c>
      <c r="BE9" s="245">
        <f t="shared" si="14"/>
        <v>46904</v>
      </c>
      <c r="BF9" s="245">
        <f t="shared" si="14"/>
        <v>46934</v>
      </c>
      <c r="BG9" s="245">
        <f t="shared" si="14"/>
        <v>46965</v>
      </c>
      <c r="BH9" s="245">
        <f t="shared" si="14"/>
        <v>46996</v>
      </c>
      <c r="BI9" s="245">
        <f t="shared" si="14"/>
        <v>47026</v>
      </c>
      <c r="BJ9" s="245">
        <f t="shared" si="14"/>
        <v>47057</v>
      </c>
      <c r="BK9" s="245">
        <f t="shared" si="14"/>
        <v>47087</v>
      </c>
      <c r="BL9" s="245">
        <f t="shared" si="14"/>
        <v>47118</v>
      </c>
      <c r="BM9" s="245">
        <f t="shared" si="14"/>
        <v>47149</v>
      </c>
      <c r="BN9" s="245">
        <f t="shared" si="14"/>
        <v>47177</v>
      </c>
      <c r="BO9" s="245">
        <f t="shared" si="14"/>
        <v>47208</v>
      </c>
      <c r="BP9" s="245">
        <f t="shared" si="14"/>
        <v>47238</v>
      </c>
      <c r="BQ9" s="245">
        <f t="shared" si="14"/>
        <v>47269</v>
      </c>
      <c r="BR9" s="245">
        <f t="shared" si="14"/>
        <v>47299</v>
      </c>
      <c r="BS9" s="245">
        <f t="shared" si="14"/>
        <v>47330</v>
      </c>
      <c r="BT9" s="245">
        <f t="shared" si="14"/>
        <v>47361</v>
      </c>
      <c r="BU9" s="245">
        <f t="shared" si="14"/>
        <v>47391</v>
      </c>
      <c r="BV9" s="245">
        <f t="shared" si="14"/>
        <v>47422</v>
      </c>
      <c r="BW9" s="245">
        <f t="shared" si="14"/>
        <v>47452</v>
      </c>
      <c r="BX9" s="245">
        <f t="shared" si="14"/>
        <v>47483</v>
      </c>
      <c r="BY9" s="239"/>
      <c r="BZ9" s="2">
        <v>2024</v>
      </c>
      <c r="CA9" s="2">
        <v>2025</v>
      </c>
      <c r="CB9" s="2" t="str">
        <f>'Events Summary'!$C$12</f>
        <v>LTM Jul-26</v>
      </c>
      <c r="CC9" s="2" t="s">
        <v>238</v>
      </c>
      <c r="CD9" s="2" t="s">
        <v>239</v>
      </c>
      <c r="CE9" s="2" t="s">
        <v>240</v>
      </c>
      <c r="CG9" s="140" t="s">
        <v>238</v>
      </c>
      <c r="CH9" s="140" t="s">
        <v>239</v>
      </c>
      <c r="CI9" s="140" t="s">
        <v>240</v>
      </c>
      <c r="CK9" s="140" t="s">
        <v>405</v>
      </c>
      <c r="CM9" s="140" t="s">
        <v>404</v>
      </c>
      <c r="CN9" s="140" t="s">
        <v>405</v>
      </c>
      <c r="CP9" s="140" t="s">
        <v>407</v>
      </c>
      <c r="CQ9" s="140" t="s">
        <v>485</v>
      </c>
      <c r="CR9" s="140" t="s">
        <v>402</v>
      </c>
    </row>
    <row r="10" spans="1:96" ht="5.15" customHeight="1"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04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04"/>
      <c r="BZ10" s="130"/>
      <c r="CA10" s="130"/>
      <c r="CB10" s="130"/>
      <c r="CC10" s="130"/>
      <c r="CD10" s="130"/>
      <c r="CE10" s="130"/>
      <c r="CG10" s="130"/>
      <c r="CH10" s="130"/>
      <c r="CI10" s="130"/>
      <c r="CK10" s="130"/>
      <c r="CM10" s="130"/>
      <c r="CN10" s="130"/>
      <c r="CP10" s="130"/>
      <c r="CQ10" s="130"/>
      <c r="CR10" s="130"/>
    </row>
    <row r="11" spans="1:96">
      <c r="C11" s="15" t="s">
        <v>468</v>
      </c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367"/>
      <c r="AA11" s="367"/>
      <c r="AB11" s="139">
        <f>SUMIFS(Leads!$I$4:$I$10,Leads!$H$4:$H$10,AB$9)</f>
        <v>67</v>
      </c>
      <c r="AC11" s="139">
        <f>SUMIFS(Leads!$I$4:$I$10,Leads!$H$4:$H$10,AC$9)</f>
        <v>30</v>
      </c>
      <c r="AD11" s="139">
        <f>SUMIFS(Leads!$I$4:$I$10,Leads!$H$4:$H$10,AD$9)</f>
        <v>29</v>
      </c>
      <c r="AE11" s="139">
        <f>SUMIFS(Leads!$I$4:$I$10,Leads!$H$4:$H$10,AE$9)</f>
        <v>53</v>
      </c>
      <c r="AF11" s="139">
        <f>SUMIFS(Leads!$I$4:$I$10,Leads!$H$4:$H$10,AF$9)</f>
        <v>45</v>
      </c>
      <c r="AG11" s="139">
        <f>SUMIFS(Leads!$I$4:$I$10,Leads!$H$4:$H$10,AG$9)</f>
        <v>43</v>
      </c>
      <c r="AH11" s="139">
        <f>SUMIFS(Leads!$I$4:$I$10,Leads!$H$4:$H$10,AH$9)</f>
        <v>38</v>
      </c>
      <c r="AI11" s="392">
        <v>85</v>
      </c>
      <c r="AJ11" s="240"/>
      <c r="AK11" s="355">
        <v>90</v>
      </c>
      <c r="AL11" s="355">
        <v>115</v>
      </c>
      <c r="AM11" s="355">
        <v>110</v>
      </c>
      <c r="AN11" s="355">
        <v>110</v>
      </c>
      <c r="AO11" s="355">
        <v>175</v>
      </c>
      <c r="AP11" s="394">
        <f>($CC$11-SUM($AK$11:$AO$11))*(AP91/SUM($AP$91:$AV$91))</f>
        <v>142.10526315789471</v>
      </c>
      <c r="AQ11" s="394">
        <f t="shared" ref="AQ11:AV11" si="15">($CC$11-SUM($AK$11:$AO$11))*(AQ91/SUM($AP$91:$AV$91))</f>
        <v>126.31578947368421</v>
      </c>
      <c r="AR11" s="394">
        <f t="shared" si="15"/>
        <v>126.31578947368421</v>
      </c>
      <c r="AS11" s="394">
        <f t="shared" si="15"/>
        <v>126.31578947368421</v>
      </c>
      <c r="AT11" s="394">
        <f t="shared" si="15"/>
        <v>126.31578947368421</v>
      </c>
      <c r="AU11" s="394">
        <f t="shared" si="15"/>
        <v>126.31578947368421</v>
      </c>
      <c r="AV11" s="394">
        <f t="shared" si="15"/>
        <v>126.31578947368421</v>
      </c>
      <c r="AW11" s="252">
        <f>ROUND(SUMIFS($CC11:$CE11,$CC$1:$CE$1,AW$3)*AW$91,0)</f>
        <v>140</v>
      </c>
      <c r="AX11" s="252">
        <f t="shared" ref="AX11:BT11" si="16">ROUND(SUMIFS($CC11:$CE11,$CC$1:$CE$1,AX$3)*AX$91,0)</f>
        <v>140</v>
      </c>
      <c r="AY11" s="252">
        <f t="shared" si="16"/>
        <v>123</v>
      </c>
      <c r="AZ11" s="252">
        <f t="shared" si="16"/>
        <v>123</v>
      </c>
      <c r="BA11" s="392">
        <v>226</v>
      </c>
      <c r="BB11" s="252">
        <f t="shared" si="16"/>
        <v>158</v>
      </c>
      <c r="BC11" s="252">
        <f t="shared" si="16"/>
        <v>140</v>
      </c>
      <c r="BD11" s="252">
        <f t="shared" si="16"/>
        <v>140</v>
      </c>
      <c r="BE11" s="252">
        <f t="shared" si="16"/>
        <v>140</v>
      </c>
      <c r="BF11" s="252">
        <f t="shared" si="16"/>
        <v>140</v>
      </c>
      <c r="BG11" s="252">
        <f t="shared" si="16"/>
        <v>140</v>
      </c>
      <c r="BH11" s="252">
        <f t="shared" si="16"/>
        <v>140</v>
      </c>
      <c r="BI11" s="252">
        <f t="shared" si="16"/>
        <v>160</v>
      </c>
      <c r="BJ11" s="252">
        <f t="shared" si="16"/>
        <v>160</v>
      </c>
      <c r="BK11" s="252">
        <f t="shared" si="16"/>
        <v>140</v>
      </c>
      <c r="BL11" s="252">
        <f t="shared" si="16"/>
        <v>140</v>
      </c>
      <c r="BM11" s="252">
        <f t="shared" si="16"/>
        <v>260</v>
      </c>
      <c r="BN11" s="252">
        <f t="shared" si="16"/>
        <v>180</v>
      </c>
      <c r="BO11" s="252">
        <f t="shared" si="16"/>
        <v>160</v>
      </c>
      <c r="BP11" s="252">
        <f t="shared" si="16"/>
        <v>160</v>
      </c>
      <c r="BQ11" s="252">
        <f t="shared" si="16"/>
        <v>160</v>
      </c>
      <c r="BR11" s="252">
        <f t="shared" si="16"/>
        <v>160</v>
      </c>
      <c r="BS11" s="252">
        <f t="shared" si="16"/>
        <v>160</v>
      </c>
      <c r="BT11" s="383">
        <f t="shared" si="16"/>
        <v>160</v>
      </c>
      <c r="BU11" s="252">
        <f>BI11</f>
        <v>160</v>
      </c>
      <c r="BV11" s="252">
        <f t="shared" ref="BV11" si="17">BJ11</f>
        <v>160</v>
      </c>
      <c r="BW11" s="252">
        <f t="shared" ref="BW11" si="18">BK11</f>
        <v>140</v>
      </c>
      <c r="BX11" s="252">
        <f t="shared" ref="BX11" si="19">BL11</f>
        <v>140</v>
      </c>
      <c r="BY11" s="240"/>
      <c r="BZ11" s="139"/>
      <c r="CA11" s="139"/>
      <c r="CB11" s="139"/>
      <c r="CC11" s="346">
        <v>1500</v>
      </c>
      <c r="CD11" s="346">
        <v>1750</v>
      </c>
      <c r="CE11" s="346">
        <v>2000</v>
      </c>
      <c r="CG11" s="348"/>
      <c r="CH11" s="348"/>
      <c r="CI11" s="348"/>
      <c r="CJ11" s="348"/>
      <c r="CK11" s="348"/>
      <c r="CL11" s="348"/>
      <c r="CM11" s="348"/>
      <c r="CN11" s="348"/>
    </row>
    <row r="12" spans="1:96" ht="5.15" customHeight="1">
      <c r="C12" s="23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367"/>
      <c r="AA12" s="367"/>
      <c r="AB12" s="14"/>
      <c r="AC12" s="14"/>
      <c r="AD12" s="14"/>
      <c r="AE12" s="14"/>
      <c r="AF12" s="14"/>
      <c r="AG12" s="14"/>
      <c r="AH12" s="14"/>
      <c r="AI12" s="14"/>
      <c r="AJ12" s="241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241"/>
      <c r="BZ12" s="97"/>
      <c r="CA12" s="97"/>
      <c r="CB12" s="97"/>
      <c r="CC12" s="97"/>
      <c r="CD12" s="97"/>
      <c r="CE12" s="97"/>
      <c r="CF12" s="35"/>
      <c r="CG12" s="348"/>
      <c r="CH12" s="348"/>
      <c r="CI12" s="348"/>
      <c r="CJ12" s="348"/>
      <c r="CK12" s="348"/>
      <c r="CL12" s="348"/>
      <c r="CM12" s="348"/>
      <c r="CN12" s="348"/>
    </row>
    <row r="13" spans="1:96" s="22" customFormat="1">
      <c r="C13" s="23" t="s">
        <v>1168</v>
      </c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367"/>
      <c r="AA13" s="367"/>
      <c r="AB13" s="272">
        <f t="shared" ref="AB13:AH13" si="20">AB15/AB11</f>
        <v>2.9850746268656716E-2</v>
      </c>
      <c r="AC13" s="272">
        <f t="shared" si="20"/>
        <v>0.1</v>
      </c>
      <c r="AD13" s="272">
        <f t="shared" si="20"/>
        <v>0.20689655172413793</v>
      </c>
      <c r="AE13" s="272">
        <f t="shared" si="20"/>
        <v>5.6603773584905662E-2</v>
      </c>
      <c r="AF13" s="272">
        <f t="shared" si="20"/>
        <v>0.22222222222222221</v>
      </c>
      <c r="AG13" s="272">
        <f t="shared" si="20"/>
        <v>0.11627906976744186</v>
      </c>
      <c r="AH13" s="272">
        <f t="shared" si="20"/>
        <v>0.31578947368421051</v>
      </c>
      <c r="AI13" s="246"/>
      <c r="AJ13" s="247"/>
      <c r="AK13" s="272">
        <f>AK15/AK11</f>
        <v>0.16666666666666666</v>
      </c>
      <c r="AL13" s="272">
        <f t="shared" ref="AL13:BX13" si="21">AL15/AL11</f>
        <v>0.13043478260869565</v>
      </c>
      <c r="AM13" s="272">
        <f t="shared" si="21"/>
        <v>0.17272727272727273</v>
      </c>
      <c r="AN13" s="272">
        <f t="shared" si="21"/>
        <v>0.24545454545454545</v>
      </c>
      <c r="AO13" s="272">
        <f t="shared" si="21"/>
        <v>0.31428571428571428</v>
      </c>
      <c r="AP13" s="272">
        <f t="shared" si="21"/>
        <v>0.21814814814814817</v>
      </c>
      <c r="AQ13" s="272">
        <f t="shared" si="21"/>
        <v>0.21375</v>
      </c>
      <c r="AR13" s="272">
        <f t="shared" si="21"/>
        <v>0.18208333333333335</v>
      </c>
      <c r="AS13" s="272">
        <f t="shared" si="21"/>
        <v>0.15041666666666667</v>
      </c>
      <c r="AT13" s="272">
        <f t="shared" si="21"/>
        <v>0.18208333333333335</v>
      </c>
      <c r="AU13" s="272">
        <f t="shared" si="21"/>
        <v>0.18208333333333335</v>
      </c>
      <c r="AV13" s="272">
        <f t="shared" si="21"/>
        <v>0.18208333333333335</v>
      </c>
      <c r="AW13" s="272">
        <f t="shared" si="21"/>
        <v>0.21428571428571427</v>
      </c>
      <c r="AX13" s="272">
        <f t="shared" si="21"/>
        <v>0.21428571428571427</v>
      </c>
      <c r="AY13" s="272">
        <f t="shared" si="21"/>
        <v>0.26829268292682928</v>
      </c>
      <c r="AZ13" s="272">
        <f t="shared" si="21"/>
        <v>0.28455284552845528</v>
      </c>
      <c r="BA13" s="272">
        <f t="shared" si="21"/>
        <v>0.18141592920353983</v>
      </c>
      <c r="BB13" s="272">
        <f t="shared" si="21"/>
        <v>0.18354430379746836</v>
      </c>
      <c r="BC13" s="272">
        <f t="shared" si="21"/>
        <v>0.19285714285714287</v>
      </c>
      <c r="BD13" s="272">
        <f t="shared" si="21"/>
        <v>0.16428571428571428</v>
      </c>
      <c r="BE13" s="272">
        <f t="shared" si="21"/>
        <v>0.15</v>
      </c>
      <c r="BF13" s="272">
        <f t="shared" si="21"/>
        <v>0.17857142857142858</v>
      </c>
      <c r="BG13" s="272">
        <f t="shared" si="21"/>
        <v>0.21428571428571427</v>
      </c>
      <c r="BH13" s="272">
        <f t="shared" si="21"/>
        <v>0.18571428571428572</v>
      </c>
      <c r="BI13" s="272">
        <f t="shared" si="21"/>
        <v>0.21249999999999999</v>
      </c>
      <c r="BJ13" s="272">
        <f t="shared" si="21"/>
        <v>0.21249999999999999</v>
      </c>
      <c r="BK13" s="272">
        <f t="shared" si="21"/>
        <v>0.27142857142857141</v>
      </c>
      <c r="BL13" s="272">
        <f t="shared" si="21"/>
        <v>0.2857142857142857</v>
      </c>
      <c r="BM13" s="272">
        <f t="shared" si="21"/>
        <v>0.18076923076923077</v>
      </c>
      <c r="BN13" s="272">
        <f t="shared" si="21"/>
        <v>0.18333333333333332</v>
      </c>
      <c r="BO13" s="272">
        <f t="shared" si="21"/>
        <v>0.19375000000000001</v>
      </c>
      <c r="BP13" s="272">
        <f t="shared" si="21"/>
        <v>0.16875000000000001</v>
      </c>
      <c r="BQ13" s="272">
        <f t="shared" si="21"/>
        <v>0.15</v>
      </c>
      <c r="BR13" s="272">
        <f t="shared" si="21"/>
        <v>0.17499999999999999</v>
      </c>
      <c r="BS13" s="272">
        <f t="shared" si="21"/>
        <v>0.21249999999999999</v>
      </c>
      <c r="BT13" s="272">
        <f t="shared" si="21"/>
        <v>0.1875</v>
      </c>
      <c r="BU13" s="272">
        <f t="shared" si="21"/>
        <v>0.21249999999999999</v>
      </c>
      <c r="BV13" s="272">
        <f t="shared" si="21"/>
        <v>0.21249999999999999</v>
      </c>
      <c r="BW13" s="272">
        <f t="shared" si="21"/>
        <v>0.27142857142857141</v>
      </c>
      <c r="BX13" s="272">
        <f t="shared" si="21"/>
        <v>0.2857142857142857</v>
      </c>
      <c r="BY13" s="247"/>
      <c r="BZ13" s="248"/>
      <c r="CA13" s="248"/>
      <c r="CB13" s="248"/>
      <c r="CC13" s="347">
        <f>CC15/CC11</f>
        <v>0.2</v>
      </c>
      <c r="CD13" s="347">
        <f t="shared" ref="CD13:CE13" si="22">CD15/CD11</f>
        <v>0.2</v>
      </c>
      <c r="CE13" s="347">
        <f t="shared" si="22"/>
        <v>0.2</v>
      </c>
      <c r="CF13" s="93"/>
      <c r="CG13" s="348"/>
      <c r="CH13" s="348"/>
      <c r="CI13" s="348"/>
      <c r="CJ13" s="348"/>
      <c r="CK13" s="348"/>
      <c r="CL13" s="348"/>
      <c r="CM13" s="348"/>
      <c r="CN13" s="348"/>
      <c r="CP13" s="112"/>
      <c r="CQ13" s="112"/>
      <c r="CR13" s="112"/>
    </row>
    <row r="14" spans="1:96" ht="5.15" customHeight="1">
      <c r="C14" s="23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67"/>
      <c r="AA14" s="367"/>
      <c r="AB14" s="14"/>
      <c r="AC14" s="14"/>
      <c r="AD14" s="14"/>
      <c r="AE14" s="14"/>
      <c r="AF14" s="14"/>
      <c r="AG14" s="14"/>
      <c r="AH14" s="14"/>
      <c r="AI14" s="14"/>
      <c r="AJ14" s="241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241"/>
      <c r="BZ14" s="97"/>
      <c r="CA14" s="97"/>
      <c r="CB14" s="97"/>
      <c r="CC14" s="97"/>
      <c r="CD14" s="97"/>
      <c r="CE14" s="97"/>
      <c r="CF14" s="35"/>
      <c r="CG14" s="348"/>
      <c r="CH14" s="348"/>
      <c r="CI14" s="348"/>
      <c r="CJ14" s="348"/>
      <c r="CK14" s="348"/>
      <c r="CL14" s="348"/>
      <c r="CM14" s="348"/>
      <c r="CN14" s="348"/>
    </row>
    <row r="15" spans="1:96">
      <c r="C15" s="15" t="s">
        <v>745</v>
      </c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367"/>
      <c r="AA15" s="367"/>
      <c r="AB15" s="139">
        <f>SUMIFS(Tours!$G$3:$G$9,Tours!$F$3:$F$9,AB$9)</f>
        <v>2</v>
      </c>
      <c r="AC15" s="139">
        <f>SUMIFS(Tours!$G$3:$G$9,Tours!$F$3:$F$9,AC$9)</f>
        <v>3</v>
      </c>
      <c r="AD15" s="139">
        <f>SUMIFS(Tours!$G$3:$G$9,Tours!$F$3:$F$9,AD$9)</f>
        <v>6</v>
      </c>
      <c r="AE15" s="139">
        <f>SUMIFS(Tours!$G$3:$G$9,Tours!$F$3:$F$9,AE$9)</f>
        <v>3</v>
      </c>
      <c r="AF15" s="139">
        <f>SUMIFS(Tours!$G$3:$G$9,Tours!$F$3:$F$9,AF$9)</f>
        <v>10</v>
      </c>
      <c r="AG15" s="139">
        <f>SUMIFS(Tours!$G$3:$G$9,Tours!$F$3:$F$9,AG$9)</f>
        <v>5</v>
      </c>
      <c r="AH15" s="139">
        <f>SUMIFS(Tours!$G$3:$G$9,Tours!$F$3:$F$9,AH$9)</f>
        <v>12</v>
      </c>
      <c r="AI15" s="349">
        <v>9</v>
      </c>
      <c r="AJ15" s="240"/>
      <c r="AK15" s="355">
        <v>15</v>
      </c>
      <c r="AL15" s="355">
        <v>15</v>
      </c>
      <c r="AM15" s="355">
        <v>19</v>
      </c>
      <c r="AN15" s="394">
        <v>27</v>
      </c>
      <c r="AO15" s="394">
        <v>55</v>
      </c>
      <c r="AP15" s="394">
        <v>31</v>
      </c>
      <c r="AQ15" s="394">
        <v>27</v>
      </c>
      <c r="AR15" s="394">
        <v>23</v>
      </c>
      <c r="AS15" s="394">
        <v>19</v>
      </c>
      <c r="AT15" s="394">
        <v>23</v>
      </c>
      <c r="AU15" s="394">
        <v>23</v>
      </c>
      <c r="AV15" s="394">
        <v>23</v>
      </c>
      <c r="AW15" s="252">
        <f t="shared" ref="AW15:BC15" si="23">ROUND(SUMIFS($CC15:$CE15,$CC$1:$CE$1,AW$3)*AW$92,0)</f>
        <v>30</v>
      </c>
      <c r="AX15" s="252">
        <f t="shared" si="23"/>
        <v>30</v>
      </c>
      <c r="AY15" s="252">
        <f t="shared" si="23"/>
        <v>33</v>
      </c>
      <c r="AZ15" s="252">
        <f t="shared" si="23"/>
        <v>35</v>
      </c>
      <c r="BA15" s="252">
        <f t="shared" si="23"/>
        <v>41</v>
      </c>
      <c r="BB15" s="252">
        <f t="shared" si="23"/>
        <v>29</v>
      </c>
      <c r="BC15" s="252">
        <f t="shared" si="23"/>
        <v>27</v>
      </c>
      <c r="BD15" s="381">
        <v>23</v>
      </c>
      <c r="BE15" s="381">
        <v>21</v>
      </c>
      <c r="BF15" s="252">
        <f t="shared" ref="BF15:BP15" si="24">ROUND(SUMIFS($CC15:$CE15,$CC$1:$CE$1,BF$3)*BF$92,0)</f>
        <v>25</v>
      </c>
      <c r="BG15" s="252">
        <f t="shared" si="24"/>
        <v>30</v>
      </c>
      <c r="BH15" s="252">
        <f t="shared" si="24"/>
        <v>26</v>
      </c>
      <c r="BI15" s="252">
        <f t="shared" si="24"/>
        <v>34</v>
      </c>
      <c r="BJ15" s="252">
        <f t="shared" si="24"/>
        <v>34</v>
      </c>
      <c r="BK15" s="252">
        <f t="shared" si="24"/>
        <v>38</v>
      </c>
      <c r="BL15" s="252">
        <f t="shared" si="24"/>
        <v>40</v>
      </c>
      <c r="BM15" s="252">
        <f t="shared" si="24"/>
        <v>47</v>
      </c>
      <c r="BN15" s="252">
        <f t="shared" si="24"/>
        <v>33</v>
      </c>
      <c r="BO15" s="252">
        <f t="shared" si="24"/>
        <v>31</v>
      </c>
      <c r="BP15" s="252">
        <f t="shared" si="24"/>
        <v>27</v>
      </c>
      <c r="BQ15" s="381">
        <v>24</v>
      </c>
      <c r="BR15" s="252">
        <f>ROUND(SUMIFS($CC15:$CE15,$CC$1:$CE$1,BR$3)*BR$92,0)</f>
        <v>28</v>
      </c>
      <c r="BS15" s="252">
        <f>ROUND(SUMIFS($CC15:$CE15,$CC$1:$CE$1,BS$3)*BS$92,0)</f>
        <v>34</v>
      </c>
      <c r="BT15" s="259">
        <f>ROUND(SUMIFS($CC15:$CE15,$CC$1:$CE$1,BT$3)*BT$92,0)</f>
        <v>30</v>
      </c>
      <c r="BU15" s="252">
        <f>BI15</f>
        <v>34</v>
      </c>
      <c r="BV15" s="252">
        <f t="shared" ref="BV15" si="25">BJ15</f>
        <v>34</v>
      </c>
      <c r="BW15" s="252">
        <f t="shared" ref="BW15" si="26">BK15</f>
        <v>38</v>
      </c>
      <c r="BX15" s="252">
        <f t="shared" ref="BX15" si="27">BL15</f>
        <v>40</v>
      </c>
      <c r="BY15" s="240"/>
      <c r="BZ15" s="139"/>
      <c r="CA15" s="139"/>
      <c r="CB15" s="139"/>
      <c r="CC15" s="346">
        <v>300</v>
      </c>
      <c r="CD15" s="346">
        <v>350</v>
      </c>
      <c r="CE15" s="346">
        <v>400</v>
      </c>
      <c r="CG15" s="348"/>
      <c r="CH15" s="348"/>
      <c r="CI15" s="348"/>
      <c r="CJ15" s="348"/>
      <c r="CK15" s="348"/>
      <c r="CL15" s="348"/>
      <c r="CM15" s="348"/>
      <c r="CN15" s="348"/>
    </row>
    <row r="16" spans="1:96" ht="5.15" customHeight="1">
      <c r="C16" s="23"/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7"/>
      <c r="Q16" s="367"/>
      <c r="R16" s="367"/>
      <c r="S16" s="367"/>
      <c r="T16" s="367"/>
      <c r="U16" s="367"/>
      <c r="V16" s="367"/>
      <c r="W16" s="367"/>
      <c r="X16" s="367"/>
      <c r="Y16" s="367"/>
      <c r="Z16" s="367"/>
      <c r="AA16" s="367"/>
      <c r="AB16" s="14"/>
      <c r="AC16" s="14"/>
      <c r="AD16" s="14"/>
      <c r="AE16" s="14"/>
      <c r="AF16" s="14"/>
      <c r="AG16" s="14"/>
      <c r="AH16" s="14"/>
      <c r="AI16" s="14"/>
      <c r="AJ16" s="241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241"/>
      <c r="BZ16" s="97"/>
      <c r="CA16" s="97"/>
      <c r="CB16" s="97"/>
      <c r="CC16" s="97"/>
      <c r="CD16" s="97"/>
      <c r="CE16" s="97"/>
      <c r="CF16" s="35"/>
      <c r="CG16" s="348"/>
      <c r="CH16" s="348"/>
      <c r="CI16" s="348"/>
      <c r="CJ16" s="348"/>
      <c r="CK16" s="348"/>
      <c r="CL16" s="348"/>
      <c r="CM16" s="348"/>
      <c r="CN16" s="348"/>
    </row>
    <row r="17" spans="3:96" s="22" customFormat="1">
      <c r="C17" s="23" t="s">
        <v>744</v>
      </c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7"/>
      <c r="P17" s="367"/>
      <c r="Q17" s="367"/>
      <c r="R17" s="367"/>
      <c r="S17" s="367"/>
      <c r="T17" s="367"/>
      <c r="U17" s="367"/>
      <c r="V17" s="367"/>
      <c r="W17" s="367"/>
      <c r="X17" s="367"/>
      <c r="Y17" s="367"/>
      <c r="Z17" s="367"/>
      <c r="AA17" s="367"/>
      <c r="AB17" s="246"/>
      <c r="AC17" s="246"/>
      <c r="AD17" s="246"/>
      <c r="AE17" s="246"/>
      <c r="AF17" s="246"/>
      <c r="AG17" s="246"/>
      <c r="AH17" s="246"/>
      <c r="AI17" s="246"/>
      <c r="AJ17" s="247"/>
      <c r="AK17" s="272">
        <f>AK19/AK15</f>
        <v>0.33333333333333331</v>
      </c>
      <c r="AL17" s="272">
        <f>AL19/AL15</f>
        <v>0.33333333333333331</v>
      </c>
      <c r="AM17" s="272">
        <f t="shared" ref="AM17:AV17" si="28">AM19/AM15</f>
        <v>0.26315789473684209</v>
      </c>
      <c r="AN17" s="272">
        <f t="shared" si="28"/>
        <v>0.25925925925925924</v>
      </c>
      <c r="AO17" s="272">
        <f t="shared" si="28"/>
        <v>0.25454545454545452</v>
      </c>
      <c r="AP17" s="272">
        <f t="shared" si="28"/>
        <v>0.25806451612903225</v>
      </c>
      <c r="AQ17" s="272">
        <f t="shared" si="28"/>
        <v>0.25925925925925924</v>
      </c>
      <c r="AR17" s="272">
        <f t="shared" si="28"/>
        <v>0.2608695652173913</v>
      </c>
      <c r="AS17" s="272">
        <f t="shared" si="28"/>
        <v>0.26315789473684209</v>
      </c>
      <c r="AT17" s="272">
        <f t="shared" si="28"/>
        <v>0.2608695652173913</v>
      </c>
      <c r="AU17" s="272">
        <f t="shared" si="28"/>
        <v>0.2608695652173913</v>
      </c>
      <c r="AV17" s="272">
        <f t="shared" si="28"/>
        <v>0.2608695652173913</v>
      </c>
      <c r="AW17" s="272">
        <f t="shared" ref="AW17:BX17" si="29">AW19/AW15</f>
        <v>0.16666666666666666</v>
      </c>
      <c r="AX17" s="272">
        <f t="shared" si="29"/>
        <v>0.26666666666666666</v>
      </c>
      <c r="AY17" s="272">
        <f t="shared" si="29"/>
        <v>0.18181818181818182</v>
      </c>
      <c r="AZ17" s="272">
        <f t="shared" si="29"/>
        <v>0.25714285714285712</v>
      </c>
      <c r="BA17" s="272">
        <f t="shared" si="29"/>
        <v>0.26829268292682928</v>
      </c>
      <c r="BB17" s="272">
        <f t="shared" si="29"/>
        <v>0.31034482758620691</v>
      </c>
      <c r="BC17" s="272">
        <f t="shared" si="29"/>
        <v>0.29629629629629628</v>
      </c>
      <c r="BD17" s="272">
        <f t="shared" si="29"/>
        <v>0.30434782608695654</v>
      </c>
      <c r="BE17" s="272">
        <f t="shared" si="29"/>
        <v>0.2857142857142857</v>
      </c>
      <c r="BF17" s="272">
        <f t="shared" si="29"/>
        <v>0.28000000000000003</v>
      </c>
      <c r="BG17" s="272">
        <f t="shared" si="29"/>
        <v>0.23333333333333334</v>
      </c>
      <c r="BH17" s="272">
        <f t="shared" si="29"/>
        <v>0.26923076923076922</v>
      </c>
      <c r="BI17" s="272">
        <f t="shared" si="29"/>
        <v>0.20588235294117646</v>
      </c>
      <c r="BJ17" s="272">
        <f t="shared" si="29"/>
        <v>0.26470588235294118</v>
      </c>
      <c r="BK17" s="272">
        <f t="shared" si="29"/>
        <v>0.18421052631578946</v>
      </c>
      <c r="BL17" s="272">
        <f t="shared" si="29"/>
        <v>0.25</v>
      </c>
      <c r="BM17" s="272">
        <f t="shared" si="29"/>
        <v>0.25531914893617019</v>
      </c>
      <c r="BN17" s="272">
        <f t="shared" si="29"/>
        <v>0.30303030303030304</v>
      </c>
      <c r="BO17" s="272">
        <f t="shared" si="29"/>
        <v>0.25806451612903225</v>
      </c>
      <c r="BP17" s="272">
        <f t="shared" si="29"/>
        <v>0.29629629629629628</v>
      </c>
      <c r="BQ17" s="272">
        <f t="shared" si="29"/>
        <v>0.29166666666666669</v>
      </c>
      <c r="BR17" s="272">
        <f t="shared" si="29"/>
        <v>0.25</v>
      </c>
      <c r="BS17" s="272">
        <f t="shared" si="29"/>
        <v>0.20588235294117646</v>
      </c>
      <c r="BT17" s="272">
        <f t="shared" si="29"/>
        <v>0.26666666666666666</v>
      </c>
      <c r="BU17" s="272">
        <f t="shared" si="29"/>
        <v>0.20588235294117646</v>
      </c>
      <c r="BV17" s="272">
        <f t="shared" si="29"/>
        <v>0.26470588235294118</v>
      </c>
      <c r="BW17" s="272">
        <f t="shared" si="29"/>
        <v>0.18421052631578946</v>
      </c>
      <c r="BX17" s="272">
        <f t="shared" si="29"/>
        <v>0.25</v>
      </c>
      <c r="BY17" s="247"/>
      <c r="BZ17" s="248"/>
      <c r="CA17" s="248"/>
      <c r="CB17" s="368"/>
      <c r="CC17" s="347">
        <f>CC19/CC15</f>
        <v>0.26666666666666666</v>
      </c>
      <c r="CD17" s="347">
        <f t="shared" ref="CD17:CE17" si="30">CD19/CD15</f>
        <v>0.25714285714285712</v>
      </c>
      <c r="CE17" s="347">
        <f t="shared" si="30"/>
        <v>0.25</v>
      </c>
      <c r="CF17" s="93"/>
      <c r="CG17" s="348"/>
      <c r="CH17" s="348"/>
      <c r="CI17" s="348"/>
      <c r="CJ17" s="348"/>
      <c r="CK17" s="348"/>
      <c r="CL17" s="348"/>
      <c r="CM17" s="348"/>
      <c r="CN17" s="348"/>
      <c r="CP17" s="112"/>
      <c r="CQ17" s="112"/>
      <c r="CR17" s="112"/>
    </row>
    <row r="18" spans="3:96" ht="5.15" customHeight="1">
      <c r="C18" s="2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241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241"/>
      <c r="BZ18" s="97"/>
      <c r="CA18" s="97"/>
      <c r="CB18" s="97"/>
      <c r="CC18" s="97"/>
      <c r="CD18" s="97"/>
      <c r="CE18" s="97"/>
      <c r="CF18" s="35"/>
      <c r="CG18" s="348"/>
      <c r="CH18" s="348"/>
      <c r="CI18" s="348"/>
      <c r="CJ18" s="348"/>
      <c r="CK18" s="348"/>
      <c r="CL18" s="348"/>
      <c r="CM18" s="348"/>
      <c r="CN18" s="348"/>
    </row>
    <row r="19" spans="3:96">
      <c r="C19" s="15" t="s">
        <v>469</v>
      </c>
      <c r="D19" s="139">
        <v>0</v>
      </c>
      <c r="E19" s="139">
        <v>0</v>
      </c>
      <c r="F19" s="139">
        <v>0</v>
      </c>
      <c r="G19" s="139">
        <v>0</v>
      </c>
      <c r="H19" s="139">
        <v>0</v>
      </c>
      <c r="I19" s="139">
        <v>0</v>
      </c>
      <c r="J19" s="139">
        <v>0</v>
      </c>
      <c r="K19" s="139">
        <v>0</v>
      </c>
      <c r="L19" s="139">
        <v>0</v>
      </c>
      <c r="M19" s="139">
        <v>0</v>
      </c>
      <c r="N19" s="139">
        <v>0</v>
      </c>
      <c r="O19" s="139">
        <v>0</v>
      </c>
      <c r="P19" s="139">
        <v>0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0</v>
      </c>
      <c r="W19" s="139">
        <v>0</v>
      </c>
      <c r="X19" s="139">
        <v>0</v>
      </c>
      <c r="Y19" s="139">
        <v>0</v>
      </c>
      <c r="Z19" s="139">
        <v>0</v>
      </c>
      <c r="AA19" s="139">
        <v>0</v>
      </c>
      <c r="AB19" s="139">
        <v>0</v>
      </c>
      <c r="AC19" s="139">
        <v>0</v>
      </c>
      <c r="AD19" s="139">
        <v>0</v>
      </c>
      <c r="AE19" s="139">
        <v>0</v>
      </c>
      <c r="AF19" s="139">
        <v>0</v>
      </c>
      <c r="AG19" s="139">
        <v>0</v>
      </c>
      <c r="AH19" s="139">
        <v>0</v>
      </c>
      <c r="AI19" s="349">
        <v>5</v>
      </c>
      <c r="AJ19" s="240"/>
      <c r="AK19" s="355">
        <v>5</v>
      </c>
      <c r="AL19" s="355">
        <v>5</v>
      </c>
      <c r="AM19" s="355">
        <v>5</v>
      </c>
      <c r="AN19" s="355">
        <v>7</v>
      </c>
      <c r="AO19" s="355">
        <v>14</v>
      </c>
      <c r="AP19" s="355">
        <v>8</v>
      </c>
      <c r="AQ19" s="355">
        <v>7</v>
      </c>
      <c r="AR19" s="355">
        <v>6</v>
      </c>
      <c r="AS19" s="355">
        <v>5</v>
      </c>
      <c r="AT19" s="355">
        <v>6</v>
      </c>
      <c r="AU19" s="355">
        <v>6</v>
      </c>
      <c r="AV19" s="355">
        <v>6</v>
      </c>
      <c r="AW19" s="381">
        <v>5</v>
      </c>
      <c r="AX19" s="252">
        <f t="shared" ref="AX19:BP19" si="31">ROUND(SUMIFS($CC19:$CE19,$CC$1:$CE$1,AX$3)*AX$93,0)</f>
        <v>8</v>
      </c>
      <c r="AY19" s="252">
        <f t="shared" si="31"/>
        <v>6</v>
      </c>
      <c r="AZ19" s="252">
        <f t="shared" si="31"/>
        <v>9</v>
      </c>
      <c r="BA19" s="252">
        <f t="shared" si="31"/>
        <v>11</v>
      </c>
      <c r="BB19" s="252">
        <f t="shared" si="31"/>
        <v>9</v>
      </c>
      <c r="BC19" s="252">
        <f t="shared" si="31"/>
        <v>8</v>
      </c>
      <c r="BD19" s="252">
        <f t="shared" si="31"/>
        <v>7</v>
      </c>
      <c r="BE19" s="252">
        <f t="shared" si="31"/>
        <v>6</v>
      </c>
      <c r="BF19" s="252">
        <f t="shared" si="31"/>
        <v>7</v>
      </c>
      <c r="BG19" s="252">
        <f t="shared" si="31"/>
        <v>7</v>
      </c>
      <c r="BH19" s="252">
        <f t="shared" si="31"/>
        <v>7</v>
      </c>
      <c r="BI19" s="252">
        <f t="shared" si="31"/>
        <v>7</v>
      </c>
      <c r="BJ19" s="252">
        <f t="shared" si="31"/>
        <v>9</v>
      </c>
      <c r="BK19" s="252">
        <f t="shared" si="31"/>
        <v>7</v>
      </c>
      <c r="BL19" s="252">
        <f t="shared" si="31"/>
        <v>10</v>
      </c>
      <c r="BM19" s="252">
        <f t="shared" si="31"/>
        <v>12</v>
      </c>
      <c r="BN19" s="252">
        <f t="shared" si="31"/>
        <v>10</v>
      </c>
      <c r="BO19" s="252">
        <f t="shared" si="31"/>
        <v>8</v>
      </c>
      <c r="BP19" s="252">
        <f t="shared" si="31"/>
        <v>8</v>
      </c>
      <c r="BQ19" s="381">
        <v>7</v>
      </c>
      <c r="BR19" s="252">
        <f>ROUND(SUMIFS($CC19:$CE19,$CC$1:$CE$1,BR$3)*BR$93,0)</f>
        <v>7</v>
      </c>
      <c r="BS19" s="252">
        <f>ROUND(SUMIFS($CC19:$CE19,$CC$1:$CE$1,BS$3)*BS$93,0)</f>
        <v>7</v>
      </c>
      <c r="BT19" s="259">
        <f>ROUND(SUMIFS($CC19:$CE19,$CC$1:$CE$1,BT$3)*BT$93,0)</f>
        <v>8</v>
      </c>
      <c r="BU19" s="252">
        <f>BI19</f>
        <v>7</v>
      </c>
      <c r="BV19" s="252">
        <f t="shared" ref="BV19" si="32">BJ19</f>
        <v>9</v>
      </c>
      <c r="BW19" s="252">
        <f t="shared" ref="BW19" si="33">BK19</f>
        <v>7</v>
      </c>
      <c r="BX19" s="252">
        <f t="shared" ref="BX19" si="34">BL19</f>
        <v>10</v>
      </c>
      <c r="BY19" s="240"/>
      <c r="BZ19" s="139"/>
      <c r="CA19" s="139"/>
      <c r="CB19" s="139"/>
      <c r="CC19" s="346">
        <v>80</v>
      </c>
      <c r="CD19" s="346">
        <v>90</v>
      </c>
      <c r="CE19" s="346">
        <v>100</v>
      </c>
      <c r="CG19" s="348"/>
      <c r="CH19" s="348"/>
      <c r="CI19" s="348"/>
      <c r="CJ19" s="348"/>
      <c r="CK19" s="348"/>
      <c r="CL19" s="348"/>
      <c r="CM19" s="348"/>
      <c r="CN19" s="348"/>
    </row>
    <row r="20" spans="3:96" ht="5.15" customHeight="1">
      <c r="C20" s="2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241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241"/>
      <c r="BZ20" s="97"/>
      <c r="CA20" s="97"/>
      <c r="CB20" s="97"/>
      <c r="CC20" s="97"/>
      <c r="CD20" s="97"/>
      <c r="CE20" s="97"/>
      <c r="CF20" s="35"/>
      <c r="CG20" s="348"/>
      <c r="CH20" s="348"/>
      <c r="CI20" s="348"/>
      <c r="CJ20" s="348"/>
      <c r="CK20" s="348"/>
      <c r="CL20" s="348"/>
      <c r="CM20" s="348"/>
      <c r="CN20" s="348"/>
    </row>
    <row r="21" spans="3:96">
      <c r="C21" s="4" t="s">
        <v>470</v>
      </c>
      <c r="D21" s="14">
        <f>SUMIFS('Events Summary'!$P:$P,'Events Summary'!$C:$C,D$9)</f>
        <v>0</v>
      </c>
      <c r="E21" s="14">
        <f>SUMIFS('Events Summary'!$P:$P,'Events Summary'!$C:$C,E$9)</f>
        <v>3</v>
      </c>
      <c r="F21" s="14">
        <f>SUMIFS('Events Summary'!$P:$P,'Events Summary'!$C:$C,F$9)</f>
        <v>5</v>
      </c>
      <c r="G21" s="14">
        <f>SUMIFS('Events Summary'!$P:$P,'Events Summary'!$C:$C,G$9)</f>
        <v>4</v>
      </c>
      <c r="H21" s="14">
        <f>SUMIFS('Events Summary'!$P:$P,'Events Summary'!$C:$C,H$9)</f>
        <v>8</v>
      </c>
      <c r="I21" s="14">
        <f>SUMIFS('Events Summary'!$P:$P,'Events Summary'!$C:$C,I$9)</f>
        <v>6</v>
      </c>
      <c r="J21" s="14">
        <f>SUMIFS('Events Summary'!$P:$P,'Events Summary'!$C:$C,J$9)</f>
        <v>1</v>
      </c>
      <c r="K21" s="14">
        <f>SUMIFS('Events Summary'!$P:$P,'Events Summary'!$C:$C,K$9)</f>
        <v>0</v>
      </c>
      <c r="L21" s="14">
        <f>SUMIFS('Events Summary'!$P:$P,'Events Summary'!$C:$C,L$9)</f>
        <v>2</v>
      </c>
      <c r="M21" s="14">
        <f>SUMIFS('Events Summary'!$P:$P,'Events Summary'!$C:$C,M$9)</f>
        <v>6</v>
      </c>
      <c r="N21" s="14">
        <f>SUMIFS('Events Summary'!$P:$P,'Events Summary'!$C:$C,N$9)</f>
        <v>1</v>
      </c>
      <c r="O21" s="14">
        <f>SUMIFS('Events Summary'!$P:$P,'Events Summary'!$C:$C,O$9)</f>
        <v>6</v>
      </c>
      <c r="P21" s="14">
        <f>SUMIFS('Events Summary'!$P:$P,'Events Summary'!$C:$C,P$9)</f>
        <v>0</v>
      </c>
      <c r="Q21" s="14">
        <f>SUMIFS('Events Summary'!$P:$P,'Events Summary'!$C:$C,Q$9)</f>
        <v>1</v>
      </c>
      <c r="R21" s="14">
        <f>SUMIFS('Events Summary'!$P:$P,'Events Summary'!$C:$C,R$9)</f>
        <v>6</v>
      </c>
      <c r="S21" s="14">
        <f>SUMIFS('Events Summary'!$P:$P,'Events Summary'!$C:$C,S$9)</f>
        <v>5</v>
      </c>
      <c r="T21" s="14">
        <f>SUMIFS('Events Summary'!$P:$P,'Events Summary'!$C:$C,T$9)</f>
        <v>12</v>
      </c>
      <c r="U21" s="14">
        <f>SUMIFS('Events Summary'!$P:$P,'Events Summary'!$C:$C,U$9)</f>
        <v>5</v>
      </c>
      <c r="V21" s="14">
        <f>SUMIFS('Events Summary'!$P:$P,'Events Summary'!$C:$C,V$9)</f>
        <v>3</v>
      </c>
      <c r="W21" s="14">
        <f>SUMIFS('Events Summary'!$P:$P,'Events Summary'!$C:$C,W$9)</f>
        <v>2</v>
      </c>
      <c r="X21" s="14">
        <f>SUMIFS('Events Summary'!$P:$P,'Events Summary'!$C:$C,X$9)</f>
        <v>2</v>
      </c>
      <c r="Y21" s="14">
        <f>SUMIFS('Events Summary'!$P:$P,'Events Summary'!$C:$C,Y$9)</f>
        <v>4</v>
      </c>
      <c r="Z21" s="14">
        <f>SUMIFS('Events Summary'!$P:$P,'Events Summary'!$C:$C,Z$9)</f>
        <v>3</v>
      </c>
      <c r="AA21" s="14">
        <f>SUMIFS('Events Summary'!$P:$P,'Events Summary'!$C:$C,AA$9)</f>
        <v>0</v>
      </c>
      <c r="AB21" s="14">
        <f>SUMIFS('Events Summary'!$P:$P,'Events Summary'!$C:$C,AB$9)</f>
        <v>1</v>
      </c>
      <c r="AC21" s="14">
        <f>SUMIFS('Events Summary'!$P:$P,'Events Summary'!$C:$C,AC$9)</f>
        <v>1</v>
      </c>
      <c r="AD21" s="14">
        <f>SUMIFS('Events Summary'!$P:$P,'Events Summary'!$C:$C,AD$9)</f>
        <v>4</v>
      </c>
      <c r="AE21" s="14">
        <f>SUMIFS('Events Summary'!$P:$P,'Events Summary'!$C:$C,AE$9)</f>
        <v>5</v>
      </c>
      <c r="AF21" s="14">
        <f>SUMIFS('Events Summary'!$P:$P,'Events Summary'!$C:$C,AF$9)</f>
        <v>9</v>
      </c>
      <c r="AG21" s="14">
        <f>SUMIFS('Events Summary'!$P:$P,'Events Summary'!$C:$C,AG$9)</f>
        <v>6</v>
      </c>
      <c r="AH21" s="14">
        <f>SUMIFS('Events Summary'!$P:$P,'Events Summary'!$C:$C,AH$9)</f>
        <v>2</v>
      </c>
      <c r="AI21" s="14">
        <f>SUMIFS('Events Summary'!$P:$P,'Events Summary'!$C:$C,AI$9)</f>
        <v>7</v>
      </c>
      <c r="AJ21" s="241"/>
      <c r="AK21" s="14">
        <f>SUMIFS('Events Summary'!$P:$P,'Events Summary'!$C:$C,AK$9)</f>
        <v>6</v>
      </c>
      <c r="AL21" s="14">
        <f>SUMIFS('Events Summary'!$P:$P,'Events Summary'!$C:$C,AL$9)</f>
        <v>6</v>
      </c>
      <c r="AM21" s="14">
        <f>SUMIFS('Events Summary'!$P:$P,'Events Summary'!$C:$C,AM$9)</f>
        <v>2</v>
      </c>
      <c r="AN21" s="14">
        <f>SUMIFS('Events Summary'!$P:$P,'Events Summary'!$C:$C,AN$9)</f>
        <v>0</v>
      </c>
      <c r="AO21" s="14">
        <f>SUMIFS('Events Summary'!$P:$P,'Events Summary'!$C:$C,AO$9)</f>
        <v>0</v>
      </c>
      <c r="AP21" s="14">
        <f>SUMIFS('Events Summary'!$P:$P,'Events Summary'!$C:$C,AP$9)</f>
        <v>0</v>
      </c>
      <c r="AQ21" s="14">
        <f>SUMIFS('Events Summary'!$P:$P,'Events Summary'!$C:$C,AQ$9)</f>
        <v>1</v>
      </c>
      <c r="AR21" s="14">
        <f>SUMIFS('Events Summary'!$P:$P,'Events Summary'!$C:$C,AR$9)</f>
        <v>2</v>
      </c>
      <c r="AS21" s="14">
        <f>SUMIFS('Events Summary'!$P:$P,'Events Summary'!$C:$C,AS$9)</f>
        <v>4</v>
      </c>
      <c r="AT21" s="14">
        <f>SUMIFS('Events Summary'!$P:$P,'Events Summary'!$C:$C,AT$9)</f>
        <v>3</v>
      </c>
      <c r="AU21" s="14">
        <f>SUMIFS('Events Summary'!$P:$P,'Events Summary'!$C:$C,AU$9)</f>
        <v>0</v>
      </c>
      <c r="AV21" s="14">
        <f>SUMIFS('Events Summary'!$P:$P,'Events Summary'!$C:$C,AV$9)</f>
        <v>0</v>
      </c>
      <c r="AW21" s="14">
        <f>SUMIFS('Events Summary'!$P:$P,'Events Summary'!$C:$C,AW$9)</f>
        <v>0</v>
      </c>
      <c r="AX21" s="14">
        <f>SUMIFS('Events Summary'!$P:$P,'Events Summary'!$C:$C,AX$9)</f>
        <v>1</v>
      </c>
      <c r="AY21" s="14">
        <f>SUMIFS('Events Summary'!$P:$P,'Events Summary'!$C:$C,AY$9)</f>
        <v>0</v>
      </c>
      <c r="AZ21" s="14">
        <f>SUMIFS('Events Summary'!$P:$P,'Events Summary'!$C:$C,AZ$9)</f>
        <v>0</v>
      </c>
      <c r="BA21" s="14">
        <f>SUMIFS('Events Summary'!$P:$P,'Events Summary'!$C:$C,BA$9)</f>
        <v>0</v>
      </c>
      <c r="BB21" s="14">
        <f>SUMIFS('Events Summary'!$P:$P,'Events Summary'!$C:$C,BB$9)</f>
        <v>0</v>
      </c>
      <c r="BC21" s="14">
        <f>SUMIFS('Events Summary'!$P:$P,'Events Summary'!$C:$C,BC$9)</f>
        <v>0</v>
      </c>
      <c r="BD21" s="14">
        <f>SUMIFS('Events Summary'!$P:$P,'Events Summary'!$C:$C,BD$9)</f>
        <v>0</v>
      </c>
      <c r="BE21" s="14">
        <f>SUMIFS('Events Summary'!$P:$P,'Events Summary'!$C:$C,BE$9)</f>
        <v>0</v>
      </c>
      <c r="BF21" s="14">
        <f>SUMIFS('Events Summary'!$P:$P,'Events Summary'!$C:$C,BF$9)</f>
        <v>0</v>
      </c>
      <c r="BG21" s="14">
        <f>SUMIFS('Events Summary'!$P:$P,'Events Summary'!$C:$C,BG$9)</f>
        <v>0</v>
      </c>
      <c r="BH21" s="14">
        <f>SUMIFS('Events Summary'!$P:$P,'Events Summary'!$C:$C,BH$9)</f>
        <v>0</v>
      </c>
      <c r="BI21" s="14">
        <f>SUMIFS('Events Summary'!$P:$P,'Events Summary'!$C:$C,BI$9)</f>
        <v>0</v>
      </c>
      <c r="BJ21" s="14">
        <f>SUMIFS('Events Summary'!$P:$P,'Events Summary'!$C:$C,BJ$9)</f>
        <v>0</v>
      </c>
      <c r="BK21" s="14">
        <f>SUMIFS('Events Summary'!$P:$P,'Events Summary'!$C:$C,BK$9)</f>
        <v>0</v>
      </c>
      <c r="BL21" s="14">
        <f>SUMIFS('Events Summary'!$P:$P,'Events Summary'!$C:$C,BL$9)</f>
        <v>0</v>
      </c>
      <c r="BM21" s="14">
        <f>SUMIFS('Events Summary'!$P:$P,'Events Summary'!$C:$C,BM$9)</f>
        <v>0</v>
      </c>
      <c r="BN21" s="14">
        <f>SUMIFS('Events Summary'!$P:$P,'Events Summary'!$C:$C,BN$9)</f>
        <v>0</v>
      </c>
      <c r="BO21" s="14">
        <f>SUMIFS('Events Summary'!$P:$P,'Events Summary'!$C:$C,BO$9)</f>
        <v>0</v>
      </c>
      <c r="BP21" s="14">
        <f>SUMIFS('Events Summary'!$P:$P,'Events Summary'!$C:$C,BP$9)</f>
        <v>0</v>
      </c>
      <c r="BQ21" s="14">
        <f>SUMIFS('Events Summary'!$P:$P,'Events Summary'!$C:$C,BQ$9)</f>
        <v>0</v>
      </c>
      <c r="BR21" s="14">
        <f>SUMIFS('Events Summary'!$P:$P,'Events Summary'!$C:$C,BR$9)</f>
        <v>0</v>
      </c>
      <c r="BS21" s="14">
        <f>SUMIFS('Events Summary'!$P:$P,'Events Summary'!$C:$C,BS$9)</f>
        <v>0</v>
      </c>
      <c r="BT21" s="14">
        <f>SUMIFS('Events Summary'!$P:$P,'Events Summary'!$C:$C,BT$9)</f>
        <v>0</v>
      </c>
      <c r="BU21" s="14">
        <f>SUMIFS('Events Summary'!$P:$P,'Events Summary'!$C:$C,BU$9)</f>
        <v>0</v>
      </c>
      <c r="BV21" s="14">
        <f>SUMIFS('Events Summary'!$P:$P,'Events Summary'!$C:$C,BV$9)</f>
        <v>0</v>
      </c>
      <c r="BW21" s="14">
        <f>SUMIFS('Events Summary'!$P:$P,'Events Summary'!$C:$C,BW$9)</f>
        <v>0</v>
      </c>
      <c r="BX21" s="14">
        <f>SUMIFS('Events Summary'!$P:$P,'Events Summary'!$C:$C,BX$9)</f>
        <v>0</v>
      </c>
      <c r="BY21" s="241"/>
      <c r="BZ21" s="14">
        <f>'Revenue Analysis'!D11</f>
        <v>42</v>
      </c>
      <c r="CA21" s="14">
        <f>'Revenue Analysis'!E11</f>
        <v>43</v>
      </c>
      <c r="CB21" s="14">
        <f>'Revenue Analysis'!F11</f>
        <v>39</v>
      </c>
      <c r="CC21" s="14">
        <f>'Revenue Analysis'!G11</f>
        <v>24</v>
      </c>
      <c r="CD21" s="14">
        <f>'Revenue Analysis'!H11</f>
        <v>1</v>
      </c>
      <c r="CE21" s="14">
        <f>'Revenue Analysis'!I11</f>
        <v>0</v>
      </c>
      <c r="CG21" s="348"/>
      <c r="CH21" s="348"/>
      <c r="CI21" s="348"/>
      <c r="CJ21" s="348"/>
      <c r="CK21" s="348"/>
      <c r="CL21" s="348"/>
      <c r="CM21" s="348"/>
      <c r="CN21" s="348"/>
    </row>
    <row r="22" spans="3:96">
      <c r="C22" s="4" t="s">
        <v>286</v>
      </c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41"/>
      <c r="AK22" s="355">
        <v>0</v>
      </c>
      <c r="AL22" s="355">
        <v>0</v>
      </c>
      <c r="AM22" s="355">
        <v>0</v>
      </c>
      <c r="AN22" s="355">
        <v>2</v>
      </c>
      <c r="AO22" s="355">
        <v>0</v>
      </c>
      <c r="AP22" s="355">
        <v>0</v>
      </c>
      <c r="AQ22" s="355">
        <v>0</v>
      </c>
      <c r="AR22" s="355">
        <v>2</v>
      </c>
      <c r="AS22" s="355">
        <v>4</v>
      </c>
      <c r="AT22" s="355">
        <v>2</v>
      </c>
      <c r="AU22" s="355">
        <v>2</v>
      </c>
      <c r="AV22" s="355">
        <v>4</v>
      </c>
      <c r="AW22" s="32">
        <f t="shared" ref="AW22:BX22" si="35">AW23-AW21</f>
        <v>6</v>
      </c>
      <c r="AX22" s="32">
        <f t="shared" si="35"/>
        <v>6</v>
      </c>
      <c r="AY22" s="32">
        <f t="shared" si="35"/>
        <v>6</v>
      </c>
      <c r="AZ22" s="32">
        <f t="shared" si="35"/>
        <v>5</v>
      </c>
      <c r="BA22" s="32">
        <f t="shared" si="35"/>
        <v>3</v>
      </c>
      <c r="BB22" s="32">
        <f t="shared" si="35"/>
        <v>4</v>
      </c>
      <c r="BC22" s="32">
        <f t="shared" si="35"/>
        <v>5</v>
      </c>
      <c r="BD22" s="32">
        <f t="shared" si="35"/>
        <v>5</v>
      </c>
      <c r="BE22" s="32">
        <f t="shared" si="35"/>
        <v>8</v>
      </c>
      <c r="BF22" s="32">
        <f t="shared" si="35"/>
        <v>6</v>
      </c>
      <c r="BG22" s="32">
        <f t="shared" si="35"/>
        <v>5</v>
      </c>
      <c r="BH22" s="32">
        <f t="shared" si="35"/>
        <v>5</v>
      </c>
      <c r="BI22" s="32">
        <f t="shared" si="35"/>
        <v>8</v>
      </c>
      <c r="BJ22" s="32">
        <f t="shared" si="35"/>
        <v>9</v>
      </c>
      <c r="BK22" s="32">
        <f t="shared" si="35"/>
        <v>8</v>
      </c>
      <c r="BL22" s="32">
        <f t="shared" si="35"/>
        <v>6</v>
      </c>
      <c r="BM22" s="32">
        <f t="shared" si="35"/>
        <v>4</v>
      </c>
      <c r="BN22" s="32">
        <f t="shared" si="35"/>
        <v>5</v>
      </c>
      <c r="BO22" s="32">
        <f t="shared" si="35"/>
        <v>6</v>
      </c>
      <c r="BP22" s="32">
        <f t="shared" si="35"/>
        <v>6</v>
      </c>
      <c r="BQ22" s="32">
        <f t="shared" si="35"/>
        <v>8</v>
      </c>
      <c r="BR22" s="32">
        <f t="shared" si="35"/>
        <v>8</v>
      </c>
      <c r="BS22" s="32">
        <f t="shared" si="35"/>
        <v>6</v>
      </c>
      <c r="BT22" s="32">
        <f t="shared" si="35"/>
        <v>6</v>
      </c>
      <c r="BU22" s="32">
        <f t="shared" si="35"/>
        <v>8</v>
      </c>
      <c r="BV22" s="32">
        <f t="shared" si="35"/>
        <v>9</v>
      </c>
      <c r="BW22" s="32">
        <f t="shared" si="35"/>
        <v>8</v>
      </c>
      <c r="BX22" s="32">
        <f t="shared" si="35"/>
        <v>6</v>
      </c>
      <c r="BY22" s="241"/>
      <c r="BZ22" s="14">
        <f>'Revenue Analysis'!D12</f>
        <v>0</v>
      </c>
      <c r="CA22" s="14">
        <f>'Revenue Analysis'!E12</f>
        <v>0</v>
      </c>
      <c r="CB22" s="14">
        <f>'Revenue Analysis'!F12</f>
        <v>0</v>
      </c>
      <c r="CC22" s="14">
        <f>'Revenue Analysis'!G12</f>
        <v>16</v>
      </c>
      <c r="CD22" s="14">
        <f>'Revenue Analysis'!H12</f>
        <v>64</v>
      </c>
      <c r="CE22" s="14">
        <f>'Revenue Analysis'!I12</f>
        <v>80</v>
      </c>
      <c r="CG22" s="348"/>
      <c r="CH22" s="348"/>
      <c r="CI22" s="348"/>
      <c r="CJ22" s="348"/>
      <c r="CK22" s="348"/>
      <c r="CL22" s="348"/>
      <c r="CM22" s="348"/>
      <c r="CN22" s="348"/>
    </row>
    <row r="23" spans="3:96">
      <c r="C23" s="15" t="s">
        <v>222</v>
      </c>
      <c r="D23" s="252">
        <f>SUM(D21:D22)</f>
        <v>0</v>
      </c>
      <c r="E23" s="252">
        <f t="shared" ref="E23" si="36">SUM(E21:E22)</f>
        <v>3</v>
      </c>
      <c r="F23" s="252">
        <f t="shared" ref="F23" si="37">SUM(F21:F22)</f>
        <v>5</v>
      </c>
      <c r="G23" s="252">
        <f t="shared" ref="G23" si="38">SUM(G21:G22)</f>
        <v>4</v>
      </c>
      <c r="H23" s="252">
        <f t="shared" ref="H23" si="39">SUM(H21:H22)</f>
        <v>8</v>
      </c>
      <c r="I23" s="252">
        <f t="shared" ref="I23" si="40">SUM(I21:I22)</f>
        <v>6</v>
      </c>
      <c r="J23" s="252">
        <f t="shared" ref="J23" si="41">SUM(J21:J22)</f>
        <v>1</v>
      </c>
      <c r="K23" s="252">
        <f t="shared" ref="K23" si="42">SUM(K21:K22)</f>
        <v>0</v>
      </c>
      <c r="L23" s="252">
        <f t="shared" ref="L23" si="43">SUM(L21:L22)</f>
        <v>2</v>
      </c>
      <c r="M23" s="252">
        <f t="shared" ref="M23" si="44">SUM(M21:M22)</f>
        <v>6</v>
      </c>
      <c r="N23" s="252">
        <f t="shared" ref="N23" si="45">SUM(N21:N22)</f>
        <v>1</v>
      </c>
      <c r="O23" s="252">
        <f t="shared" ref="O23" si="46">SUM(O21:O22)</f>
        <v>6</v>
      </c>
      <c r="P23" s="252">
        <f>SUM(P21:P22)</f>
        <v>0</v>
      </c>
      <c r="Q23" s="252">
        <f t="shared" ref="Q23:AF23" si="47">SUM(Q21:Q22)</f>
        <v>1</v>
      </c>
      <c r="R23" s="252">
        <f t="shared" si="47"/>
        <v>6</v>
      </c>
      <c r="S23" s="252">
        <f t="shared" si="47"/>
        <v>5</v>
      </c>
      <c r="T23" s="252">
        <f t="shared" si="47"/>
        <v>12</v>
      </c>
      <c r="U23" s="252">
        <f t="shared" si="47"/>
        <v>5</v>
      </c>
      <c r="V23" s="252">
        <f t="shared" si="47"/>
        <v>3</v>
      </c>
      <c r="W23" s="252">
        <f t="shared" si="47"/>
        <v>2</v>
      </c>
      <c r="X23" s="252">
        <f t="shared" si="47"/>
        <v>2</v>
      </c>
      <c r="Y23" s="252">
        <f t="shared" si="47"/>
        <v>4</v>
      </c>
      <c r="Z23" s="252">
        <f t="shared" si="47"/>
        <v>3</v>
      </c>
      <c r="AA23" s="252">
        <f t="shared" si="47"/>
        <v>0</v>
      </c>
      <c r="AB23" s="252">
        <f t="shared" si="47"/>
        <v>1</v>
      </c>
      <c r="AC23" s="252">
        <f t="shared" si="47"/>
        <v>1</v>
      </c>
      <c r="AD23" s="252">
        <f t="shared" si="47"/>
        <v>4</v>
      </c>
      <c r="AE23" s="252">
        <f t="shared" si="47"/>
        <v>5</v>
      </c>
      <c r="AF23" s="252">
        <f t="shared" si="47"/>
        <v>9</v>
      </c>
      <c r="AG23" s="252">
        <f t="shared" ref="AG23:AI23" si="48">SUM(AG21:AG22)</f>
        <v>6</v>
      </c>
      <c r="AH23" s="252">
        <f t="shared" si="48"/>
        <v>2</v>
      </c>
      <c r="AI23" s="252">
        <f t="shared" si="48"/>
        <v>7</v>
      </c>
      <c r="AJ23" s="240"/>
      <c r="AK23" s="252">
        <f>AK21+AK22</f>
        <v>6</v>
      </c>
      <c r="AL23" s="252">
        <f t="shared" ref="AL23:AP23" si="49">AL21+AL22</f>
        <v>6</v>
      </c>
      <c r="AM23" s="252">
        <f t="shared" si="49"/>
        <v>2</v>
      </c>
      <c r="AN23" s="252">
        <f t="shared" si="49"/>
        <v>2</v>
      </c>
      <c r="AO23" s="252">
        <f t="shared" si="49"/>
        <v>0</v>
      </c>
      <c r="AP23" s="259">
        <f t="shared" si="49"/>
        <v>0</v>
      </c>
      <c r="AQ23" s="252">
        <f>SUM(AQ21:AQ22)</f>
        <v>1</v>
      </c>
      <c r="AR23" s="252">
        <f t="shared" ref="AR23:AV23" si="50">SUM(AR21:AR22)</f>
        <v>4</v>
      </c>
      <c r="AS23" s="252">
        <f t="shared" si="50"/>
        <v>8</v>
      </c>
      <c r="AT23" s="252">
        <f t="shared" si="50"/>
        <v>5</v>
      </c>
      <c r="AU23" s="252">
        <f t="shared" si="50"/>
        <v>2</v>
      </c>
      <c r="AV23" s="259">
        <f t="shared" si="50"/>
        <v>4</v>
      </c>
      <c r="AW23" s="252">
        <f t="shared" ref="AW23:BD23" si="51">ROUND(AW$94*SUMIFS($CC23:$CE23,$CC$1:$CE$1,AW$3),0)</f>
        <v>6</v>
      </c>
      <c r="AX23" s="252">
        <f t="shared" si="51"/>
        <v>7</v>
      </c>
      <c r="AY23" s="252">
        <f t="shared" si="51"/>
        <v>6</v>
      </c>
      <c r="AZ23" s="252">
        <f t="shared" si="51"/>
        <v>5</v>
      </c>
      <c r="BA23" s="252">
        <f t="shared" si="51"/>
        <v>3</v>
      </c>
      <c r="BB23" s="252">
        <f t="shared" si="51"/>
        <v>4</v>
      </c>
      <c r="BC23" s="252">
        <f t="shared" si="51"/>
        <v>5</v>
      </c>
      <c r="BD23" s="252">
        <f t="shared" si="51"/>
        <v>5</v>
      </c>
      <c r="BE23" s="381">
        <v>8</v>
      </c>
      <c r="BF23" s="252">
        <f t="shared" ref="BF23:BP23" si="52">ROUND(BF$94*SUMIFS($CC23:$CE23,$CC$1:$CE$1,BF$3),0)</f>
        <v>6</v>
      </c>
      <c r="BG23" s="252">
        <f t="shared" si="52"/>
        <v>5</v>
      </c>
      <c r="BH23" s="252">
        <f t="shared" si="52"/>
        <v>5</v>
      </c>
      <c r="BI23" s="252">
        <f t="shared" si="52"/>
        <v>8</v>
      </c>
      <c r="BJ23" s="252">
        <f t="shared" si="52"/>
        <v>9</v>
      </c>
      <c r="BK23" s="252">
        <f t="shared" si="52"/>
        <v>8</v>
      </c>
      <c r="BL23" s="252">
        <f t="shared" si="52"/>
        <v>6</v>
      </c>
      <c r="BM23" s="252">
        <f t="shared" si="52"/>
        <v>4</v>
      </c>
      <c r="BN23" s="252">
        <f t="shared" si="52"/>
        <v>5</v>
      </c>
      <c r="BO23" s="252">
        <f t="shared" si="52"/>
        <v>6</v>
      </c>
      <c r="BP23" s="252">
        <f t="shared" si="52"/>
        <v>6</v>
      </c>
      <c r="BQ23" s="381">
        <v>8</v>
      </c>
      <c r="BR23" s="252">
        <f>ROUND(BR$94*SUMIFS($CC23:$CE23,$CC$1:$CE$1,BR$3),0)</f>
        <v>8</v>
      </c>
      <c r="BS23" s="252">
        <f>ROUND(BS$94*SUMIFS($CC23:$CE23,$CC$1:$CE$1,BS$3),0)</f>
        <v>6</v>
      </c>
      <c r="BT23" s="259">
        <f>ROUND(BT$94*SUMIFS($CC23:$CE23,$CC$1:$CE$1,BT$3),0)</f>
        <v>6</v>
      </c>
      <c r="BU23" s="252">
        <f>BI23</f>
        <v>8</v>
      </c>
      <c r="BV23" s="252">
        <f t="shared" ref="BV23:BX23" si="53">BJ23</f>
        <v>9</v>
      </c>
      <c r="BW23" s="252">
        <f t="shared" si="53"/>
        <v>8</v>
      </c>
      <c r="BX23" s="252">
        <f t="shared" si="53"/>
        <v>6</v>
      </c>
      <c r="BY23" s="240"/>
      <c r="BZ23" s="252">
        <f>SUM(BZ21:BZ22)</f>
        <v>42</v>
      </c>
      <c r="CA23" s="252">
        <f t="shared" ref="CA23:CE23" si="54">SUM(CA21:CA22)</f>
        <v>43</v>
      </c>
      <c r="CB23" s="252">
        <f t="shared" si="54"/>
        <v>39</v>
      </c>
      <c r="CC23" s="252">
        <f t="shared" si="54"/>
        <v>40</v>
      </c>
      <c r="CD23" s="252">
        <f t="shared" si="54"/>
        <v>65</v>
      </c>
      <c r="CE23" s="252">
        <f t="shared" si="54"/>
        <v>80</v>
      </c>
      <c r="CG23" s="348"/>
      <c r="CH23" s="348"/>
      <c r="CI23" s="348"/>
      <c r="CJ23" s="348"/>
      <c r="CK23" s="252">
        <f>CB23</f>
        <v>39</v>
      </c>
      <c r="CL23" s="348"/>
      <c r="CM23" s="252">
        <f>'Revenue Analysis'!$Q$13</f>
        <v>245</v>
      </c>
      <c r="CN23" s="348"/>
    </row>
    <row r="24" spans="3:96">
      <c r="C24" s="271" t="s">
        <v>484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241"/>
      <c r="AK24" s="272">
        <f t="shared" ref="AK24:BT24" si="55">AK23/SUMIFS($CC$23:$CE$23,$CC$1:$CE$1,AK$3)</f>
        <v>0.15</v>
      </c>
      <c r="AL24" s="272">
        <f t="shared" si="55"/>
        <v>0.15</v>
      </c>
      <c r="AM24" s="272">
        <f t="shared" si="55"/>
        <v>0.05</v>
      </c>
      <c r="AN24" s="272">
        <f t="shared" si="55"/>
        <v>0.05</v>
      </c>
      <c r="AO24" s="272">
        <f t="shared" si="55"/>
        <v>0</v>
      </c>
      <c r="AP24" s="272">
        <f t="shared" si="55"/>
        <v>0</v>
      </c>
      <c r="AQ24" s="272">
        <f t="shared" si="55"/>
        <v>2.5000000000000001E-2</v>
      </c>
      <c r="AR24" s="272">
        <f t="shared" si="55"/>
        <v>0.1</v>
      </c>
      <c r="AS24" s="272">
        <f t="shared" si="55"/>
        <v>0.2</v>
      </c>
      <c r="AT24" s="272">
        <f t="shared" si="55"/>
        <v>0.125</v>
      </c>
      <c r="AU24" s="272">
        <f t="shared" si="55"/>
        <v>0.05</v>
      </c>
      <c r="AV24" s="272">
        <f t="shared" si="55"/>
        <v>0.1</v>
      </c>
      <c r="AW24" s="272">
        <f t="shared" si="55"/>
        <v>9.2307692307692313E-2</v>
      </c>
      <c r="AX24" s="272">
        <f t="shared" si="55"/>
        <v>0.1076923076923077</v>
      </c>
      <c r="AY24" s="272">
        <f t="shared" si="55"/>
        <v>9.2307692307692313E-2</v>
      </c>
      <c r="AZ24" s="272">
        <f t="shared" si="55"/>
        <v>7.6923076923076927E-2</v>
      </c>
      <c r="BA24" s="272">
        <f t="shared" si="55"/>
        <v>4.6153846153846156E-2</v>
      </c>
      <c r="BB24" s="272">
        <f t="shared" si="55"/>
        <v>6.1538461538461542E-2</v>
      </c>
      <c r="BC24" s="272">
        <f t="shared" si="55"/>
        <v>7.6923076923076927E-2</v>
      </c>
      <c r="BD24" s="272">
        <f t="shared" si="55"/>
        <v>7.6923076923076927E-2</v>
      </c>
      <c r="BE24" s="272">
        <f t="shared" si="55"/>
        <v>0.12307692307692308</v>
      </c>
      <c r="BF24" s="272">
        <f t="shared" si="55"/>
        <v>9.2307692307692313E-2</v>
      </c>
      <c r="BG24" s="272">
        <f t="shared" si="55"/>
        <v>7.6923076923076927E-2</v>
      </c>
      <c r="BH24" s="272">
        <f t="shared" si="55"/>
        <v>7.6923076923076927E-2</v>
      </c>
      <c r="BI24" s="272">
        <f t="shared" si="55"/>
        <v>0.1</v>
      </c>
      <c r="BJ24" s="272">
        <f t="shared" si="55"/>
        <v>0.1125</v>
      </c>
      <c r="BK24" s="272">
        <f t="shared" si="55"/>
        <v>0.1</v>
      </c>
      <c r="BL24" s="272">
        <f t="shared" si="55"/>
        <v>7.4999999999999997E-2</v>
      </c>
      <c r="BM24" s="272">
        <f t="shared" si="55"/>
        <v>0.05</v>
      </c>
      <c r="BN24" s="272">
        <f t="shared" si="55"/>
        <v>6.25E-2</v>
      </c>
      <c r="BO24" s="272">
        <f t="shared" si="55"/>
        <v>7.4999999999999997E-2</v>
      </c>
      <c r="BP24" s="272">
        <f t="shared" si="55"/>
        <v>7.4999999999999997E-2</v>
      </c>
      <c r="BQ24" s="272">
        <f t="shared" si="55"/>
        <v>0.1</v>
      </c>
      <c r="BR24" s="272">
        <f t="shared" si="55"/>
        <v>0.1</v>
      </c>
      <c r="BS24" s="272">
        <f t="shared" si="55"/>
        <v>7.4999999999999997E-2</v>
      </c>
      <c r="BT24" s="272">
        <f t="shared" si="55"/>
        <v>7.4999999999999997E-2</v>
      </c>
      <c r="BU24" s="272"/>
      <c r="BV24" s="272"/>
      <c r="BW24" s="272"/>
      <c r="BX24" s="272"/>
      <c r="BY24" s="241"/>
      <c r="BZ24" s="14"/>
      <c r="CA24" s="14"/>
      <c r="CB24" s="14"/>
      <c r="CC24" s="369">
        <f>SUM(AK23:AV23)-CC23</f>
        <v>0</v>
      </c>
      <c r="CD24" s="14"/>
      <c r="CE24" s="14"/>
      <c r="CG24" s="62"/>
      <c r="CH24" s="62"/>
      <c r="CI24" s="62"/>
      <c r="CK24" s="62"/>
      <c r="CM24" s="14"/>
      <c r="CN24" s="62"/>
    </row>
    <row r="25" spans="3:96">
      <c r="C25" s="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241"/>
      <c r="AK25" s="368">
        <f t="shared" ref="AK25:AU25" si="56">AK94</f>
        <v>9.73894867511889E-2</v>
      </c>
      <c r="AL25" s="368">
        <f t="shared" si="56"/>
        <v>0.11295985520909534</v>
      </c>
      <c r="AM25" s="368">
        <f t="shared" si="56"/>
        <v>9.9464075451917391E-2</v>
      </c>
      <c r="AN25" s="368">
        <f t="shared" si="56"/>
        <v>7.9707106150875159E-2</v>
      </c>
      <c r="AO25" s="368">
        <f t="shared" si="56"/>
        <v>4.4982846502603341E-2</v>
      </c>
      <c r="AP25" s="368">
        <f t="shared" si="56"/>
        <v>5.8016635828185982E-2</v>
      </c>
      <c r="AQ25" s="368">
        <f t="shared" si="56"/>
        <v>7.8703584174708796E-2</v>
      </c>
      <c r="AR25" s="368">
        <f t="shared" si="56"/>
        <v>7.8777127105394584E-2</v>
      </c>
      <c r="AS25" s="368">
        <f t="shared" si="56"/>
        <v>9.2623930921803266E-2</v>
      </c>
      <c r="AT25" s="368">
        <f t="shared" si="56"/>
        <v>9.7320638050121325E-2</v>
      </c>
      <c r="AU25" s="368">
        <f t="shared" si="56"/>
        <v>7.9423626840040215E-2</v>
      </c>
      <c r="AV25" s="368">
        <f>AV94</f>
        <v>8.0631087014065739E-2</v>
      </c>
      <c r="AW25" s="368">
        <f t="shared" ref="AW25:BX25" si="57">AW94</f>
        <v>9.73894867511889E-2</v>
      </c>
      <c r="AX25" s="368">
        <f t="shared" si="57"/>
        <v>0.11295985520909534</v>
      </c>
      <c r="AY25" s="368">
        <f t="shared" si="57"/>
        <v>9.9464075451917391E-2</v>
      </c>
      <c r="AZ25" s="368">
        <f t="shared" si="57"/>
        <v>7.9707106150875159E-2</v>
      </c>
      <c r="BA25" s="368">
        <f t="shared" si="57"/>
        <v>4.4982846502603341E-2</v>
      </c>
      <c r="BB25" s="368">
        <f t="shared" si="57"/>
        <v>5.8016635828185982E-2</v>
      </c>
      <c r="BC25" s="368">
        <f t="shared" si="57"/>
        <v>7.8703584174708796E-2</v>
      </c>
      <c r="BD25" s="368">
        <f t="shared" si="57"/>
        <v>7.8777127105394584E-2</v>
      </c>
      <c r="BE25" s="368">
        <f t="shared" si="57"/>
        <v>9.2623930921803266E-2</v>
      </c>
      <c r="BF25" s="368">
        <f t="shared" si="57"/>
        <v>9.7320638050121325E-2</v>
      </c>
      <c r="BG25" s="368">
        <f t="shared" si="57"/>
        <v>7.9423626840040215E-2</v>
      </c>
      <c r="BH25" s="368">
        <f t="shared" si="57"/>
        <v>8.0631087014065739E-2</v>
      </c>
      <c r="BI25" s="368">
        <f t="shared" si="57"/>
        <v>9.73894867511889E-2</v>
      </c>
      <c r="BJ25" s="368">
        <f t="shared" si="57"/>
        <v>0.11295985520909534</v>
      </c>
      <c r="BK25" s="368">
        <f t="shared" si="57"/>
        <v>9.9464075451917391E-2</v>
      </c>
      <c r="BL25" s="368">
        <f t="shared" si="57"/>
        <v>7.9707106150875159E-2</v>
      </c>
      <c r="BM25" s="368">
        <f t="shared" si="57"/>
        <v>4.4982846502603341E-2</v>
      </c>
      <c r="BN25" s="368">
        <f t="shared" si="57"/>
        <v>5.8016635828185982E-2</v>
      </c>
      <c r="BO25" s="368">
        <f t="shared" si="57"/>
        <v>7.8703584174708796E-2</v>
      </c>
      <c r="BP25" s="368">
        <f t="shared" si="57"/>
        <v>7.8777127105394584E-2</v>
      </c>
      <c r="BQ25" s="368">
        <f t="shared" si="57"/>
        <v>9.2623930921803266E-2</v>
      </c>
      <c r="BR25" s="368">
        <f t="shared" si="57"/>
        <v>9.7320638050121325E-2</v>
      </c>
      <c r="BS25" s="368">
        <f t="shared" si="57"/>
        <v>7.9423626840040215E-2</v>
      </c>
      <c r="BT25" s="368">
        <f t="shared" si="57"/>
        <v>8.0631087014065739E-2</v>
      </c>
      <c r="BU25" s="368">
        <f t="shared" si="57"/>
        <v>9.73894867511889E-2</v>
      </c>
      <c r="BV25" s="368">
        <f t="shared" si="57"/>
        <v>0.11295985520909534</v>
      </c>
      <c r="BW25" s="368">
        <f t="shared" si="57"/>
        <v>9.9464075451917391E-2</v>
      </c>
      <c r="BX25" s="368">
        <f t="shared" si="57"/>
        <v>7.9707106150875159E-2</v>
      </c>
      <c r="BY25" s="241"/>
      <c r="BZ25" s="14"/>
      <c r="CA25" s="14"/>
      <c r="CB25" s="14"/>
      <c r="CC25" s="372"/>
      <c r="CD25" s="14"/>
      <c r="CE25" s="14"/>
      <c r="CG25" s="62"/>
      <c r="CH25" s="62"/>
      <c r="CI25" s="62"/>
      <c r="CK25" s="62"/>
      <c r="CM25" s="14"/>
      <c r="CN25" s="62"/>
    </row>
    <row r="26" spans="3:96">
      <c r="C26" s="3" t="s">
        <v>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05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105"/>
      <c r="BZ26" s="9"/>
      <c r="CA26" s="9"/>
      <c r="CB26" s="9"/>
      <c r="CC26" s="9"/>
      <c r="CD26" s="9"/>
      <c r="CE26" s="9"/>
      <c r="CG26" s="9"/>
      <c r="CH26" s="9"/>
      <c r="CI26" s="9"/>
      <c r="CK26" s="9"/>
      <c r="CM26" s="9"/>
      <c r="CN26" s="9"/>
    </row>
    <row r="27" spans="3:96">
      <c r="C27" s="4" t="s">
        <v>16</v>
      </c>
      <c r="D27" s="97">
        <f>INDEX('Events Summary'!$E:$E,MATCH(D$9,'Events Summary'!$C:$C,0))/1000</f>
        <v>0</v>
      </c>
      <c r="E27" s="97">
        <f>INDEX('Events Summary'!$E:$E,MATCH(E$9,'Events Summary'!$C:$C,0))/1000</f>
        <v>12.12665</v>
      </c>
      <c r="F27" s="97">
        <f>INDEX('Events Summary'!$E:$E,MATCH(F$9,'Events Summary'!$C:$C,0))/1000</f>
        <v>50.2</v>
      </c>
      <c r="G27" s="97">
        <f>INDEX('Events Summary'!$E:$E,MATCH(G$9,'Events Summary'!$C:$C,0))/1000</f>
        <v>58.6</v>
      </c>
      <c r="H27" s="97">
        <f>INDEX('Events Summary'!$E:$E,MATCH(H$9,'Events Summary'!$C:$C,0))/1000</f>
        <v>52.981999999999999</v>
      </c>
      <c r="I27" s="97">
        <f>INDEX('Events Summary'!$E:$E,MATCH(I$9,'Events Summary'!$C:$C,0))/1000</f>
        <v>82</v>
      </c>
      <c r="J27" s="97">
        <f>INDEX('Events Summary'!$E:$E,MATCH(J$9,'Events Summary'!$C:$C,0))/1000</f>
        <v>14</v>
      </c>
      <c r="K27" s="97">
        <f>INDEX('Events Summary'!$E:$E,MATCH(K$9,'Events Summary'!$C:$C,0))/1000</f>
        <v>0</v>
      </c>
      <c r="L27" s="97">
        <f>INDEX('Events Summary'!$E:$E,MATCH(L$9,'Events Summary'!$C:$C,0))/1000</f>
        <v>28</v>
      </c>
      <c r="M27" s="97">
        <f>INDEX('Events Summary'!$E:$E,MATCH(M$9,'Events Summary'!$C:$C,0))/1000</f>
        <v>44.356000000000002</v>
      </c>
      <c r="N27" s="97">
        <f>INDEX('Events Summary'!$E:$E,MATCH(N$9,'Events Summary'!$C:$C,0))/1000</f>
        <v>0.6</v>
      </c>
      <c r="O27" s="97">
        <f>INDEX('Events Summary'!$E:$E,MATCH(O$9,'Events Summary'!$C:$C,0))/1000</f>
        <v>9.8949999999999996</v>
      </c>
      <c r="P27" s="97">
        <f>INDEX('Events Summary'!$E:$E,MATCH(P$9,'Events Summary'!$C:$C,0))/1000</f>
        <v>0</v>
      </c>
      <c r="Q27" s="97">
        <f>INDEX('Events Summary'!$E:$E,MATCH(Q$9,'Events Summary'!$C:$C,0))/1000</f>
        <v>2.415</v>
      </c>
      <c r="R27" s="97">
        <f>INDEX('Events Summary'!$E:$E,MATCH(R$9,'Events Summary'!$C:$C,0))/1000</f>
        <v>26.85</v>
      </c>
      <c r="S27" s="97">
        <f>INDEX('Events Summary'!$E:$E,MATCH(S$9,'Events Summary'!$C:$C,0))/1000</f>
        <v>56.2</v>
      </c>
      <c r="T27" s="97">
        <f>INDEX('Events Summary'!$E:$E,MATCH(T$9,'Events Summary'!$C:$C,0))/1000</f>
        <v>86.465999999999994</v>
      </c>
      <c r="U27" s="97">
        <f>INDEX('Events Summary'!$E:$E,MATCH(U$9,'Events Summary'!$C:$C,0))/1000</f>
        <v>72.150000000000006</v>
      </c>
      <c r="V27" s="97">
        <f>INDEX('Events Summary'!$E:$E,MATCH(V$9,'Events Summary'!$C:$C,0))/1000</f>
        <v>3.8</v>
      </c>
      <c r="W27" s="97">
        <f>INDEX('Events Summary'!$E:$E,MATCH(W$9,'Events Summary'!$C:$C,0))/1000</f>
        <v>1.8</v>
      </c>
      <c r="X27" s="97">
        <f>INDEX('Events Summary'!$E:$E,MATCH(X$9,'Events Summary'!$C:$C,0))/1000</f>
        <v>2.2000000000000002</v>
      </c>
      <c r="Y27" s="97">
        <f>INDEX('Events Summary'!$E:$E,MATCH(Y$9,'Events Summary'!$C:$C,0))/1000</f>
        <v>45.63</v>
      </c>
      <c r="Z27" s="97">
        <f>INDEX('Events Summary'!$E:$E,MATCH(Z$9,'Events Summary'!$C:$C,0))/1000</f>
        <v>22.463630000000002</v>
      </c>
      <c r="AA27" s="97">
        <f>INDEX('Events Summary'!$E:$E,MATCH(AA$9,'Events Summary'!$C:$C,0))/1000</f>
        <v>0</v>
      </c>
      <c r="AB27" s="97">
        <f>INDEX('Events Summary'!$E:$E,MATCH(AB$9,'Events Summary'!$C:$C,0))/1000</f>
        <v>16</v>
      </c>
      <c r="AC27" s="97">
        <f>INDEX('Events Summary'!$E:$E,MATCH(AC$9,'Events Summary'!$C:$C,0))/1000</f>
        <v>0.6</v>
      </c>
      <c r="AD27" s="97">
        <f>INDEX('Events Summary'!$E:$E,MATCH(AD$9,'Events Summary'!$C:$C,0))/1000</f>
        <v>55.7</v>
      </c>
      <c r="AE27" s="97">
        <f>INDEX('Events Summary'!$E:$E,MATCH(AE$9,'Events Summary'!$C:$C,0))/1000</f>
        <v>78</v>
      </c>
      <c r="AF27" s="97">
        <f>INDEX('Events Summary'!$E:$E,MATCH(AF$9,'Events Summary'!$C:$C,0))/1000</f>
        <v>107.1</v>
      </c>
      <c r="AG27" s="97">
        <f>INDEX('Events Summary'!$E:$E,MATCH(AG$9,'Events Summary'!$C:$C,0))/1000</f>
        <v>105.15</v>
      </c>
      <c r="AH27" s="97">
        <f>INDEX('Events Summary'!$E:$E,MATCH(AH$9,'Events Summary'!$C:$C,0))/1000</f>
        <v>18</v>
      </c>
      <c r="AI27" s="27"/>
      <c r="AJ27" s="241"/>
      <c r="AK27" s="32">
        <f t="shared" ref="AK27:AT36" si="58">SUMIFS($CC27:$CE27,$CC$1:$CE$1,AK$3)*AK$24</f>
        <v>109.19594262295082</v>
      </c>
      <c r="AL27" s="32">
        <f t="shared" si="58"/>
        <v>109.19594262295082</v>
      </c>
      <c r="AM27" s="32">
        <f t="shared" si="58"/>
        <v>36.39864754098361</v>
      </c>
      <c r="AN27" s="32">
        <f t="shared" si="58"/>
        <v>36.39864754098361</v>
      </c>
      <c r="AO27" s="32">
        <f t="shared" si="58"/>
        <v>0</v>
      </c>
      <c r="AP27" s="32">
        <f t="shared" si="58"/>
        <v>0</v>
      </c>
      <c r="AQ27" s="32">
        <f t="shared" si="58"/>
        <v>18.199323770491805</v>
      </c>
      <c r="AR27" s="32">
        <f t="shared" si="58"/>
        <v>72.797295081967221</v>
      </c>
      <c r="AS27" s="32">
        <f t="shared" si="58"/>
        <v>145.59459016393444</v>
      </c>
      <c r="AT27" s="32">
        <f t="shared" si="58"/>
        <v>90.996618852459022</v>
      </c>
      <c r="AU27" s="32">
        <f t="shared" ref="AU27:BD36" si="59">SUMIFS($CC27:$CE27,$CC$1:$CE$1,AU$3)*AU$24</f>
        <v>36.39864754098361</v>
      </c>
      <c r="AV27" s="32">
        <f t="shared" si="59"/>
        <v>72.797295081967221</v>
      </c>
      <c r="AW27" s="32">
        <f t="shared" si="59"/>
        <v>91.383858764186641</v>
      </c>
      <c r="AX27" s="32">
        <f t="shared" si="59"/>
        <v>106.61450189155107</v>
      </c>
      <c r="AY27" s="32">
        <f t="shared" si="59"/>
        <v>91.383858764186641</v>
      </c>
      <c r="AZ27" s="32">
        <f t="shared" si="59"/>
        <v>76.153215636822196</v>
      </c>
      <c r="BA27" s="32">
        <f t="shared" si="59"/>
        <v>45.691929382093321</v>
      </c>
      <c r="BB27" s="32">
        <f t="shared" si="59"/>
        <v>60.922572509457758</v>
      </c>
      <c r="BC27" s="32">
        <f t="shared" si="59"/>
        <v>76.153215636822196</v>
      </c>
      <c r="BD27" s="32">
        <f t="shared" si="59"/>
        <v>76.153215636822196</v>
      </c>
      <c r="BE27" s="32">
        <f t="shared" ref="BE27:BN36" si="60">SUMIFS($CC27:$CE27,$CC$1:$CE$1,BE$3)*BE$24</f>
        <v>121.84514501891552</v>
      </c>
      <c r="BF27" s="32">
        <f t="shared" si="60"/>
        <v>91.383858764186641</v>
      </c>
      <c r="BG27" s="32">
        <f t="shared" si="60"/>
        <v>76.153215636822196</v>
      </c>
      <c r="BH27" s="32">
        <f t="shared" si="60"/>
        <v>76.153215636822196</v>
      </c>
      <c r="BI27" s="32">
        <f t="shared" si="60"/>
        <v>121.31147540983608</v>
      </c>
      <c r="BJ27" s="32">
        <f t="shared" si="60"/>
        <v>136.47540983606558</v>
      </c>
      <c r="BK27" s="32">
        <f t="shared" si="60"/>
        <v>121.31147540983608</v>
      </c>
      <c r="BL27" s="32">
        <f t="shared" si="60"/>
        <v>90.983606557377044</v>
      </c>
      <c r="BM27" s="32">
        <f t="shared" si="60"/>
        <v>60.655737704918039</v>
      </c>
      <c r="BN27" s="32">
        <f t="shared" si="60"/>
        <v>75.819672131147541</v>
      </c>
      <c r="BO27" s="32">
        <f t="shared" ref="BO27:BT36" si="61">SUMIFS($CC27:$CE27,$CC$1:$CE$1,BO$3)*BO$24</f>
        <v>90.983606557377044</v>
      </c>
      <c r="BP27" s="32">
        <f t="shared" si="61"/>
        <v>90.983606557377044</v>
      </c>
      <c r="BQ27" s="32">
        <f t="shared" si="61"/>
        <v>121.31147540983608</v>
      </c>
      <c r="BR27" s="32">
        <f t="shared" si="61"/>
        <v>121.31147540983608</v>
      </c>
      <c r="BS27" s="32">
        <f t="shared" si="61"/>
        <v>90.983606557377044</v>
      </c>
      <c r="BT27" s="273">
        <f t="shared" si="61"/>
        <v>90.983606557377044</v>
      </c>
      <c r="BU27" s="32">
        <f>BI27</f>
        <v>121.31147540983608</v>
      </c>
      <c r="BV27" s="32">
        <f t="shared" ref="BV27:BX27" si="62">BJ27</f>
        <v>136.47540983606558</v>
      </c>
      <c r="BW27" s="32">
        <f t="shared" si="62"/>
        <v>121.31147540983608</v>
      </c>
      <c r="BX27" s="32">
        <f t="shared" si="62"/>
        <v>90.983606557377044</v>
      </c>
      <c r="BY27" s="241"/>
      <c r="BZ27" s="60">
        <f t="shared" ref="BZ27:CA36" si="63">SUMIFS($D27:$AJ27,$D$1:$AJ$1,BZ$9)</f>
        <v>352.75964999999997</v>
      </c>
      <c r="CA27" s="60">
        <f t="shared" si="63"/>
        <v>319.97463000000005</v>
      </c>
      <c r="CB27" s="60">
        <f t="shared" ref="CB27:CB36" si="64">SUMIFS($D27:$AJ27,$D$3:$AJ$3,"LTM")</f>
        <v>452.64363000000003</v>
      </c>
      <c r="CC27" s="97">
        <f>'Revenue Analysis'!G60+'Revenue Analysis'!G75</f>
        <v>727.97295081967218</v>
      </c>
      <c r="CD27" s="97">
        <f>'Revenue Analysis'!H60+'Revenue Analysis'!H75</f>
        <v>989.99180327868851</v>
      </c>
      <c r="CE27" s="97">
        <f>'Revenue Analysis'!I60+'Revenue Analysis'!I75</f>
        <v>1213.1147540983607</v>
      </c>
      <c r="CF27" s="35"/>
      <c r="CG27" s="99"/>
      <c r="CH27" s="99"/>
      <c r="CI27" s="99"/>
      <c r="CJ27" s="35"/>
      <c r="CK27" s="99"/>
      <c r="CL27" s="35"/>
      <c r="CM27" s="97">
        <f>SUMIFS('FY25 By Venue Financials'!$N:$N,'FY25 By Venue Financials'!$A:$A,$C27)</f>
        <v>1646.5860399999999</v>
      </c>
      <c r="CN27" s="62"/>
    </row>
    <row r="28" spans="3:96">
      <c r="C28" s="4" t="s">
        <v>13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253"/>
      <c r="AJ28" s="241"/>
      <c r="AK28" s="32">
        <f t="shared" si="58"/>
        <v>0</v>
      </c>
      <c r="AL28" s="32">
        <f t="shared" si="58"/>
        <v>0</v>
      </c>
      <c r="AM28" s="32">
        <f t="shared" si="58"/>
        <v>0</v>
      </c>
      <c r="AN28" s="32">
        <f t="shared" si="58"/>
        <v>0</v>
      </c>
      <c r="AO28" s="32">
        <f t="shared" si="58"/>
        <v>0</v>
      </c>
      <c r="AP28" s="32">
        <f t="shared" si="58"/>
        <v>0</v>
      </c>
      <c r="AQ28" s="32">
        <f t="shared" si="58"/>
        <v>0</v>
      </c>
      <c r="AR28" s="32">
        <f t="shared" si="58"/>
        <v>0</v>
      </c>
      <c r="AS28" s="32">
        <f t="shared" si="58"/>
        <v>0</v>
      </c>
      <c r="AT28" s="32">
        <f t="shared" si="58"/>
        <v>0</v>
      </c>
      <c r="AU28" s="32">
        <f t="shared" si="59"/>
        <v>0</v>
      </c>
      <c r="AV28" s="32">
        <f t="shared" si="59"/>
        <v>0</v>
      </c>
      <c r="AW28" s="32">
        <f t="shared" si="59"/>
        <v>14.923813655455582</v>
      </c>
      <c r="AX28" s="32">
        <f t="shared" si="59"/>
        <v>17.411115931364844</v>
      </c>
      <c r="AY28" s="32">
        <f t="shared" si="59"/>
        <v>14.923813655455582</v>
      </c>
      <c r="AZ28" s="32">
        <f t="shared" si="59"/>
        <v>12.436511379546317</v>
      </c>
      <c r="BA28" s="32">
        <f t="shared" si="59"/>
        <v>7.4619068277277911</v>
      </c>
      <c r="BB28" s="32">
        <f t="shared" si="59"/>
        <v>9.9492091036370542</v>
      </c>
      <c r="BC28" s="32">
        <f t="shared" si="59"/>
        <v>12.436511379546317</v>
      </c>
      <c r="BD28" s="32">
        <f t="shared" si="59"/>
        <v>12.436511379546317</v>
      </c>
      <c r="BE28" s="32">
        <f t="shared" si="60"/>
        <v>19.898418207274108</v>
      </c>
      <c r="BF28" s="32">
        <f t="shared" si="60"/>
        <v>14.923813655455582</v>
      </c>
      <c r="BG28" s="32">
        <f t="shared" si="60"/>
        <v>12.436511379546317</v>
      </c>
      <c r="BH28" s="32">
        <f t="shared" si="60"/>
        <v>12.436511379546317</v>
      </c>
      <c r="BI28" s="32">
        <f t="shared" si="60"/>
        <v>40.418661983525539</v>
      </c>
      <c r="BJ28" s="32">
        <f t="shared" si="60"/>
        <v>45.470994731466227</v>
      </c>
      <c r="BK28" s="32">
        <f t="shared" si="60"/>
        <v>40.418661983525539</v>
      </c>
      <c r="BL28" s="32">
        <f t="shared" si="60"/>
        <v>30.313996487644147</v>
      </c>
      <c r="BM28" s="32">
        <f t="shared" si="60"/>
        <v>20.209330991762769</v>
      </c>
      <c r="BN28" s="32">
        <f t="shared" si="60"/>
        <v>25.261663739703458</v>
      </c>
      <c r="BO28" s="32">
        <f t="shared" si="61"/>
        <v>30.313996487644147</v>
      </c>
      <c r="BP28" s="32">
        <f t="shared" si="61"/>
        <v>30.313996487644147</v>
      </c>
      <c r="BQ28" s="32">
        <f t="shared" si="61"/>
        <v>40.418661983525539</v>
      </c>
      <c r="BR28" s="32">
        <f t="shared" si="61"/>
        <v>40.418661983525539</v>
      </c>
      <c r="BS28" s="32">
        <f t="shared" si="61"/>
        <v>30.313996487644147</v>
      </c>
      <c r="BT28" s="273">
        <f t="shared" si="61"/>
        <v>30.313996487644147</v>
      </c>
      <c r="BU28" s="32">
        <f t="shared" ref="BU28:BU36" si="65">BI28</f>
        <v>40.418661983525539</v>
      </c>
      <c r="BV28" s="32">
        <f t="shared" ref="BV28:BV36" si="66">BJ28</f>
        <v>45.470994731466227</v>
      </c>
      <c r="BW28" s="32">
        <f t="shared" ref="BW28:BW36" si="67">BK28</f>
        <v>40.418661983525539</v>
      </c>
      <c r="BX28" s="32">
        <f t="shared" ref="BX28:BX36" si="68">BL28</f>
        <v>30.313996487644147</v>
      </c>
      <c r="BY28" s="241"/>
      <c r="BZ28" s="32">
        <f t="shared" si="63"/>
        <v>0</v>
      </c>
      <c r="CA28" s="32">
        <f t="shared" si="63"/>
        <v>0</v>
      </c>
      <c r="CB28" s="32">
        <f t="shared" si="64"/>
        <v>0</v>
      </c>
      <c r="CC28" s="14">
        <f>'Revenue Analysis'!G61+'Revenue Analysis'!G76</f>
        <v>0</v>
      </c>
      <c r="CD28" s="14">
        <f>'Revenue Analysis'!H61+'Revenue Analysis'!H76</f>
        <v>161.67464793410213</v>
      </c>
      <c r="CE28" s="14">
        <f>'Revenue Analysis'!I61+'Revenue Analysis'!I76</f>
        <v>404.18661983525533</v>
      </c>
      <c r="CG28" s="125"/>
      <c r="CH28" s="125"/>
      <c r="CI28" s="125"/>
      <c r="CK28" s="125"/>
      <c r="CM28" s="14">
        <f>SUMIFS('FY25 By Venue Financials'!$N:$N,'FY25 By Venue Financials'!$A:$A,$C28)</f>
        <v>1731.7743499999999</v>
      </c>
      <c r="CN28" s="62"/>
    </row>
    <row r="29" spans="3:96">
      <c r="C29" s="4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253"/>
      <c r="AJ29" s="241"/>
      <c r="AK29" s="32">
        <f t="shared" si="58"/>
        <v>0.89999999999999991</v>
      </c>
      <c r="AL29" s="32">
        <f t="shared" si="58"/>
        <v>0.89999999999999991</v>
      </c>
      <c r="AM29" s="32">
        <f t="shared" si="58"/>
        <v>0.30000000000000004</v>
      </c>
      <c r="AN29" s="32">
        <f t="shared" si="58"/>
        <v>0.30000000000000004</v>
      </c>
      <c r="AO29" s="32">
        <f t="shared" si="58"/>
        <v>0</v>
      </c>
      <c r="AP29" s="32">
        <f t="shared" si="58"/>
        <v>0</v>
      </c>
      <c r="AQ29" s="32">
        <f t="shared" si="58"/>
        <v>0.15000000000000002</v>
      </c>
      <c r="AR29" s="32">
        <f t="shared" si="58"/>
        <v>0.60000000000000009</v>
      </c>
      <c r="AS29" s="32">
        <f t="shared" si="58"/>
        <v>1.2000000000000002</v>
      </c>
      <c r="AT29" s="32">
        <f t="shared" si="58"/>
        <v>0.75</v>
      </c>
      <c r="AU29" s="32">
        <f t="shared" si="59"/>
        <v>0.30000000000000004</v>
      </c>
      <c r="AV29" s="32">
        <f t="shared" si="59"/>
        <v>0.60000000000000009</v>
      </c>
      <c r="AW29" s="32">
        <f t="shared" si="59"/>
        <v>3.3230769230769233</v>
      </c>
      <c r="AX29" s="32">
        <f t="shared" si="59"/>
        <v>3.8769230769230774</v>
      </c>
      <c r="AY29" s="32">
        <f t="shared" si="59"/>
        <v>3.3230769230769233</v>
      </c>
      <c r="AZ29" s="32">
        <f t="shared" si="59"/>
        <v>2.7692307692307692</v>
      </c>
      <c r="BA29" s="32">
        <f t="shared" si="59"/>
        <v>1.6615384615384616</v>
      </c>
      <c r="BB29" s="32">
        <f t="shared" si="59"/>
        <v>2.2153846153846155</v>
      </c>
      <c r="BC29" s="32">
        <f t="shared" si="59"/>
        <v>2.7692307692307692</v>
      </c>
      <c r="BD29" s="32">
        <f t="shared" si="59"/>
        <v>2.7692307692307692</v>
      </c>
      <c r="BE29" s="32">
        <f t="shared" si="60"/>
        <v>4.430769230769231</v>
      </c>
      <c r="BF29" s="32">
        <f t="shared" si="60"/>
        <v>3.3230769230769233</v>
      </c>
      <c r="BG29" s="32">
        <f t="shared" si="60"/>
        <v>2.7692307692307692</v>
      </c>
      <c r="BH29" s="32">
        <f t="shared" si="60"/>
        <v>2.7692307692307692</v>
      </c>
      <c r="BI29" s="32">
        <f t="shared" si="60"/>
        <v>6</v>
      </c>
      <c r="BJ29" s="32">
        <f t="shared" si="60"/>
        <v>6.75</v>
      </c>
      <c r="BK29" s="32">
        <f t="shared" si="60"/>
        <v>6</v>
      </c>
      <c r="BL29" s="32">
        <f t="shared" si="60"/>
        <v>4.5</v>
      </c>
      <c r="BM29" s="32">
        <f t="shared" si="60"/>
        <v>3</v>
      </c>
      <c r="BN29" s="32">
        <f t="shared" si="60"/>
        <v>3.75</v>
      </c>
      <c r="BO29" s="32">
        <f t="shared" si="61"/>
        <v>4.5</v>
      </c>
      <c r="BP29" s="32">
        <f t="shared" si="61"/>
        <v>4.5</v>
      </c>
      <c r="BQ29" s="32">
        <f t="shared" si="61"/>
        <v>6</v>
      </c>
      <c r="BR29" s="32">
        <f t="shared" si="61"/>
        <v>6</v>
      </c>
      <c r="BS29" s="32">
        <f t="shared" si="61"/>
        <v>4.5</v>
      </c>
      <c r="BT29" s="273">
        <f t="shared" si="61"/>
        <v>4.5</v>
      </c>
      <c r="BU29" s="32">
        <f t="shared" si="65"/>
        <v>6</v>
      </c>
      <c r="BV29" s="32">
        <f t="shared" si="66"/>
        <v>6.75</v>
      </c>
      <c r="BW29" s="32">
        <f t="shared" si="67"/>
        <v>6</v>
      </c>
      <c r="BX29" s="32">
        <f t="shared" si="68"/>
        <v>4.5</v>
      </c>
      <c r="BY29" s="241"/>
      <c r="BZ29" s="32">
        <f t="shared" si="63"/>
        <v>0</v>
      </c>
      <c r="CA29" s="32">
        <f t="shared" si="63"/>
        <v>0</v>
      </c>
      <c r="CB29" s="32">
        <f t="shared" si="64"/>
        <v>0</v>
      </c>
      <c r="CC29" s="14">
        <f>'Revenue Analysis'!G62+'Revenue Analysis'!G77</f>
        <v>6</v>
      </c>
      <c r="CD29" s="14">
        <f>'Revenue Analysis'!H62+'Revenue Analysis'!H77</f>
        <v>36</v>
      </c>
      <c r="CE29" s="14">
        <f>'Revenue Analysis'!I62+'Revenue Analysis'!I77</f>
        <v>60</v>
      </c>
      <c r="CG29" s="125"/>
      <c r="CH29" s="125"/>
      <c r="CI29" s="125"/>
      <c r="CK29" s="125"/>
      <c r="CM29" s="14">
        <f>SUMIFS('FY25 By Venue Financials'!$N:$N,'FY25 By Venue Financials'!$A:$A,$C29)</f>
        <v>980.48950000000002</v>
      </c>
      <c r="CN29" s="62"/>
    </row>
    <row r="30" spans="3:96">
      <c r="C30" s="4" t="s">
        <v>32</v>
      </c>
      <c r="D30" s="14">
        <f>INDEX('Events Summary'!$I:$I,MATCH(D$9,'Events Summary'!$C:$C,0))/1000</f>
        <v>0</v>
      </c>
      <c r="E30" s="14">
        <f>INDEX('Events Summary'!$I:$I,MATCH(E$9,'Events Summary'!$C:$C,0))/1000</f>
        <v>4.8</v>
      </c>
      <c r="F30" s="14">
        <f>INDEX('Events Summary'!$I:$I,MATCH(F$9,'Events Summary'!$C:$C,0))/1000</f>
        <v>0</v>
      </c>
      <c r="G30" s="14">
        <f>INDEX('Events Summary'!$I:$I,MATCH(G$9,'Events Summary'!$C:$C,0))/1000</f>
        <v>10.3</v>
      </c>
      <c r="H30" s="14">
        <f>INDEX('Events Summary'!$I:$I,MATCH(H$9,'Events Summary'!$C:$C,0))/1000</f>
        <v>4.7</v>
      </c>
      <c r="I30" s="14">
        <f>INDEX('Events Summary'!$I:$I,MATCH(I$9,'Events Summary'!$C:$C,0))/1000</f>
        <v>3.8</v>
      </c>
      <c r="J30" s="14">
        <f>INDEX('Events Summary'!$I:$I,MATCH(J$9,'Events Summary'!$C:$C,0))/1000</f>
        <v>5.0999999999999996</v>
      </c>
      <c r="K30" s="14">
        <f>INDEX('Events Summary'!$I:$I,MATCH(K$9,'Events Summary'!$C:$C,0))/1000</f>
        <v>0</v>
      </c>
      <c r="L30" s="14">
        <f>INDEX('Events Summary'!$I:$I,MATCH(L$9,'Events Summary'!$C:$C,0))/1000</f>
        <v>2.1840000000000002</v>
      </c>
      <c r="M30" s="14">
        <f>INDEX('Events Summary'!$I:$I,MATCH(M$9,'Events Summary'!$C:$C,0))/1000</f>
        <v>10.375999999999999</v>
      </c>
      <c r="N30" s="14">
        <f>INDEX('Events Summary'!$I:$I,MATCH(N$9,'Events Summary'!$C:$C,0))/1000</f>
        <v>0</v>
      </c>
      <c r="O30" s="14">
        <f>INDEX('Events Summary'!$I:$I,MATCH(O$9,'Events Summary'!$C:$C,0))/1000</f>
        <v>0</v>
      </c>
      <c r="P30" s="14">
        <f>INDEX('Events Summary'!$I:$I,MATCH(P$9,'Events Summary'!$C:$C,0))/1000</f>
        <v>0</v>
      </c>
      <c r="Q30" s="14">
        <f>INDEX('Events Summary'!$I:$I,MATCH(Q$9,'Events Summary'!$C:$C,0))/1000</f>
        <v>0</v>
      </c>
      <c r="R30" s="14">
        <f>INDEX('Events Summary'!$I:$I,MATCH(R$9,'Events Summary'!$C:$C,0))/1000</f>
        <v>5</v>
      </c>
      <c r="S30" s="14">
        <f>INDEX('Events Summary'!$I:$I,MATCH(S$9,'Events Summary'!$C:$C,0))/1000</f>
        <v>16.100000000000001</v>
      </c>
      <c r="T30" s="14">
        <f>INDEX('Events Summary'!$I:$I,MATCH(T$9,'Events Summary'!$C:$C,0))/1000</f>
        <v>22.35</v>
      </c>
      <c r="U30" s="14">
        <f>INDEX('Events Summary'!$I:$I,MATCH(U$9,'Events Summary'!$C:$C,0))/1000</f>
        <v>15.05</v>
      </c>
      <c r="V30" s="14">
        <f>INDEX('Events Summary'!$I:$I,MATCH(V$9,'Events Summary'!$C:$C,0))/1000</f>
        <v>0</v>
      </c>
      <c r="W30" s="14">
        <f>INDEX('Events Summary'!$I:$I,MATCH(W$9,'Events Summary'!$C:$C,0))/1000</f>
        <v>0</v>
      </c>
      <c r="X30" s="14">
        <f>INDEX('Events Summary'!$I:$I,MATCH(X$9,'Events Summary'!$C:$C,0))/1000</f>
        <v>0</v>
      </c>
      <c r="Y30" s="14">
        <f>INDEX('Events Summary'!$I:$I,MATCH(Y$9,'Events Summary'!$C:$C,0))/1000</f>
        <v>5.0999999999999996</v>
      </c>
      <c r="Z30" s="14">
        <f>INDEX('Events Summary'!$I:$I,MATCH(Z$9,'Events Summary'!$C:$C,0))/1000</f>
        <v>4.2</v>
      </c>
      <c r="AA30" s="14">
        <f>INDEX('Events Summary'!$I:$I,MATCH(AA$9,'Events Summary'!$C:$C,0))/1000</f>
        <v>0</v>
      </c>
      <c r="AB30" s="14">
        <f>INDEX('Events Summary'!$I:$I,MATCH(AB$9,'Events Summary'!$C:$C,0))/1000</f>
        <v>5.9</v>
      </c>
      <c r="AC30" s="14">
        <f>INDEX('Events Summary'!$I:$I,MATCH(AC$9,'Events Summary'!$C:$C,0))/1000</f>
        <v>0</v>
      </c>
      <c r="AD30" s="14">
        <f>INDEX('Events Summary'!$I:$I,MATCH(AD$9,'Events Summary'!$C:$C,0))/1000</f>
        <v>4.0999999999999996</v>
      </c>
      <c r="AE30" s="14">
        <f>INDEX('Events Summary'!$I:$I,MATCH(AE$9,'Events Summary'!$C:$C,0))/1000</f>
        <v>10.9</v>
      </c>
      <c r="AF30" s="14">
        <f>INDEX('Events Summary'!$I:$I,MATCH(AF$9,'Events Summary'!$C:$C,0))/1000</f>
        <v>18.5</v>
      </c>
      <c r="AG30" s="14">
        <f>INDEX('Events Summary'!$I:$I,MATCH(AG$9,'Events Summary'!$C:$C,0))/1000</f>
        <v>15.9</v>
      </c>
      <c r="AH30" s="14">
        <f>INDEX('Events Summary'!$I:$I,MATCH(AH$9,'Events Summary'!$C:$C,0))/1000</f>
        <v>5.2</v>
      </c>
      <c r="AI30" s="253"/>
      <c r="AJ30" s="241"/>
      <c r="AK30" s="32">
        <f t="shared" si="58"/>
        <v>11.835000000000001</v>
      </c>
      <c r="AL30" s="32">
        <f t="shared" si="58"/>
        <v>11.835000000000001</v>
      </c>
      <c r="AM30" s="32">
        <f t="shared" si="58"/>
        <v>3.9450000000000003</v>
      </c>
      <c r="AN30" s="32">
        <f t="shared" si="58"/>
        <v>3.9450000000000003</v>
      </c>
      <c r="AO30" s="32">
        <f t="shared" si="58"/>
        <v>0</v>
      </c>
      <c r="AP30" s="32">
        <f t="shared" si="58"/>
        <v>0</v>
      </c>
      <c r="AQ30" s="32">
        <f t="shared" si="58"/>
        <v>1.9725000000000001</v>
      </c>
      <c r="AR30" s="32">
        <f t="shared" si="58"/>
        <v>7.8900000000000006</v>
      </c>
      <c r="AS30" s="32">
        <f t="shared" si="58"/>
        <v>15.780000000000001</v>
      </c>
      <c r="AT30" s="32">
        <f t="shared" si="58"/>
        <v>9.8625000000000007</v>
      </c>
      <c r="AU30" s="32">
        <f t="shared" si="59"/>
        <v>3.9450000000000003</v>
      </c>
      <c r="AV30" s="32">
        <f t="shared" si="59"/>
        <v>7.8900000000000006</v>
      </c>
      <c r="AW30" s="32">
        <f t="shared" si="59"/>
        <v>8.861538461538462</v>
      </c>
      <c r="AX30" s="32">
        <f t="shared" si="59"/>
        <v>10.338461538461539</v>
      </c>
      <c r="AY30" s="32">
        <f t="shared" si="59"/>
        <v>8.861538461538462</v>
      </c>
      <c r="AZ30" s="32">
        <f t="shared" si="59"/>
        <v>7.384615384615385</v>
      </c>
      <c r="BA30" s="32">
        <f t="shared" si="59"/>
        <v>4.430769230769231</v>
      </c>
      <c r="BB30" s="32">
        <f t="shared" si="59"/>
        <v>5.907692307692308</v>
      </c>
      <c r="BC30" s="32">
        <f t="shared" si="59"/>
        <v>7.384615384615385</v>
      </c>
      <c r="BD30" s="32">
        <f t="shared" si="59"/>
        <v>7.384615384615385</v>
      </c>
      <c r="BE30" s="32">
        <f t="shared" si="60"/>
        <v>11.815384615384616</v>
      </c>
      <c r="BF30" s="32">
        <f t="shared" si="60"/>
        <v>8.861538461538462</v>
      </c>
      <c r="BG30" s="32">
        <f t="shared" si="60"/>
        <v>7.384615384615385</v>
      </c>
      <c r="BH30" s="32">
        <f t="shared" si="60"/>
        <v>7.384615384615385</v>
      </c>
      <c r="BI30" s="32">
        <f t="shared" si="60"/>
        <v>12</v>
      </c>
      <c r="BJ30" s="32">
        <f t="shared" si="60"/>
        <v>13.5</v>
      </c>
      <c r="BK30" s="32">
        <f t="shared" si="60"/>
        <v>12</v>
      </c>
      <c r="BL30" s="32">
        <f t="shared" si="60"/>
        <v>9</v>
      </c>
      <c r="BM30" s="32">
        <f t="shared" si="60"/>
        <v>6</v>
      </c>
      <c r="BN30" s="32">
        <f t="shared" si="60"/>
        <v>7.5</v>
      </c>
      <c r="BO30" s="32">
        <f t="shared" si="61"/>
        <v>9</v>
      </c>
      <c r="BP30" s="32">
        <f t="shared" si="61"/>
        <v>9</v>
      </c>
      <c r="BQ30" s="32">
        <f t="shared" si="61"/>
        <v>12</v>
      </c>
      <c r="BR30" s="32">
        <f t="shared" si="61"/>
        <v>12</v>
      </c>
      <c r="BS30" s="32">
        <f t="shared" si="61"/>
        <v>9</v>
      </c>
      <c r="BT30" s="273">
        <f t="shared" si="61"/>
        <v>9</v>
      </c>
      <c r="BU30" s="32">
        <f t="shared" si="65"/>
        <v>12</v>
      </c>
      <c r="BV30" s="32">
        <f t="shared" si="66"/>
        <v>13.5</v>
      </c>
      <c r="BW30" s="32">
        <f t="shared" si="67"/>
        <v>12</v>
      </c>
      <c r="BX30" s="32">
        <f t="shared" si="68"/>
        <v>9</v>
      </c>
      <c r="BY30" s="241"/>
      <c r="BZ30" s="32">
        <f t="shared" si="63"/>
        <v>41.260000000000005</v>
      </c>
      <c r="CA30" s="32">
        <f t="shared" si="63"/>
        <v>67.8</v>
      </c>
      <c r="CB30" s="32">
        <f t="shared" si="64"/>
        <v>69.800000000000011</v>
      </c>
      <c r="CC30" s="14">
        <f>'Revenue Analysis'!G63+'Revenue Analysis'!G78</f>
        <v>78.900000000000006</v>
      </c>
      <c r="CD30" s="14">
        <f>'Revenue Analysis'!H63+'Revenue Analysis'!H78</f>
        <v>96</v>
      </c>
      <c r="CE30" s="14">
        <f>'Revenue Analysis'!I63+'Revenue Analysis'!I78</f>
        <v>120</v>
      </c>
      <c r="CG30" s="125"/>
      <c r="CH30" s="125"/>
      <c r="CI30" s="125"/>
      <c r="CK30" s="125"/>
      <c r="CM30" s="14">
        <f>SUMIFS('FY25 By Venue Financials'!$N:$N,'FY25 By Venue Financials'!$A:$A,$C30)</f>
        <v>0</v>
      </c>
      <c r="CN30" s="62"/>
    </row>
    <row r="31" spans="3:96">
      <c r="C31" s="8" t="s">
        <v>12</v>
      </c>
      <c r="D31" s="14">
        <f>INDEX('Events Summary'!$M:$M,MATCH(D$9,'Events Summary'!$C:$C,0))/1000</f>
        <v>0</v>
      </c>
      <c r="E31" s="14">
        <f>INDEX('Events Summary'!$M:$M,MATCH(E$9,'Events Summary'!$C:$C,0))/1000</f>
        <v>1</v>
      </c>
      <c r="F31" s="14">
        <f>INDEX('Events Summary'!$M:$M,MATCH(F$9,'Events Summary'!$C:$C,0))/1000</f>
        <v>0</v>
      </c>
      <c r="G31" s="14">
        <f>INDEX('Events Summary'!$M:$M,MATCH(G$9,'Events Summary'!$C:$C,0))/1000</f>
        <v>3.9289999999999998</v>
      </c>
      <c r="H31" s="14">
        <f>INDEX('Events Summary'!$M:$M,MATCH(H$9,'Events Summary'!$C:$C,0))/1000</f>
        <v>0.52</v>
      </c>
      <c r="I31" s="14">
        <f>INDEX('Events Summary'!$M:$M,MATCH(I$9,'Events Summary'!$C:$C,0))/1000</f>
        <v>1.248</v>
      </c>
      <c r="J31" s="14">
        <f>INDEX('Events Summary'!$M:$M,MATCH(J$9,'Events Summary'!$C:$C,0))/1000</f>
        <v>1.0796700000000001</v>
      </c>
      <c r="K31" s="14">
        <f>INDEX('Events Summary'!$M:$M,MATCH(K$9,'Events Summary'!$C:$C,0))/1000</f>
        <v>0</v>
      </c>
      <c r="L31" s="14">
        <f>INDEX('Events Summary'!$M:$M,MATCH(L$9,'Events Summary'!$C:$C,0))/1000</f>
        <v>1.45</v>
      </c>
      <c r="M31" s="14">
        <f>INDEX('Events Summary'!$M:$M,MATCH(M$9,'Events Summary'!$C:$C,0))/1000</f>
        <v>2.032</v>
      </c>
      <c r="N31" s="14">
        <f>INDEX('Events Summary'!$M:$M,MATCH(N$9,'Events Summary'!$C:$C,0))/1000</f>
        <v>0</v>
      </c>
      <c r="O31" s="14">
        <f>INDEX('Events Summary'!$M:$M,MATCH(O$9,'Events Summary'!$C:$C,0))/1000</f>
        <v>0</v>
      </c>
      <c r="P31" s="14">
        <f>INDEX('Events Summary'!$M:$M,MATCH(P$9,'Events Summary'!$C:$C,0))/1000</f>
        <v>0</v>
      </c>
      <c r="Q31" s="14">
        <f>INDEX('Events Summary'!$M:$M,MATCH(Q$9,'Events Summary'!$C:$C,0))/1000</f>
        <v>0</v>
      </c>
      <c r="R31" s="14">
        <f>INDEX('Events Summary'!$M:$M,MATCH(R$9,'Events Summary'!$C:$C,0))/1000</f>
        <v>0</v>
      </c>
      <c r="S31" s="14">
        <f>INDEX('Events Summary'!$M:$M,MATCH(S$9,'Events Summary'!$C:$C,0))/1000</f>
        <v>1.248</v>
      </c>
      <c r="T31" s="14">
        <f>INDEX('Events Summary'!$M:$M,MATCH(T$9,'Events Summary'!$C:$C,0))/1000</f>
        <v>4.4120100000000004</v>
      </c>
      <c r="U31" s="14">
        <f>INDEX('Events Summary'!$M:$M,MATCH(U$9,'Events Summary'!$C:$C,0))/1000</f>
        <v>3.1139999999999999</v>
      </c>
      <c r="V31" s="14">
        <f>INDEX('Events Summary'!$M:$M,MATCH(V$9,'Events Summary'!$C:$C,0))/1000</f>
        <v>0</v>
      </c>
      <c r="W31" s="14">
        <f>INDEX('Events Summary'!$M:$M,MATCH(W$9,'Events Summary'!$C:$C,0))/1000</f>
        <v>0</v>
      </c>
      <c r="X31" s="14">
        <f>INDEX('Events Summary'!$M:$M,MATCH(X$9,'Events Summary'!$C:$C,0))/1000</f>
        <v>0</v>
      </c>
      <c r="Y31" s="14">
        <f>INDEX('Events Summary'!$M:$M,MATCH(Y$9,'Events Summary'!$C:$C,0))/1000</f>
        <v>4.5164999999999997</v>
      </c>
      <c r="Z31" s="14">
        <f>INDEX('Events Summary'!$M:$M,MATCH(Z$9,'Events Summary'!$C:$C,0))/1000</f>
        <v>2</v>
      </c>
      <c r="AA31" s="14">
        <f>INDEX('Events Summary'!$M:$M,MATCH(AA$9,'Events Summary'!$C:$C,0))/1000</f>
        <v>0</v>
      </c>
      <c r="AB31" s="14">
        <f>INDEX('Events Summary'!$M:$M,MATCH(AB$9,'Events Summary'!$C:$C,0))/1000</f>
        <v>0</v>
      </c>
      <c r="AC31" s="14">
        <f>INDEX('Events Summary'!$M:$M,MATCH(AC$9,'Events Summary'!$C:$C,0))/1000</f>
        <v>0</v>
      </c>
      <c r="AD31" s="14">
        <f>INDEX('Events Summary'!$M:$M,MATCH(AD$9,'Events Summary'!$C:$C,0))/1000</f>
        <v>1.7</v>
      </c>
      <c r="AE31" s="14">
        <f>INDEX('Events Summary'!$M:$M,MATCH(AE$9,'Events Summary'!$C:$C,0))/1000</f>
        <v>4.4000000000000004</v>
      </c>
      <c r="AF31" s="14">
        <f>INDEX('Events Summary'!$M:$M,MATCH(AF$9,'Events Summary'!$C:$C,0))/1000</f>
        <v>7</v>
      </c>
      <c r="AG31" s="14">
        <f>INDEX('Events Summary'!$M:$M,MATCH(AG$9,'Events Summary'!$C:$C,0))/1000</f>
        <v>3.75</v>
      </c>
      <c r="AH31" s="14">
        <f>INDEX('Events Summary'!$M:$M,MATCH(AH$9,'Events Summary'!$C:$C,0))/1000</f>
        <v>0</v>
      </c>
      <c r="AI31" s="253"/>
      <c r="AJ31" s="241"/>
      <c r="AK31" s="32">
        <f t="shared" si="58"/>
        <v>2.9424495400053949</v>
      </c>
      <c r="AL31" s="32">
        <f t="shared" si="58"/>
        <v>2.9424495400053949</v>
      </c>
      <c r="AM31" s="32">
        <f t="shared" si="58"/>
        <v>0.98081651333513165</v>
      </c>
      <c r="AN31" s="32">
        <f t="shared" si="58"/>
        <v>0.98081651333513165</v>
      </c>
      <c r="AO31" s="32">
        <f t="shared" si="58"/>
        <v>0</v>
      </c>
      <c r="AP31" s="32">
        <f t="shared" si="58"/>
        <v>0</v>
      </c>
      <c r="AQ31" s="32">
        <f t="shared" si="58"/>
        <v>0.49040825666756582</v>
      </c>
      <c r="AR31" s="32">
        <f t="shared" si="58"/>
        <v>1.9616330266702633</v>
      </c>
      <c r="AS31" s="32">
        <f t="shared" si="58"/>
        <v>3.9232660533405266</v>
      </c>
      <c r="AT31" s="32">
        <f t="shared" si="58"/>
        <v>2.4520412833378291</v>
      </c>
      <c r="AU31" s="32">
        <f t="shared" si="59"/>
        <v>0.98081651333513165</v>
      </c>
      <c r="AV31" s="32">
        <f t="shared" si="59"/>
        <v>1.9616330266702633</v>
      </c>
      <c r="AW31" s="32">
        <f t="shared" si="59"/>
        <v>13.67861076450664</v>
      </c>
      <c r="AX31" s="32">
        <f t="shared" si="59"/>
        <v>15.958379225257746</v>
      </c>
      <c r="AY31" s="32">
        <f t="shared" si="59"/>
        <v>13.67861076450664</v>
      </c>
      <c r="AZ31" s="32">
        <f t="shared" si="59"/>
        <v>11.398842303755533</v>
      </c>
      <c r="BA31" s="32">
        <f t="shared" si="59"/>
        <v>6.8393053822533201</v>
      </c>
      <c r="BB31" s="32">
        <f t="shared" si="59"/>
        <v>9.1190738430044274</v>
      </c>
      <c r="BC31" s="32">
        <f t="shared" si="59"/>
        <v>11.398842303755533</v>
      </c>
      <c r="BD31" s="32">
        <f t="shared" si="59"/>
        <v>11.398842303755533</v>
      </c>
      <c r="BE31" s="32">
        <f t="shared" si="60"/>
        <v>18.238147686008855</v>
      </c>
      <c r="BF31" s="32">
        <f t="shared" si="60"/>
        <v>13.67861076450664</v>
      </c>
      <c r="BG31" s="32">
        <f t="shared" si="60"/>
        <v>11.398842303755533</v>
      </c>
      <c r="BH31" s="32">
        <f t="shared" si="60"/>
        <v>11.398842303755533</v>
      </c>
      <c r="BI31" s="32">
        <f t="shared" si="60"/>
        <v>33.295208330683231</v>
      </c>
      <c r="BJ31" s="32">
        <f t="shared" si="60"/>
        <v>37.457109372018628</v>
      </c>
      <c r="BK31" s="32">
        <f t="shared" si="60"/>
        <v>33.295208330683231</v>
      </c>
      <c r="BL31" s="32">
        <f t="shared" si="60"/>
        <v>24.971406248012418</v>
      </c>
      <c r="BM31" s="32">
        <f t="shared" si="60"/>
        <v>16.647604165341615</v>
      </c>
      <c r="BN31" s="32">
        <f t="shared" si="60"/>
        <v>20.809505206677017</v>
      </c>
      <c r="BO31" s="32">
        <f t="shared" si="61"/>
        <v>24.971406248012418</v>
      </c>
      <c r="BP31" s="32">
        <f t="shared" si="61"/>
        <v>24.971406248012418</v>
      </c>
      <c r="BQ31" s="32">
        <f t="shared" si="61"/>
        <v>33.295208330683231</v>
      </c>
      <c r="BR31" s="32">
        <f t="shared" si="61"/>
        <v>33.295208330683231</v>
      </c>
      <c r="BS31" s="32">
        <f t="shared" si="61"/>
        <v>24.971406248012418</v>
      </c>
      <c r="BT31" s="273">
        <f t="shared" si="61"/>
        <v>24.971406248012418</v>
      </c>
      <c r="BU31" s="32">
        <f t="shared" si="65"/>
        <v>33.295208330683231</v>
      </c>
      <c r="BV31" s="32">
        <f t="shared" si="66"/>
        <v>37.457109372018628</v>
      </c>
      <c r="BW31" s="32">
        <f t="shared" si="67"/>
        <v>33.295208330683231</v>
      </c>
      <c r="BX31" s="32">
        <f t="shared" si="68"/>
        <v>24.971406248012418</v>
      </c>
      <c r="BY31" s="241"/>
      <c r="BZ31" s="32">
        <f t="shared" si="63"/>
        <v>11.25867</v>
      </c>
      <c r="CA31" s="32">
        <f t="shared" si="63"/>
        <v>15.290510000000001</v>
      </c>
      <c r="CB31" s="32">
        <f t="shared" si="64"/>
        <v>23.366500000000002</v>
      </c>
      <c r="CC31" s="14">
        <f>SUM('Revenue Analysis'!G64:G69)+SUM('Revenue Analysis'!G79:G84)</f>
        <v>19.616330266702633</v>
      </c>
      <c r="CD31" s="14">
        <f>SUM('Revenue Analysis'!H64:H69)+SUM('Revenue Analysis'!H79:H84)</f>
        <v>148.18494994882192</v>
      </c>
      <c r="CE31" s="14">
        <f>SUM('Revenue Analysis'!I64:I69)+SUM('Revenue Analysis'!I79:I84)</f>
        <v>332.95208330683226</v>
      </c>
      <c r="CG31" s="125"/>
      <c r="CH31" s="125"/>
      <c r="CI31" s="125"/>
      <c r="CK31" s="125"/>
      <c r="CM31" s="14">
        <f>SUMIFS('FY25 By Venue Financials'!$N:$N,'FY25 By Venue Financials'!$A:$A,$C31)</f>
        <v>1517.7478099999998</v>
      </c>
      <c r="CN31" s="62"/>
    </row>
    <row r="32" spans="3:96">
      <c r="C32" s="4" t="s">
        <v>17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253"/>
      <c r="AJ32" s="241"/>
      <c r="AK32" s="32">
        <f t="shared" si="58"/>
        <v>9.4409462757513669</v>
      </c>
      <c r="AL32" s="32">
        <f t="shared" si="58"/>
        <v>9.4409462757513669</v>
      </c>
      <c r="AM32" s="32">
        <f t="shared" si="58"/>
        <v>3.1469820919171227</v>
      </c>
      <c r="AN32" s="32">
        <f t="shared" si="58"/>
        <v>3.1469820919171227</v>
      </c>
      <c r="AO32" s="32">
        <f t="shared" si="58"/>
        <v>0</v>
      </c>
      <c r="AP32" s="32">
        <f t="shared" si="58"/>
        <v>0</v>
      </c>
      <c r="AQ32" s="32">
        <f t="shared" si="58"/>
        <v>1.5734910459585614</v>
      </c>
      <c r="AR32" s="32">
        <f t="shared" si="58"/>
        <v>6.2939641838342455</v>
      </c>
      <c r="AS32" s="32">
        <f t="shared" si="58"/>
        <v>12.587928367668491</v>
      </c>
      <c r="AT32" s="32">
        <f t="shared" si="58"/>
        <v>7.8674552297928066</v>
      </c>
      <c r="AU32" s="32">
        <f t="shared" si="59"/>
        <v>3.1469820919171227</v>
      </c>
      <c r="AV32" s="32">
        <f t="shared" si="59"/>
        <v>6.2939641838342455</v>
      </c>
      <c r="AW32" s="32">
        <f t="shared" si="59"/>
        <v>28.681597685128136</v>
      </c>
      <c r="AX32" s="32">
        <f t="shared" si="59"/>
        <v>33.461863965982822</v>
      </c>
      <c r="AY32" s="32">
        <f t="shared" si="59"/>
        <v>28.681597685128136</v>
      </c>
      <c r="AZ32" s="32">
        <f t="shared" si="59"/>
        <v>23.901331404273446</v>
      </c>
      <c r="BA32" s="32">
        <f t="shared" si="59"/>
        <v>14.340798842564068</v>
      </c>
      <c r="BB32" s="32">
        <f t="shared" si="59"/>
        <v>19.121065123418756</v>
      </c>
      <c r="BC32" s="32">
        <f t="shared" si="59"/>
        <v>23.901331404273446</v>
      </c>
      <c r="BD32" s="32">
        <f t="shared" si="59"/>
        <v>23.901331404273446</v>
      </c>
      <c r="BE32" s="32">
        <f t="shared" si="60"/>
        <v>38.242130246837512</v>
      </c>
      <c r="BF32" s="32">
        <f t="shared" si="60"/>
        <v>28.681597685128136</v>
      </c>
      <c r="BG32" s="32">
        <f t="shared" si="60"/>
        <v>23.901331404273446</v>
      </c>
      <c r="BH32" s="32">
        <f t="shared" si="60"/>
        <v>23.901331404273446</v>
      </c>
      <c r="BI32" s="32">
        <f t="shared" si="60"/>
        <v>46.865576059289864</v>
      </c>
      <c r="BJ32" s="32">
        <f t="shared" si="60"/>
        <v>52.723773066701092</v>
      </c>
      <c r="BK32" s="32">
        <f t="shared" si="60"/>
        <v>46.865576059289864</v>
      </c>
      <c r="BL32" s="32">
        <f t="shared" si="60"/>
        <v>35.149182044467395</v>
      </c>
      <c r="BM32" s="32">
        <f t="shared" si="60"/>
        <v>23.432788029644932</v>
      </c>
      <c r="BN32" s="32">
        <f t="shared" si="60"/>
        <v>29.290985037056164</v>
      </c>
      <c r="BO32" s="32">
        <f t="shared" si="61"/>
        <v>35.149182044467395</v>
      </c>
      <c r="BP32" s="32">
        <f t="shared" si="61"/>
        <v>35.149182044467395</v>
      </c>
      <c r="BQ32" s="32">
        <f t="shared" si="61"/>
        <v>46.865576059289864</v>
      </c>
      <c r="BR32" s="32">
        <f t="shared" si="61"/>
        <v>46.865576059289864</v>
      </c>
      <c r="BS32" s="32">
        <f t="shared" si="61"/>
        <v>35.149182044467395</v>
      </c>
      <c r="BT32" s="273">
        <f t="shared" si="61"/>
        <v>35.149182044467395</v>
      </c>
      <c r="BU32" s="32">
        <f t="shared" si="65"/>
        <v>46.865576059289864</v>
      </c>
      <c r="BV32" s="32">
        <f t="shared" si="66"/>
        <v>52.723773066701092</v>
      </c>
      <c r="BW32" s="32">
        <f t="shared" si="67"/>
        <v>46.865576059289864</v>
      </c>
      <c r="BX32" s="32">
        <f t="shared" si="68"/>
        <v>35.149182044467395</v>
      </c>
      <c r="BY32" s="241"/>
      <c r="BZ32" s="32">
        <f t="shared" si="63"/>
        <v>0</v>
      </c>
      <c r="CA32" s="32">
        <f t="shared" si="63"/>
        <v>0</v>
      </c>
      <c r="CB32" s="32">
        <f t="shared" si="64"/>
        <v>0</v>
      </c>
      <c r="CC32" s="14">
        <f>'Revenue Analysis'!G85</f>
        <v>62.939641838342453</v>
      </c>
      <c r="CD32" s="14">
        <f>'Revenue Analysis'!H85</f>
        <v>310.71730825555477</v>
      </c>
      <c r="CE32" s="14">
        <f>'Revenue Analysis'!I85</f>
        <v>468.65576059289862</v>
      </c>
      <c r="CG32" s="125"/>
      <c r="CH32" s="125"/>
      <c r="CI32" s="125"/>
      <c r="CK32" s="125"/>
      <c r="CM32" s="14">
        <f>SUMIFS('FY25 By Venue Financials'!$N:$N,'FY25 By Venue Financials'!$A:$A,$C32)</f>
        <v>1209.20739</v>
      </c>
      <c r="CN32" s="62"/>
    </row>
    <row r="33" spans="3:97">
      <c r="C33" s="4" t="s">
        <v>22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253"/>
      <c r="AJ33" s="241"/>
      <c r="AK33" s="32">
        <f t="shared" si="58"/>
        <v>2.315250133479688</v>
      </c>
      <c r="AL33" s="32">
        <f t="shared" si="58"/>
        <v>2.315250133479688</v>
      </c>
      <c r="AM33" s="32">
        <f t="shared" si="58"/>
        <v>0.77175004449322937</v>
      </c>
      <c r="AN33" s="32">
        <f t="shared" si="58"/>
        <v>0.77175004449322937</v>
      </c>
      <c r="AO33" s="32">
        <f t="shared" si="58"/>
        <v>0</v>
      </c>
      <c r="AP33" s="32">
        <f t="shared" si="58"/>
        <v>0</v>
      </c>
      <c r="AQ33" s="32">
        <f t="shared" si="58"/>
        <v>0.38587502224661469</v>
      </c>
      <c r="AR33" s="32">
        <f t="shared" si="58"/>
        <v>1.5435000889864587</v>
      </c>
      <c r="AS33" s="32">
        <f t="shared" si="58"/>
        <v>3.0870001779729175</v>
      </c>
      <c r="AT33" s="32">
        <f t="shared" si="58"/>
        <v>1.9293751112330733</v>
      </c>
      <c r="AU33" s="32">
        <f t="shared" si="59"/>
        <v>0.77175004449322937</v>
      </c>
      <c r="AV33" s="32">
        <f t="shared" si="59"/>
        <v>1.5435000889864587</v>
      </c>
      <c r="AW33" s="32">
        <f t="shared" si="59"/>
        <v>2.772702957490357</v>
      </c>
      <c r="AX33" s="32">
        <f t="shared" si="59"/>
        <v>3.2348201170720836</v>
      </c>
      <c r="AY33" s="32">
        <f t="shared" si="59"/>
        <v>2.772702957490357</v>
      </c>
      <c r="AZ33" s="32">
        <f t="shared" si="59"/>
        <v>2.3105857979086308</v>
      </c>
      <c r="BA33" s="32">
        <f t="shared" si="59"/>
        <v>1.3863514787451785</v>
      </c>
      <c r="BB33" s="32">
        <f t="shared" si="59"/>
        <v>1.8484686383269049</v>
      </c>
      <c r="BC33" s="32">
        <f t="shared" si="59"/>
        <v>2.3105857979086308</v>
      </c>
      <c r="BD33" s="32">
        <f t="shared" si="59"/>
        <v>2.3105857979086308</v>
      </c>
      <c r="BE33" s="32">
        <f t="shared" si="60"/>
        <v>3.6969372766538098</v>
      </c>
      <c r="BF33" s="32">
        <f t="shared" si="60"/>
        <v>2.772702957490357</v>
      </c>
      <c r="BG33" s="32">
        <f t="shared" si="60"/>
        <v>2.3105857979086308</v>
      </c>
      <c r="BH33" s="32">
        <f t="shared" si="60"/>
        <v>2.3105857979086308</v>
      </c>
      <c r="BI33" s="32">
        <f t="shared" si="60"/>
        <v>4.4798827760567619</v>
      </c>
      <c r="BJ33" s="32">
        <f t="shared" si="60"/>
        <v>5.0398681230638571</v>
      </c>
      <c r="BK33" s="32">
        <f t="shared" si="60"/>
        <v>4.4798827760567619</v>
      </c>
      <c r="BL33" s="32">
        <f t="shared" si="60"/>
        <v>3.3599120820425714</v>
      </c>
      <c r="BM33" s="32">
        <f t="shared" si="60"/>
        <v>2.2399413880283809</v>
      </c>
      <c r="BN33" s="32">
        <f t="shared" si="60"/>
        <v>2.7999267350354762</v>
      </c>
      <c r="BO33" s="32">
        <f t="shared" si="61"/>
        <v>3.3599120820425714</v>
      </c>
      <c r="BP33" s="32">
        <f t="shared" si="61"/>
        <v>3.3599120820425714</v>
      </c>
      <c r="BQ33" s="32">
        <f t="shared" si="61"/>
        <v>4.4798827760567619</v>
      </c>
      <c r="BR33" s="32">
        <f t="shared" si="61"/>
        <v>4.4798827760567619</v>
      </c>
      <c r="BS33" s="32">
        <f t="shared" si="61"/>
        <v>3.3599120820425714</v>
      </c>
      <c r="BT33" s="273">
        <f t="shared" si="61"/>
        <v>3.3599120820425714</v>
      </c>
      <c r="BU33" s="32">
        <f t="shared" si="65"/>
        <v>4.4798827760567619</v>
      </c>
      <c r="BV33" s="32">
        <f t="shared" si="66"/>
        <v>5.0398681230638571</v>
      </c>
      <c r="BW33" s="32">
        <f t="shared" si="67"/>
        <v>4.4798827760567619</v>
      </c>
      <c r="BX33" s="32">
        <f t="shared" si="68"/>
        <v>3.3599120820425714</v>
      </c>
      <c r="BY33" s="241"/>
      <c r="BZ33" s="32">
        <f t="shared" si="63"/>
        <v>0</v>
      </c>
      <c r="CA33" s="32">
        <f t="shared" si="63"/>
        <v>0</v>
      </c>
      <c r="CB33" s="32">
        <f t="shared" si="64"/>
        <v>0</v>
      </c>
      <c r="CC33" s="9">
        <f>SUM(CC$27:CC$32)*CG33</f>
        <v>15.435000889864586</v>
      </c>
      <c r="CD33" s="9">
        <f t="shared" ref="CD33:CE33" si="69">SUM(CD$27:CD$32)*CH33</f>
        <v>30.037615372812201</v>
      </c>
      <c r="CE33" s="9">
        <f t="shared" si="69"/>
        <v>44.798827760567619</v>
      </c>
      <c r="CG33" s="129">
        <f>$CN33</f>
        <v>1.723755006645265E-2</v>
      </c>
      <c r="CH33" s="129">
        <f t="shared" ref="CH33:CI36" si="70">$CN33</f>
        <v>1.723755006645265E-2</v>
      </c>
      <c r="CI33" s="129">
        <f t="shared" si="70"/>
        <v>1.723755006645265E-2</v>
      </c>
      <c r="CK33" s="62">
        <f>IFERROR(CB33/CB4,0)</f>
        <v>0</v>
      </c>
      <c r="CM33" s="14">
        <f>SUMIFS('FY25 By Venue Financials'!$N:$N,'FY25 By Venue Financials'!$A:$A,$C33)</f>
        <v>122.14192000000001</v>
      </c>
      <c r="CN33" s="62">
        <f>CM33/SUM($CM$27:$CM$32)</f>
        <v>1.723755006645265E-2</v>
      </c>
      <c r="CP33" s="112" t="s">
        <v>411</v>
      </c>
      <c r="CQ33" s="112" t="s">
        <v>283</v>
      </c>
      <c r="CR33" s="112" t="s">
        <v>1207</v>
      </c>
    </row>
    <row r="34" spans="3:97">
      <c r="C34" s="4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253"/>
      <c r="AJ34" s="241"/>
      <c r="AK34" s="32">
        <f t="shared" si="58"/>
        <v>0</v>
      </c>
      <c r="AL34" s="32">
        <f t="shared" si="58"/>
        <v>0</v>
      </c>
      <c r="AM34" s="32">
        <f t="shared" si="58"/>
        <v>0</v>
      </c>
      <c r="AN34" s="32">
        <f t="shared" si="58"/>
        <v>0</v>
      </c>
      <c r="AO34" s="32">
        <f t="shared" si="58"/>
        <v>0</v>
      </c>
      <c r="AP34" s="32">
        <f t="shared" si="58"/>
        <v>0</v>
      </c>
      <c r="AQ34" s="32">
        <f t="shared" si="58"/>
        <v>0</v>
      </c>
      <c r="AR34" s="32">
        <f t="shared" si="58"/>
        <v>0</v>
      </c>
      <c r="AS34" s="32">
        <f t="shared" si="58"/>
        <v>0</v>
      </c>
      <c r="AT34" s="32">
        <f t="shared" si="58"/>
        <v>0</v>
      </c>
      <c r="AU34" s="32">
        <f t="shared" si="59"/>
        <v>0</v>
      </c>
      <c r="AV34" s="32">
        <f t="shared" si="59"/>
        <v>0</v>
      </c>
      <c r="AW34" s="32">
        <f t="shared" si="59"/>
        <v>0</v>
      </c>
      <c r="AX34" s="32">
        <f t="shared" si="59"/>
        <v>0</v>
      </c>
      <c r="AY34" s="32">
        <f t="shared" si="59"/>
        <v>0</v>
      </c>
      <c r="AZ34" s="32">
        <f t="shared" si="59"/>
        <v>0</v>
      </c>
      <c r="BA34" s="32">
        <f t="shared" si="59"/>
        <v>0</v>
      </c>
      <c r="BB34" s="32">
        <f t="shared" si="59"/>
        <v>0</v>
      </c>
      <c r="BC34" s="32">
        <f t="shared" si="59"/>
        <v>0</v>
      </c>
      <c r="BD34" s="32">
        <f t="shared" si="59"/>
        <v>0</v>
      </c>
      <c r="BE34" s="32">
        <f t="shared" si="60"/>
        <v>0</v>
      </c>
      <c r="BF34" s="32">
        <f t="shared" si="60"/>
        <v>0</v>
      </c>
      <c r="BG34" s="32">
        <f t="shared" si="60"/>
        <v>0</v>
      </c>
      <c r="BH34" s="32">
        <f t="shared" si="60"/>
        <v>0</v>
      </c>
      <c r="BI34" s="32">
        <f t="shared" si="60"/>
        <v>0</v>
      </c>
      <c r="BJ34" s="32">
        <f t="shared" si="60"/>
        <v>0</v>
      </c>
      <c r="BK34" s="32">
        <f t="shared" si="60"/>
        <v>0</v>
      </c>
      <c r="BL34" s="32">
        <f t="shared" si="60"/>
        <v>0</v>
      </c>
      <c r="BM34" s="32">
        <f t="shared" si="60"/>
        <v>0</v>
      </c>
      <c r="BN34" s="32">
        <f t="shared" si="60"/>
        <v>0</v>
      </c>
      <c r="BO34" s="32">
        <f t="shared" si="61"/>
        <v>0</v>
      </c>
      <c r="BP34" s="32">
        <f t="shared" si="61"/>
        <v>0</v>
      </c>
      <c r="BQ34" s="32">
        <f t="shared" si="61"/>
        <v>0</v>
      </c>
      <c r="BR34" s="32">
        <f t="shared" si="61"/>
        <v>0</v>
      </c>
      <c r="BS34" s="32">
        <f t="shared" si="61"/>
        <v>0</v>
      </c>
      <c r="BT34" s="273">
        <f t="shared" si="61"/>
        <v>0</v>
      </c>
      <c r="BU34" s="32">
        <f t="shared" si="65"/>
        <v>0</v>
      </c>
      <c r="BV34" s="32">
        <f t="shared" si="66"/>
        <v>0</v>
      </c>
      <c r="BW34" s="32">
        <f t="shared" si="67"/>
        <v>0</v>
      </c>
      <c r="BX34" s="32">
        <f t="shared" si="68"/>
        <v>0</v>
      </c>
      <c r="BY34" s="241"/>
      <c r="BZ34" s="32">
        <f t="shared" si="63"/>
        <v>0</v>
      </c>
      <c r="CA34" s="32">
        <f t="shared" si="63"/>
        <v>0</v>
      </c>
      <c r="CB34" s="32">
        <f t="shared" si="64"/>
        <v>0</v>
      </c>
      <c r="CC34" s="9">
        <f t="shared" ref="CC34:CC35" si="71">SUM(CC$27:CC$32)*CG34</f>
        <v>0</v>
      </c>
      <c r="CD34" s="9">
        <f t="shared" ref="CD34:CD35" si="72">SUM(CD$27:CD$32)*CH34</f>
        <v>0</v>
      </c>
      <c r="CE34" s="9">
        <f t="shared" ref="CE34:CE35" si="73">SUM(CE$27:CE$32)*CI34</f>
        <v>0</v>
      </c>
      <c r="CG34" s="129">
        <f t="shared" ref="CG34:CG36" si="74">$CN34</f>
        <v>0</v>
      </c>
      <c r="CH34" s="129">
        <f t="shared" si="70"/>
        <v>0</v>
      </c>
      <c r="CI34" s="129">
        <f t="shared" si="70"/>
        <v>0</v>
      </c>
      <c r="CK34" s="62">
        <f>IFERROR(CB34/CB5,0)</f>
        <v>0</v>
      </c>
      <c r="CM34" s="14">
        <f>SUMIFS('FY25 By Venue Financials'!$N:$N,'FY25 By Venue Financials'!$A:$A,$C34)</f>
        <v>0</v>
      </c>
      <c r="CN34" s="62">
        <f t="shared" ref="CN34:CN36" si="75">CM34/SUM($CM$27:$CM$32)</f>
        <v>0</v>
      </c>
      <c r="CP34" s="112" t="s">
        <v>411</v>
      </c>
      <c r="CQ34" s="112" t="s">
        <v>283</v>
      </c>
    </row>
    <row r="35" spans="3:97">
      <c r="C35" s="4" t="s">
        <v>24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253"/>
      <c r="AJ35" s="241"/>
      <c r="AK35" s="32">
        <f t="shared" si="58"/>
        <v>-2.9288386405684146</v>
      </c>
      <c r="AL35" s="32">
        <f t="shared" si="58"/>
        <v>-2.9288386405684146</v>
      </c>
      <c r="AM35" s="32">
        <f t="shared" si="58"/>
        <v>-0.97627954685613827</v>
      </c>
      <c r="AN35" s="32">
        <f t="shared" si="58"/>
        <v>-0.97627954685613827</v>
      </c>
      <c r="AO35" s="32">
        <f t="shared" si="58"/>
        <v>0</v>
      </c>
      <c r="AP35" s="32">
        <f t="shared" si="58"/>
        <v>0</v>
      </c>
      <c r="AQ35" s="32">
        <f t="shared" si="58"/>
        <v>-0.48813977342806913</v>
      </c>
      <c r="AR35" s="32">
        <f t="shared" si="58"/>
        <v>-1.9525590937122765</v>
      </c>
      <c r="AS35" s="32">
        <f t="shared" si="58"/>
        <v>-3.9051181874245531</v>
      </c>
      <c r="AT35" s="32">
        <f t="shared" si="58"/>
        <v>-2.4406988671403456</v>
      </c>
      <c r="AU35" s="32">
        <f t="shared" si="59"/>
        <v>-0.97627954685613827</v>
      </c>
      <c r="AV35" s="32">
        <f t="shared" si="59"/>
        <v>-1.9525590937122765</v>
      </c>
      <c r="AW35" s="32">
        <f t="shared" si="59"/>
        <v>-3.5075257931249904</v>
      </c>
      <c r="AX35" s="32">
        <f t="shared" si="59"/>
        <v>-4.0921134253124887</v>
      </c>
      <c r="AY35" s="32">
        <f t="shared" si="59"/>
        <v>-3.5075257931249904</v>
      </c>
      <c r="AZ35" s="32">
        <f t="shared" si="59"/>
        <v>-2.922938160937492</v>
      </c>
      <c r="BA35" s="32">
        <f t="shared" si="59"/>
        <v>-1.7537628965624952</v>
      </c>
      <c r="BB35" s="32">
        <f t="shared" si="59"/>
        <v>-2.3383505287499933</v>
      </c>
      <c r="BC35" s="32">
        <f t="shared" si="59"/>
        <v>-2.922938160937492</v>
      </c>
      <c r="BD35" s="32">
        <f t="shared" si="59"/>
        <v>-2.922938160937492</v>
      </c>
      <c r="BE35" s="32">
        <f t="shared" si="60"/>
        <v>-4.6767010574999865</v>
      </c>
      <c r="BF35" s="32">
        <f t="shared" si="60"/>
        <v>-3.5075257931249904</v>
      </c>
      <c r="BG35" s="32">
        <f t="shared" si="60"/>
        <v>-2.922938160937492</v>
      </c>
      <c r="BH35" s="32">
        <f t="shared" si="60"/>
        <v>-2.922938160937492</v>
      </c>
      <c r="BI35" s="32">
        <f t="shared" si="60"/>
        <v>-5.6671430831588179</v>
      </c>
      <c r="BJ35" s="32">
        <f t="shared" si="60"/>
        <v>-6.3755359685536694</v>
      </c>
      <c r="BK35" s="32">
        <f t="shared" si="60"/>
        <v>-5.6671430831588179</v>
      </c>
      <c r="BL35" s="32">
        <f t="shared" si="60"/>
        <v>-4.250357312369113</v>
      </c>
      <c r="BM35" s="32">
        <f t="shared" si="60"/>
        <v>-2.8335715415794089</v>
      </c>
      <c r="BN35" s="32">
        <f t="shared" si="60"/>
        <v>-3.5419644269742609</v>
      </c>
      <c r="BO35" s="32">
        <f t="shared" si="61"/>
        <v>-4.250357312369113</v>
      </c>
      <c r="BP35" s="32">
        <f t="shared" si="61"/>
        <v>-4.250357312369113</v>
      </c>
      <c r="BQ35" s="32">
        <f t="shared" si="61"/>
        <v>-5.6671430831588179</v>
      </c>
      <c r="BR35" s="32">
        <f t="shared" si="61"/>
        <v>-5.6671430831588179</v>
      </c>
      <c r="BS35" s="32">
        <f t="shared" si="61"/>
        <v>-4.250357312369113</v>
      </c>
      <c r="BT35" s="273">
        <f t="shared" si="61"/>
        <v>-4.250357312369113</v>
      </c>
      <c r="BU35" s="32">
        <f t="shared" si="65"/>
        <v>-5.6671430831588179</v>
      </c>
      <c r="BV35" s="32">
        <f t="shared" si="66"/>
        <v>-6.3755359685536694</v>
      </c>
      <c r="BW35" s="32">
        <f t="shared" si="67"/>
        <v>-5.6671430831588179</v>
      </c>
      <c r="BX35" s="32">
        <f t="shared" si="68"/>
        <v>-4.250357312369113</v>
      </c>
      <c r="BY35" s="241"/>
      <c r="BZ35" s="32">
        <f t="shared" si="63"/>
        <v>0</v>
      </c>
      <c r="CA35" s="32">
        <f t="shared" si="63"/>
        <v>0</v>
      </c>
      <c r="CB35" s="32">
        <f t="shared" si="64"/>
        <v>0</v>
      </c>
      <c r="CC35" s="9">
        <f t="shared" si="71"/>
        <v>-19.525590937122765</v>
      </c>
      <c r="CD35" s="9">
        <f t="shared" si="72"/>
        <v>-37.998196092187392</v>
      </c>
      <c r="CE35" s="9">
        <f t="shared" si="73"/>
        <v>-56.671430831588175</v>
      </c>
      <c r="CG35" s="129">
        <f t="shared" si="74"/>
        <v>-2.1805852410202265E-2</v>
      </c>
      <c r="CH35" s="129">
        <f t="shared" si="70"/>
        <v>-2.1805852410202265E-2</v>
      </c>
      <c r="CI35" s="129">
        <f t="shared" si="70"/>
        <v>-2.1805852410202265E-2</v>
      </c>
      <c r="CK35" s="62">
        <f>IFERROR(CB35/CB6,0)</f>
        <v>0</v>
      </c>
      <c r="CM35" s="14">
        <f>SUMIFS('FY25 By Venue Financials'!$N:$N,'FY25 By Venue Financials'!$A:$A,$C35)</f>
        <v>-154.51201999999998</v>
      </c>
      <c r="CN35" s="62">
        <f t="shared" si="75"/>
        <v>-2.1805852410202265E-2</v>
      </c>
      <c r="CP35" s="112" t="s">
        <v>411</v>
      </c>
      <c r="CQ35" s="112" t="s">
        <v>283</v>
      </c>
      <c r="CR35" s="112" t="s">
        <v>1207</v>
      </c>
    </row>
    <row r="36" spans="3:97">
      <c r="C36" s="4" t="s">
        <v>45</v>
      </c>
      <c r="D36" s="14">
        <f>SUMIFS('P&amp;L'!C:C,'P&amp;L'!$A:$A,$C36)/1000</f>
        <v>0.38245000000000001</v>
      </c>
      <c r="E36" s="14">
        <f>SUMIFS('P&amp;L'!D:D,'P&amp;L'!$A:$A,$C36)/1000</f>
        <v>0</v>
      </c>
      <c r="F36" s="14">
        <f>SUMIFS('P&amp;L'!E:E,'P&amp;L'!$A:$A,$C36)/1000</f>
        <v>0</v>
      </c>
      <c r="G36" s="14">
        <f>SUMIFS('P&amp;L'!F:F,'P&amp;L'!$A:$A,$C36)/1000</f>
        <v>3.7616000000000001</v>
      </c>
      <c r="H36" s="14">
        <f>SUMIFS('P&amp;L'!G:G,'P&amp;L'!$A:$A,$C36)/1000</f>
        <v>14.679799999999998</v>
      </c>
      <c r="I36" s="14">
        <f>SUMIFS('P&amp;L'!H:H,'P&amp;L'!$A:$A,$C36)/1000</f>
        <v>23.398190000000003</v>
      </c>
      <c r="J36" s="14">
        <f>SUMIFS('P&amp;L'!I:I,'P&amp;L'!$A:$A,$C36)/1000</f>
        <v>3.0910000000000002</v>
      </c>
      <c r="K36" s="14">
        <f>SUMIFS('P&amp;L'!J:J,'P&amp;L'!$A:$A,$C36)/1000</f>
        <v>0.83599999999999997</v>
      </c>
      <c r="L36" s="14">
        <f>SUMIFS('P&amp;L'!K:K,'P&amp;L'!$A:$A,$C36)/1000</f>
        <v>3.907</v>
      </c>
      <c r="M36" s="14">
        <f>SUMIFS('P&amp;L'!L:L,'P&amp;L'!$A:$A,$C36)/1000</f>
        <v>1.738</v>
      </c>
      <c r="N36" s="14">
        <f>SUMIFS('P&amp;L'!M:M,'P&amp;L'!$A:$A,$C36)/1000</f>
        <v>7.5</v>
      </c>
      <c r="O36" s="14">
        <f>SUMIFS('P&amp;L'!N:N,'P&amp;L'!$A:$A,$C36)/1000</f>
        <v>1.8919999999999999</v>
      </c>
      <c r="P36" s="14">
        <f>SUMIFS('P&amp;L'!O:O,'P&amp;L'!$A:$A,$C36)/1000</f>
        <v>2.625</v>
      </c>
      <c r="Q36" s="14">
        <f>SUMIFS('P&amp;L'!P:P,'P&amp;L'!$A:$A,$C36)/1000</f>
        <v>2.633</v>
      </c>
      <c r="R36" s="14">
        <f>SUMIFS('P&amp;L'!Q:Q,'P&amp;L'!$A:$A,$C36)/1000</f>
        <v>2.5209999999999999</v>
      </c>
      <c r="S36" s="14">
        <f>SUMIFS('P&amp;L'!R:R,'P&amp;L'!$A:$A,$C36)/1000</f>
        <v>3.129</v>
      </c>
      <c r="T36" s="14">
        <f>SUMIFS('P&amp;L'!S:S,'P&amp;L'!$A:$A,$C36)/1000</f>
        <v>6.2411599999999998</v>
      </c>
      <c r="U36" s="14">
        <f>SUMIFS('P&amp;L'!T:T,'P&amp;L'!$A:$A,$C36)/1000</f>
        <v>15.961919999999999</v>
      </c>
      <c r="V36" s="14">
        <f>SUMIFS('P&amp;L'!U:U,'P&amp;L'!$A:$A,$C36)/1000</f>
        <v>0.17499999999999999</v>
      </c>
      <c r="W36" s="14">
        <f>SUMIFS('P&amp;L'!V:V,'P&amp;L'!$A:$A,$C36)/1000</f>
        <v>0</v>
      </c>
      <c r="X36" s="14">
        <f>SUMIFS('P&amp;L'!W:W,'P&amp;L'!$A:$A,$C36)/1000</f>
        <v>0</v>
      </c>
      <c r="Y36" s="14">
        <f>SUMIFS('P&amp;L'!X:X,'P&amp;L'!$A:$A,$C36)/1000</f>
        <v>0</v>
      </c>
      <c r="Z36" s="14">
        <f>SUMIFS('P&amp;L'!Y:Y,'P&amp;L'!$A:$A,$C36)/1000</f>
        <v>1.3340000000000001</v>
      </c>
      <c r="AA36" s="14">
        <f>SUMIFS('P&amp;L'!Z:Z,'P&amp;L'!$A:$A,$C36)/1000</f>
        <v>0</v>
      </c>
      <c r="AB36" s="14">
        <f>SUMIFS('P&amp;L'!AA:AA,'P&amp;L'!$A:$A,$C36)/1000</f>
        <v>0</v>
      </c>
      <c r="AC36" s="14">
        <f>SUMIFS('P&amp;L'!AB:AB,'P&amp;L'!$A:$A,$C36)/1000</f>
        <v>0</v>
      </c>
      <c r="AD36" s="14">
        <f>SUMIFS('P&amp;L'!AC:AC,'P&amp;L'!$A:$A,$C36)/1000</f>
        <v>0</v>
      </c>
      <c r="AE36" s="14">
        <f>SUMIFS('P&amp;L'!AD:AD,'P&amp;L'!$A:$A,$C36)/1000</f>
        <v>0.15</v>
      </c>
      <c r="AF36" s="14">
        <f>SUMIFS('P&amp;L'!AE:AE,'P&amp;L'!$A:$A,$C36)/1000</f>
        <v>0</v>
      </c>
      <c r="AG36" s="14">
        <f>SUMIFS('P&amp;L'!AF:AF,'P&amp;L'!$A:$A,$C36)/1000</f>
        <v>11.17399</v>
      </c>
      <c r="AH36" s="14">
        <f>SUMIFS('P&amp;L'!AG:AG,'P&amp;L'!$A:$A,$C36)/1000</f>
        <v>2.3816599999999997</v>
      </c>
      <c r="AI36" s="253"/>
      <c r="AJ36" s="241"/>
      <c r="AK36" s="32">
        <f t="shared" si="58"/>
        <v>2.2559475</v>
      </c>
      <c r="AL36" s="32">
        <f t="shared" si="58"/>
        <v>2.2559475</v>
      </c>
      <c r="AM36" s="32">
        <f t="shared" si="58"/>
        <v>0.7519825</v>
      </c>
      <c r="AN36" s="32">
        <f t="shared" si="58"/>
        <v>0.7519825</v>
      </c>
      <c r="AO36" s="32">
        <f t="shared" si="58"/>
        <v>0</v>
      </c>
      <c r="AP36" s="32">
        <f t="shared" si="58"/>
        <v>0</v>
      </c>
      <c r="AQ36" s="32">
        <f t="shared" si="58"/>
        <v>0.37599125</v>
      </c>
      <c r="AR36" s="32">
        <f t="shared" si="58"/>
        <v>1.503965</v>
      </c>
      <c r="AS36" s="32">
        <f t="shared" si="58"/>
        <v>3.00793</v>
      </c>
      <c r="AT36" s="32">
        <f t="shared" si="58"/>
        <v>1.87995625</v>
      </c>
      <c r="AU36" s="32">
        <f t="shared" si="59"/>
        <v>0.7519825</v>
      </c>
      <c r="AV36" s="32">
        <f t="shared" si="59"/>
        <v>1.503965</v>
      </c>
      <c r="AW36" s="32">
        <f t="shared" si="59"/>
        <v>1.3882753846153848</v>
      </c>
      <c r="AX36" s="32">
        <f t="shared" si="59"/>
        <v>1.6196546153846154</v>
      </c>
      <c r="AY36" s="32">
        <f t="shared" si="59"/>
        <v>1.3882753846153848</v>
      </c>
      <c r="AZ36" s="32">
        <f t="shared" si="59"/>
        <v>1.156896153846154</v>
      </c>
      <c r="BA36" s="32">
        <f t="shared" si="59"/>
        <v>0.6941376923076924</v>
      </c>
      <c r="BB36" s="32">
        <f t="shared" si="59"/>
        <v>0.92551692307692313</v>
      </c>
      <c r="BC36" s="32">
        <f t="shared" si="59"/>
        <v>1.156896153846154</v>
      </c>
      <c r="BD36" s="32">
        <f t="shared" si="59"/>
        <v>1.156896153846154</v>
      </c>
      <c r="BE36" s="32">
        <f t="shared" si="60"/>
        <v>1.8510338461538463</v>
      </c>
      <c r="BF36" s="32">
        <f t="shared" si="60"/>
        <v>1.3882753846153848</v>
      </c>
      <c r="BG36" s="32">
        <f t="shared" si="60"/>
        <v>1.156896153846154</v>
      </c>
      <c r="BH36" s="32">
        <f t="shared" si="60"/>
        <v>1.156896153846154</v>
      </c>
      <c r="BI36" s="32">
        <f t="shared" si="60"/>
        <v>1.503965</v>
      </c>
      <c r="BJ36" s="32">
        <f t="shared" si="60"/>
        <v>1.6919606250000001</v>
      </c>
      <c r="BK36" s="32">
        <f t="shared" si="60"/>
        <v>1.503965</v>
      </c>
      <c r="BL36" s="32">
        <f t="shared" si="60"/>
        <v>1.12797375</v>
      </c>
      <c r="BM36" s="32">
        <f t="shared" si="60"/>
        <v>0.7519825</v>
      </c>
      <c r="BN36" s="32">
        <f t="shared" si="60"/>
        <v>0.939978125</v>
      </c>
      <c r="BO36" s="32">
        <f t="shared" si="61"/>
        <v>1.12797375</v>
      </c>
      <c r="BP36" s="32">
        <f t="shared" si="61"/>
        <v>1.12797375</v>
      </c>
      <c r="BQ36" s="32">
        <f t="shared" si="61"/>
        <v>1.503965</v>
      </c>
      <c r="BR36" s="32">
        <f t="shared" si="61"/>
        <v>1.503965</v>
      </c>
      <c r="BS36" s="32">
        <f t="shared" si="61"/>
        <v>1.12797375</v>
      </c>
      <c r="BT36" s="273">
        <f t="shared" si="61"/>
        <v>1.12797375</v>
      </c>
      <c r="BU36" s="32">
        <f t="shared" si="65"/>
        <v>1.503965</v>
      </c>
      <c r="BV36" s="32">
        <f t="shared" si="66"/>
        <v>1.6919606250000001</v>
      </c>
      <c r="BW36" s="32">
        <f t="shared" si="67"/>
        <v>1.503965</v>
      </c>
      <c r="BX36" s="32">
        <f t="shared" si="68"/>
        <v>1.12797375</v>
      </c>
      <c r="BY36" s="241"/>
      <c r="BZ36" s="32">
        <f t="shared" si="63"/>
        <v>61.186040000000013</v>
      </c>
      <c r="CA36" s="32">
        <f t="shared" si="63"/>
        <v>34.620080000000002</v>
      </c>
      <c r="CB36" s="32">
        <f t="shared" si="64"/>
        <v>15.03965</v>
      </c>
      <c r="CC36" s="9">
        <f>CB36</f>
        <v>15.03965</v>
      </c>
      <c r="CD36" s="9">
        <f t="shared" ref="CD36:CE36" si="76">CC36</f>
        <v>15.03965</v>
      </c>
      <c r="CE36" s="9">
        <f t="shared" si="76"/>
        <v>15.03965</v>
      </c>
      <c r="CG36" s="129">
        <f t="shared" si="74"/>
        <v>0</v>
      </c>
      <c r="CH36" s="129">
        <f t="shared" si="70"/>
        <v>0</v>
      </c>
      <c r="CI36" s="129">
        <f t="shared" si="70"/>
        <v>0</v>
      </c>
      <c r="CK36" s="62">
        <f>IFERROR(CB36/CB7,0)</f>
        <v>0</v>
      </c>
      <c r="CM36" s="14">
        <f>SUMIFS('FY25 By Venue Financials'!$N:$N,'FY25 By Venue Financials'!$A:$A,$C36)</f>
        <v>0</v>
      </c>
      <c r="CN36" s="62">
        <f t="shared" si="75"/>
        <v>0</v>
      </c>
      <c r="CP36" s="112" t="s">
        <v>411</v>
      </c>
      <c r="CQ36" s="112" t="s">
        <v>283</v>
      </c>
      <c r="CR36" s="124" t="s">
        <v>1173</v>
      </c>
    </row>
    <row r="37" spans="3:97" ht="5.15" customHeight="1">
      <c r="C37" s="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253"/>
      <c r="AJ37" s="241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241"/>
      <c r="BZ37" s="14"/>
      <c r="CA37" s="14"/>
      <c r="CB37" s="14"/>
      <c r="CC37" s="9"/>
      <c r="CD37" s="9"/>
      <c r="CE37" s="9"/>
      <c r="CG37" s="9"/>
      <c r="CH37" s="9"/>
      <c r="CI37" s="9"/>
      <c r="CK37" s="9"/>
      <c r="CM37" s="9"/>
      <c r="CN37" s="9"/>
    </row>
    <row r="38" spans="3:97">
      <c r="C38" s="12" t="s">
        <v>220</v>
      </c>
      <c r="D38" s="131">
        <f t="shared" ref="D38:O38" si="77">SUM(D27:D37)</f>
        <v>0.38245000000000001</v>
      </c>
      <c r="E38" s="131">
        <f t="shared" si="77"/>
        <v>17.926649999999999</v>
      </c>
      <c r="F38" s="131">
        <f t="shared" si="77"/>
        <v>50.2</v>
      </c>
      <c r="G38" s="131">
        <f t="shared" si="77"/>
        <v>76.590600000000009</v>
      </c>
      <c r="H38" s="131">
        <f t="shared" si="77"/>
        <v>72.881799999999998</v>
      </c>
      <c r="I38" s="131">
        <f t="shared" si="77"/>
        <v>110.44619</v>
      </c>
      <c r="J38" s="131">
        <f t="shared" si="77"/>
        <v>23.270670000000003</v>
      </c>
      <c r="K38" s="131">
        <f t="shared" si="77"/>
        <v>0.83599999999999997</v>
      </c>
      <c r="L38" s="131">
        <f t="shared" si="77"/>
        <v>35.540999999999997</v>
      </c>
      <c r="M38" s="131">
        <f t="shared" si="77"/>
        <v>58.501999999999995</v>
      </c>
      <c r="N38" s="131">
        <f t="shared" si="77"/>
        <v>8.1</v>
      </c>
      <c r="O38" s="131">
        <f t="shared" si="77"/>
        <v>11.786999999999999</v>
      </c>
      <c r="P38" s="131">
        <f t="shared" ref="P38:R38" si="78">SUM(P27:P37)</f>
        <v>2.625</v>
      </c>
      <c r="Q38" s="131">
        <f t="shared" si="78"/>
        <v>5.048</v>
      </c>
      <c r="R38" s="131">
        <f t="shared" si="78"/>
        <v>34.371000000000002</v>
      </c>
      <c r="S38" s="131">
        <f t="shared" ref="S38:V38" si="79">SUM(S27:S37)</f>
        <v>76.677000000000021</v>
      </c>
      <c r="T38" s="131">
        <f t="shared" si="79"/>
        <v>119.46916999999999</v>
      </c>
      <c r="U38" s="131">
        <f t="shared" si="79"/>
        <v>106.27592000000001</v>
      </c>
      <c r="V38" s="131">
        <f t="shared" si="79"/>
        <v>3.9749999999999996</v>
      </c>
      <c r="W38" s="131">
        <f t="shared" ref="W38:AD38" si="80">SUM(W27:W37)</f>
        <v>1.8</v>
      </c>
      <c r="X38" s="131">
        <f t="shared" si="80"/>
        <v>2.2000000000000002</v>
      </c>
      <c r="Y38" s="131">
        <f t="shared" si="80"/>
        <v>55.246500000000005</v>
      </c>
      <c r="Z38" s="131">
        <f t="shared" si="80"/>
        <v>29.997630000000001</v>
      </c>
      <c r="AA38" s="131">
        <f t="shared" si="80"/>
        <v>0</v>
      </c>
      <c r="AB38" s="131">
        <f t="shared" si="80"/>
        <v>21.9</v>
      </c>
      <c r="AC38" s="131">
        <f t="shared" si="80"/>
        <v>0.6</v>
      </c>
      <c r="AD38" s="131">
        <f t="shared" si="80"/>
        <v>61.500000000000007</v>
      </c>
      <c r="AE38" s="131">
        <f t="shared" ref="AE38:AX38" si="81">SUM(AE27:AE37)</f>
        <v>93.450000000000017</v>
      </c>
      <c r="AF38" s="131">
        <f>SUM(AF27:AF37)</f>
        <v>132.6</v>
      </c>
      <c r="AG38" s="131">
        <f t="shared" ref="AG38:AH38" si="82">SUM(AG27:AG37)</f>
        <v>135.97399000000001</v>
      </c>
      <c r="AH38" s="131">
        <f t="shared" si="82"/>
        <v>25.581659999999999</v>
      </c>
      <c r="AI38" s="131"/>
      <c r="AJ38" s="242"/>
      <c r="AK38" s="131">
        <f t="shared" si="81"/>
        <v>135.95669743161884</v>
      </c>
      <c r="AL38" s="131">
        <f t="shared" si="81"/>
        <v>135.95669743161884</v>
      </c>
      <c r="AM38" s="131">
        <f t="shared" si="81"/>
        <v>45.318899143872947</v>
      </c>
      <c r="AN38" s="131">
        <f t="shared" si="81"/>
        <v>45.318899143872947</v>
      </c>
      <c r="AO38" s="131">
        <f t="shared" si="81"/>
        <v>0</v>
      </c>
      <c r="AP38" s="131">
        <f t="shared" si="81"/>
        <v>0</v>
      </c>
      <c r="AQ38" s="131">
        <f t="shared" si="81"/>
        <v>22.659449571936474</v>
      </c>
      <c r="AR38" s="131">
        <f t="shared" si="81"/>
        <v>90.637798287745895</v>
      </c>
      <c r="AS38" s="131">
        <f t="shared" si="81"/>
        <v>181.27559657549179</v>
      </c>
      <c r="AT38" s="131">
        <f t="shared" si="81"/>
        <v>113.2972478596824</v>
      </c>
      <c r="AU38" s="131">
        <f t="shared" si="81"/>
        <v>45.318899143872947</v>
      </c>
      <c r="AV38" s="131">
        <f t="shared" si="81"/>
        <v>90.637798287745895</v>
      </c>
      <c r="AW38" s="131">
        <f t="shared" si="81"/>
        <v>161.50594880287315</v>
      </c>
      <c r="AX38" s="131">
        <f t="shared" si="81"/>
        <v>188.4236069366853</v>
      </c>
      <c r="AY38" s="131">
        <f t="shared" ref="AY38:BX38" si="83">SUM(AY27:AY37)</f>
        <v>161.50594880287315</v>
      </c>
      <c r="AZ38" s="131">
        <f t="shared" si="83"/>
        <v>134.58829066906094</v>
      </c>
      <c r="BA38" s="131">
        <f t="shared" si="83"/>
        <v>80.752974401436575</v>
      </c>
      <c r="BB38" s="131">
        <f t="shared" si="83"/>
        <v>107.67063253524876</v>
      </c>
      <c r="BC38" s="131">
        <f t="shared" si="83"/>
        <v>134.58829066906094</v>
      </c>
      <c r="BD38" s="131">
        <f t="shared" si="83"/>
        <v>134.58829066906094</v>
      </c>
      <c r="BE38" s="131">
        <f t="shared" si="83"/>
        <v>215.34126507049751</v>
      </c>
      <c r="BF38" s="131">
        <f t="shared" si="83"/>
        <v>161.50594880287315</v>
      </c>
      <c r="BG38" s="131">
        <f t="shared" si="83"/>
        <v>134.58829066906094</v>
      </c>
      <c r="BH38" s="131">
        <f t="shared" si="83"/>
        <v>134.58829066906094</v>
      </c>
      <c r="BI38" s="131">
        <f t="shared" si="83"/>
        <v>260.20762647623263</v>
      </c>
      <c r="BJ38" s="131">
        <f t="shared" si="83"/>
        <v>292.73357978576172</v>
      </c>
      <c r="BK38" s="131">
        <f t="shared" si="83"/>
        <v>260.20762647623263</v>
      </c>
      <c r="BL38" s="131">
        <f t="shared" si="83"/>
        <v>195.15571985717446</v>
      </c>
      <c r="BM38" s="131">
        <f t="shared" si="83"/>
        <v>130.10381323811632</v>
      </c>
      <c r="BN38" s="131">
        <f t="shared" si="83"/>
        <v>162.62976654764543</v>
      </c>
      <c r="BO38" s="131">
        <f t="shared" si="83"/>
        <v>195.15571985717446</v>
      </c>
      <c r="BP38" s="131">
        <f t="shared" si="83"/>
        <v>195.15571985717446</v>
      </c>
      <c r="BQ38" s="131">
        <f t="shared" si="83"/>
        <v>260.20762647623263</v>
      </c>
      <c r="BR38" s="131">
        <f t="shared" si="83"/>
        <v>260.20762647623263</v>
      </c>
      <c r="BS38" s="131">
        <f t="shared" si="83"/>
        <v>195.15571985717446</v>
      </c>
      <c r="BT38" s="131">
        <f t="shared" si="83"/>
        <v>195.15571985717446</v>
      </c>
      <c r="BU38" s="131">
        <f t="shared" si="83"/>
        <v>260.20762647623263</v>
      </c>
      <c r="BV38" s="131">
        <f t="shared" si="83"/>
        <v>292.73357978576172</v>
      </c>
      <c r="BW38" s="131">
        <f t="shared" si="83"/>
        <v>260.20762647623263</v>
      </c>
      <c r="BX38" s="131">
        <f t="shared" si="83"/>
        <v>195.15571985717446</v>
      </c>
      <c r="BY38" s="242"/>
      <c r="BZ38" s="131">
        <f t="shared" ref="BZ38:CE38" si="84">SUM(BZ27:BZ37)</f>
        <v>466.46435999999994</v>
      </c>
      <c r="CA38" s="131">
        <f t="shared" si="84"/>
        <v>437.68522000000007</v>
      </c>
      <c r="CB38" s="131">
        <f t="shared" si="84"/>
        <v>560.84978000000001</v>
      </c>
      <c r="CC38" s="131">
        <f t="shared" si="84"/>
        <v>906.3779828774592</v>
      </c>
      <c r="CD38" s="131">
        <f t="shared" si="84"/>
        <v>1749.6477786977923</v>
      </c>
      <c r="CE38" s="131">
        <f t="shared" si="84"/>
        <v>2602.0762647623269</v>
      </c>
      <c r="CF38" s="35"/>
      <c r="CG38" s="131"/>
      <c r="CH38" s="131"/>
      <c r="CI38" s="131"/>
      <c r="CJ38" s="35"/>
      <c r="CK38" s="131"/>
      <c r="CL38" s="35"/>
      <c r="CM38" s="131">
        <f t="shared" ref="CM38" si="85">SUM(CM27:CM37)</f>
        <v>7053.4349899999997</v>
      </c>
      <c r="CN38" s="13"/>
    </row>
    <row r="39" spans="3:97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386"/>
      <c r="AJ39" s="105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105"/>
      <c r="BZ39" s="9"/>
      <c r="CA39" s="9"/>
      <c r="CB39" s="9"/>
      <c r="CC39" s="9"/>
      <c r="CD39" s="9"/>
      <c r="CE39" s="9"/>
      <c r="CG39" s="9"/>
      <c r="CH39" s="9"/>
      <c r="CI39" s="9"/>
      <c r="CK39" s="9"/>
      <c r="CM39" s="9"/>
      <c r="CN39" s="9"/>
    </row>
    <row r="40" spans="3:97">
      <c r="C40" s="6" t="s">
        <v>223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386"/>
      <c r="AJ40" s="105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105"/>
      <c r="BZ40" s="9"/>
      <c r="CA40" s="9"/>
      <c r="CB40" s="9"/>
      <c r="CC40" s="9"/>
      <c r="CD40" s="9"/>
      <c r="CE40" s="9"/>
      <c r="CG40" s="9"/>
      <c r="CH40" s="9"/>
      <c r="CI40" s="9"/>
      <c r="CK40" s="9"/>
      <c r="CM40" s="9"/>
      <c r="CN40" s="9"/>
    </row>
    <row r="41" spans="3:97">
      <c r="C41" s="4" t="s">
        <v>48</v>
      </c>
      <c r="D41" s="14">
        <f>-SUMIFS('P&amp;L'!C:C,'P&amp;L'!$A:$A,$C41)/1000</f>
        <v>0</v>
      </c>
      <c r="E41" s="14">
        <f>-SUMIFS('P&amp;L'!D:D,'P&amp;L'!$A:$A,$C41)/1000</f>
        <v>0</v>
      </c>
      <c r="F41" s="14">
        <f>-SUMIFS('P&amp;L'!E:E,'P&amp;L'!$A:$A,$C41)/1000</f>
        <v>0</v>
      </c>
      <c r="G41" s="14">
        <f>-SUMIFS('P&amp;L'!F:F,'P&amp;L'!$A:$A,$C41)/1000</f>
        <v>0</v>
      </c>
      <c r="H41" s="14">
        <f>-SUMIFS('P&amp;L'!G:G,'P&amp;L'!$A:$A,$C41)/1000</f>
        <v>0</v>
      </c>
      <c r="I41" s="14">
        <f>-SUMIFS('P&amp;L'!H:H,'P&amp;L'!$A:$A,$C41)/1000</f>
        <v>0</v>
      </c>
      <c r="J41" s="14">
        <f>-SUMIFS('P&amp;L'!I:I,'P&amp;L'!$A:$A,$C41)/1000</f>
        <v>0</v>
      </c>
      <c r="K41" s="14">
        <f>-SUMIFS('P&amp;L'!J:J,'P&amp;L'!$A:$A,$C41)/1000</f>
        <v>0</v>
      </c>
      <c r="L41" s="14">
        <f>-SUMIFS('P&amp;L'!K:K,'P&amp;L'!$A:$A,$C41)/1000</f>
        <v>0</v>
      </c>
      <c r="M41" s="14">
        <f>-SUMIFS('P&amp;L'!L:L,'P&amp;L'!$A:$A,$C41)/1000</f>
        <v>0</v>
      </c>
      <c r="N41" s="14">
        <f>-SUMIFS('P&amp;L'!M:M,'P&amp;L'!$A:$A,$C41)/1000</f>
        <v>0</v>
      </c>
      <c r="O41" s="14">
        <f>-SUMIFS('P&amp;L'!N:N,'P&amp;L'!$A:$A,$C41)/1000</f>
        <v>0</v>
      </c>
      <c r="P41" s="14">
        <f>-SUMIFS('P&amp;L'!O:O,'P&amp;L'!$A:$A,$C41)/1000</f>
        <v>0</v>
      </c>
      <c r="Q41" s="14">
        <f>-SUMIFS('P&amp;L'!P:P,'P&amp;L'!$A:$A,$C41)/1000</f>
        <v>0</v>
      </c>
      <c r="R41" s="14">
        <f>-SUMIFS('P&amp;L'!Q:Q,'P&amp;L'!$A:$A,$C41)/1000</f>
        <v>0</v>
      </c>
      <c r="S41" s="14">
        <f>-SUMIFS('P&amp;L'!R:R,'P&amp;L'!$A:$A,$C41)/1000</f>
        <v>0</v>
      </c>
      <c r="T41" s="14">
        <f>-SUMIFS('P&amp;L'!S:S,'P&amp;L'!$A:$A,$C41)/1000</f>
        <v>0</v>
      </c>
      <c r="U41" s="14">
        <f>-SUMIFS('P&amp;L'!T:T,'P&amp;L'!$A:$A,$C41)/1000</f>
        <v>0</v>
      </c>
      <c r="V41" s="14">
        <f>-SUMIFS('P&amp;L'!U:U,'P&amp;L'!$A:$A,$C41)/1000</f>
        <v>0</v>
      </c>
      <c r="W41" s="14">
        <f>-SUMIFS('P&amp;L'!V:V,'P&amp;L'!$A:$A,$C41)/1000</f>
        <v>0</v>
      </c>
      <c r="X41" s="14">
        <f>-SUMIFS('P&amp;L'!W:W,'P&amp;L'!$A:$A,$C41)/1000</f>
        <v>0</v>
      </c>
      <c r="Y41" s="14">
        <f>-SUMIFS('P&amp;L'!X:X,'P&amp;L'!$A:$A,$C41)/1000</f>
        <v>0</v>
      </c>
      <c r="Z41" s="14">
        <f>-SUMIFS('P&amp;L'!Y:Y,'P&amp;L'!$A:$A,$C41)/1000</f>
        <v>0</v>
      </c>
      <c r="AA41" s="14">
        <f>-SUMIFS('P&amp;L'!Z:Z,'P&amp;L'!$A:$A,$C41)/1000</f>
        <v>0</v>
      </c>
      <c r="AB41" s="14">
        <f>-SUMIFS('P&amp;L'!AA:AA,'P&amp;L'!$A:$A,$C41)/1000</f>
        <v>0</v>
      </c>
      <c r="AC41" s="14">
        <f>-SUMIFS('P&amp;L'!AB:AB,'P&amp;L'!$A:$A,$C41)/1000</f>
        <v>0</v>
      </c>
      <c r="AD41" s="14">
        <f>-SUMIFS('P&amp;L'!AC:AC,'P&amp;L'!$A:$A,$C41)/1000</f>
        <v>0</v>
      </c>
      <c r="AE41" s="14">
        <f>-SUMIFS('P&amp;L'!AD:AD,'P&amp;L'!$A:$A,$C41)/1000</f>
        <v>0</v>
      </c>
      <c r="AF41" s="14">
        <f>-SUMIFS('P&amp;L'!AE:AE,'P&amp;L'!$A:$A,$C41)/1000</f>
        <v>0</v>
      </c>
      <c r="AG41" s="14">
        <f>-SUMIFS('P&amp;L'!AF:AF,'P&amp;L'!$A:$A,$C41)/1000</f>
        <v>0</v>
      </c>
      <c r="AH41" s="14">
        <f>-SUMIFS('P&amp;L'!AG:AG,'P&amp;L'!$A:$A,$C41)/1000</f>
        <v>0</v>
      </c>
      <c r="AI41" s="258"/>
      <c r="AJ41" s="241"/>
      <c r="AK41" s="32">
        <f t="shared" ref="AK41:AT45" si="86">SUMIFS($CC41:$CE41,$CC$1:$CE$1,AK$3)*AK$24</f>
        <v>0</v>
      </c>
      <c r="AL41" s="32">
        <f t="shared" si="86"/>
        <v>0</v>
      </c>
      <c r="AM41" s="32">
        <f t="shared" si="86"/>
        <v>0</v>
      </c>
      <c r="AN41" s="32">
        <f t="shared" si="86"/>
        <v>0</v>
      </c>
      <c r="AO41" s="32">
        <f t="shared" si="86"/>
        <v>0</v>
      </c>
      <c r="AP41" s="32">
        <f t="shared" si="86"/>
        <v>0</v>
      </c>
      <c r="AQ41" s="32">
        <f t="shared" si="86"/>
        <v>0</v>
      </c>
      <c r="AR41" s="32">
        <f t="shared" si="86"/>
        <v>0</v>
      </c>
      <c r="AS41" s="32">
        <f t="shared" si="86"/>
        <v>0</v>
      </c>
      <c r="AT41" s="32">
        <f t="shared" si="86"/>
        <v>0</v>
      </c>
      <c r="AU41" s="32">
        <f t="shared" ref="AU41:BD45" si="87">SUMIFS($CC41:$CE41,$CC$1:$CE$1,AU$3)*AU$24</f>
        <v>0</v>
      </c>
      <c r="AV41" s="32">
        <f t="shared" si="87"/>
        <v>0</v>
      </c>
      <c r="AW41" s="32">
        <f t="shared" si="87"/>
        <v>-2.4708115680187945</v>
      </c>
      <c r="AX41" s="32">
        <f t="shared" si="87"/>
        <v>-2.8826134960219272</v>
      </c>
      <c r="AY41" s="32">
        <f t="shared" si="87"/>
        <v>-2.4708115680187945</v>
      </c>
      <c r="AZ41" s="32">
        <f t="shared" si="87"/>
        <v>-2.0590096400156623</v>
      </c>
      <c r="BA41" s="32">
        <f t="shared" si="87"/>
        <v>-1.2354057840093973</v>
      </c>
      <c r="BB41" s="32">
        <f t="shared" si="87"/>
        <v>-1.6472077120125297</v>
      </c>
      <c r="BC41" s="32">
        <f t="shared" si="87"/>
        <v>-2.0590096400156623</v>
      </c>
      <c r="BD41" s="32">
        <f t="shared" si="87"/>
        <v>-2.0590096400156623</v>
      </c>
      <c r="BE41" s="32">
        <f t="shared" ref="BE41:BN45" si="88">SUMIFS($CC41:$CE41,$CC$1:$CE$1,BE$3)*BE$24</f>
        <v>-3.2944154240250594</v>
      </c>
      <c r="BF41" s="32">
        <f t="shared" si="88"/>
        <v>-2.4708115680187945</v>
      </c>
      <c r="BG41" s="32">
        <f t="shared" si="88"/>
        <v>-2.0590096400156623</v>
      </c>
      <c r="BH41" s="32">
        <f t="shared" si="88"/>
        <v>-2.0590096400156623</v>
      </c>
      <c r="BI41" s="32">
        <f t="shared" si="88"/>
        <v>-6.6917813300509028</v>
      </c>
      <c r="BJ41" s="32">
        <f t="shared" si="88"/>
        <v>-7.5282539963072654</v>
      </c>
      <c r="BK41" s="32">
        <f t="shared" si="88"/>
        <v>-6.6917813300509028</v>
      </c>
      <c r="BL41" s="32">
        <f t="shared" si="88"/>
        <v>-5.0188359975381767</v>
      </c>
      <c r="BM41" s="32">
        <f t="shared" si="88"/>
        <v>-3.3458906650254514</v>
      </c>
      <c r="BN41" s="32">
        <f t="shared" si="88"/>
        <v>-4.182363331281814</v>
      </c>
      <c r="BO41" s="32">
        <f t="shared" ref="BO41:BT45" si="89">SUMIFS($CC41:$CE41,$CC$1:$CE$1,BO$3)*BO$24</f>
        <v>-5.0188359975381767</v>
      </c>
      <c r="BP41" s="32">
        <f t="shared" si="89"/>
        <v>-5.0188359975381767</v>
      </c>
      <c r="BQ41" s="32">
        <f t="shared" si="89"/>
        <v>-6.6917813300509028</v>
      </c>
      <c r="BR41" s="32">
        <f t="shared" si="89"/>
        <v>-6.6917813300509028</v>
      </c>
      <c r="BS41" s="32">
        <f t="shared" si="89"/>
        <v>-5.0188359975381767</v>
      </c>
      <c r="BT41" s="273">
        <f t="shared" si="89"/>
        <v>-5.0188359975381767</v>
      </c>
      <c r="BU41" s="32">
        <f t="shared" ref="BU41" si="90">BI41</f>
        <v>-6.6917813300509028</v>
      </c>
      <c r="BV41" s="32">
        <f t="shared" ref="BV41" si="91">BJ41</f>
        <v>-7.5282539963072654</v>
      </c>
      <c r="BW41" s="32">
        <f t="shared" ref="BW41" si="92">BK41</f>
        <v>-6.6917813300509028</v>
      </c>
      <c r="BX41" s="32">
        <f t="shared" ref="BX41" si="93">BL41</f>
        <v>-5.0188359975381767</v>
      </c>
      <c r="BY41" s="241"/>
      <c r="BZ41" s="32">
        <f>SUMIFS($D41:$AJ41,$D$1:$AJ$1,BZ$9)</f>
        <v>0</v>
      </c>
      <c r="CA41" s="32">
        <f>SUMIFS($D41:$AJ41,$D$1:$AJ$1,CA$9)</f>
        <v>0</v>
      </c>
      <c r="CB41" s="32">
        <f>SUMIFS($D41:$AJ41,$D$3:$AJ$3,"LTM")</f>
        <v>0</v>
      </c>
      <c r="CC41" s="9">
        <f>CC28*CG41</f>
        <v>0</v>
      </c>
      <c r="CD41" s="9">
        <f t="shared" ref="CD41:CE41" si="94">CD28*CH41</f>
        <v>-26.767125320203608</v>
      </c>
      <c r="CE41" s="9">
        <f t="shared" si="94"/>
        <v>-66.917813300509025</v>
      </c>
      <c r="CG41" s="129">
        <f>$CN41</f>
        <v>-0.16556167378273043</v>
      </c>
      <c r="CH41" s="129">
        <f t="shared" ref="CH41:CI45" si="95">$CN41</f>
        <v>-0.16556167378273043</v>
      </c>
      <c r="CI41" s="129">
        <f t="shared" si="95"/>
        <v>-0.16556167378273043</v>
      </c>
      <c r="CK41" s="62">
        <f>IFERROR(CB41/CB28,0)</f>
        <v>0</v>
      </c>
      <c r="CM41" s="14">
        <f>-SUMIFS('FY25 By Venue Financials'!$N:$N,'FY25 By Venue Financials'!$A:$A,$C41)</f>
        <v>-286.71546000000001</v>
      </c>
      <c r="CN41" s="62">
        <f>IFERROR(CM41/CM28,0)</f>
        <v>-0.16556167378273043</v>
      </c>
      <c r="CP41" s="112" t="s">
        <v>408</v>
      </c>
      <c r="CQ41" s="112" t="s">
        <v>283</v>
      </c>
    </row>
    <row r="42" spans="3:97">
      <c r="C42" s="4" t="s">
        <v>221</v>
      </c>
      <c r="D42" s="14">
        <f>-SUMIFS('P&amp;L'!C:C,'P&amp;L'!$A:$A,$C42)/1000</f>
        <v>0</v>
      </c>
      <c r="E42" s="14">
        <f>-SUMIFS('P&amp;L'!D:D,'P&amp;L'!$A:$A,$C42)/1000</f>
        <v>0</v>
      </c>
      <c r="F42" s="14">
        <f>-SUMIFS('P&amp;L'!E:E,'P&amp;L'!$A:$A,$C42)/1000</f>
        <v>0</v>
      </c>
      <c r="G42" s="14">
        <f>-SUMIFS('P&amp;L'!F:F,'P&amp;L'!$A:$A,$C42)/1000</f>
        <v>0</v>
      </c>
      <c r="H42" s="14">
        <f>-SUMIFS('P&amp;L'!G:G,'P&amp;L'!$A:$A,$C42)/1000</f>
        <v>0</v>
      </c>
      <c r="I42" s="14">
        <f>-SUMIFS('P&amp;L'!H:H,'P&amp;L'!$A:$A,$C42)/1000</f>
        <v>0</v>
      </c>
      <c r="J42" s="14">
        <f>-SUMIFS('P&amp;L'!I:I,'P&amp;L'!$A:$A,$C42)/1000</f>
        <v>0</v>
      </c>
      <c r="K42" s="14">
        <f>-SUMIFS('P&amp;L'!J:J,'P&amp;L'!$A:$A,$C42)/1000</f>
        <v>0</v>
      </c>
      <c r="L42" s="14">
        <f>-SUMIFS('P&amp;L'!K:K,'P&amp;L'!$A:$A,$C42)/1000</f>
        <v>0</v>
      </c>
      <c r="M42" s="14">
        <f>-SUMIFS('P&amp;L'!L:L,'P&amp;L'!$A:$A,$C42)/1000</f>
        <v>0</v>
      </c>
      <c r="N42" s="14">
        <f>-SUMIFS('P&amp;L'!M:M,'P&amp;L'!$A:$A,$C42)/1000</f>
        <v>0</v>
      </c>
      <c r="O42" s="14">
        <f>-SUMIFS('P&amp;L'!N:N,'P&amp;L'!$A:$A,$C42)/1000</f>
        <v>0</v>
      </c>
      <c r="P42" s="14">
        <f>-SUMIFS('P&amp;L'!O:O,'P&amp;L'!$A:$A,$C42)/1000</f>
        <v>0</v>
      </c>
      <c r="Q42" s="14">
        <f>-SUMIFS('P&amp;L'!P:P,'P&amp;L'!$A:$A,$C42)/1000</f>
        <v>0</v>
      </c>
      <c r="R42" s="14">
        <f>-SUMIFS('P&amp;L'!Q:Q,'P&amp;L'!$A:$A,$C42)/1000</f>
        <v>0</v>
      </c>
      <c r="S42" s="14">
        <f>-SUMIFS('P&amp;L'!R:R,'P&amp;L'!$A:$A,$C42)/1000</f>
        <v>0</v>
      </c>
      <c r="T42" s="14">
        <f>-SUMIFS('P&amp;L'!S:S,'P&amp;L'!$A:$A,$C42)/1000</f>
        <v>0</v>
      </c>
      <c r="U42" s="14">
        <f>-SUMIFS('P&amp;L'!T:T,'P&amp;L'!$A:$A,$C42)/1000</f>
        <v>0</v>
      </c>
      <c r="V42" s="14">
        <f>-SUMIFS('P&amp;L'!U:U,'P&amp;L'!$A:$A,$C42)/1000</f>
        <v>0</v>
      </c>
      <c r="W42" s="14">
        <f>-SUMIFS('P&amp;L'!V:V,'P&amp;L'!$A:$A,$C42)/1000</f>
        <v>0</v>
      </c>
      <c r="X42" s="14">
        <f>-SUMIFS('P&amp;L'!W:W,'P&amp;L'!$A:$A,$C42)/1000</f>
        <v>0</v>
      </c>
      <c r="Y42" s="14">
        <f>-SUMIFS('P&amp;L'!X:X,'P&amp;L'!$A:$A,$C42)/1000</f>
        <v>0</v>
      </c>
      <c r="Z42" s="14">
        <f>-SUMIFS('P&amp;L'!Y:Y,'P&amp;L'!$A:$A,$C42)/1000</f>
        <v>0</v>
      </c>
      <c r="AA42" s="14">
        <f>-SUMIFS('P&amp;L'!Z:Z,'P&amp;L'!$A:$A,$C42)/1000</f>
        <v>0</v>
      </c>
      <c r="AB42" s="14">
        <f>-SUMIFS('P&amp;L'!AA:AA,'P&amp;L'!$A:$A,$C42)/1000</f>
        <v>0</v>
      </c>
      <c r="AC42" s="14">
        <f>-SUMIFS('P&amp;L'!AB:AB,'P&amp;L'!$A:$A,$C42)/1000</f>
        <v>0</v>
      </c>
      <c r="AD42" s="14">
        <f>-SUMIFS('P&amp;L'!AC:AC,'P&amp;L'!$A:$A,$C42)/1000</f>
        <v>0</v>
      </c>
      <c r="AE42" s="14">
        <f>-SUMIFS('P&amp;L'!AD:AD,'P&amp;L'!$A:$A,$C42)/1000</f>
        <v>0</v>
      </c>
      <c r="AF42" s="14">
        <f>-SUMIFS('P&amp;L'!AE:AE,'P&amp;L'!$A:$A,$C42)/1000</f>
        <v>0</v>
      </c>
      <c r="AG42" s="14">
        <f>-SUMIFS('P&amp;L'!AF:AF,'P&amp;L'!$A:$A,$C42)/1000</f>
        <v>0</v>
      </c>
      <c r="AH42" s="14">
        <f>-SUMIFS('P&amp;L'!AG:AG,'P&amp;L'!$A:$A,$C42)/1000</f>
        <v>0</v>
      </c>
      <c r="AI42" s="253"/>
      <c r="AJ42" s="241"/>
      <c r="AK42" s="32">
        <f t="shared" si="86"/>
        <v>-0.61162324217452624</v>
      </c>
      <c r="AL42" s="32">
        <f t="shared" si="86"/>
        <v>-0.61162324217452624</v>
      </c>
      <c r="AM42" s="32">
        <f t="shared" si="86"/>
        <v>-0.20387441405817541</v>
      </c>
      <c r="AN42" s="32">
        <f t="shared" si="86"/>
        <v>-0.20387441405817541</v>
      </c>
      <c r="AO42" s="32">
        <f t="shared" si="86"/>
        <v>0</v>
      </c>
      <c r="AP42" s="32">
        <f t="shared" si="86"/>
        <v>0</v>
      </c>
      <c r="AQ42" s="32">
        <f t="shared" si="86"/>
        <v>-0.10193720702908771</v>
      </c>
      <c r="AR42" s="32">
        <f t="shared" si="86"/>
        <v>-0.40774882811635083</v>
      </c>
      <c r="AS42" s="32">
        <f t="shared" si="86"/>
        <v>-0.81549765623270165</v>
      </c>
      <c r="AT42" s="32">
        <f t="shared" si="86"/>
        <v>-0.50968603514543853</v>
      </c>
      <c r="AU42" s="32">
        <f t="shared" si="87"/>
        <v>-0.20387441405817541</v>
      </c>
      <c r="AV42" s="32">
        <f t="shared" si="87"/>
        <v>-0.40774882811635083</v>
      </c>
      <c r="AW42" s="32">
        <f t="shared" si="87"/>
        <v>-2.8432624418822106</v>
      </c>
      <c r="AX42" s="32">
        <f t="shared" si="87"/>
        <v>-3.3171395155292456</v>
      </c>
      <c r="AY42" s="32">
        <f t="shared" si="87"/>
        <v>-2.8432624418822106</v>
      </c>
      <c r="AZ42" s="32">
        <f t="shared" si="87"/>
        <v>-2.3693853682351755</v>
      </c>
      <c r="BA42" s="32">
        <f t="shared" si="87"/>
        <v>-1.4216312209411053</v>
      </c>
      <c r="BB42" s="32">
        <f t="shared" si="87"/>
        <v>-1.8955082945881403</v>
      </c>
      <c r="BC42" s="32">
        <f t="shared" si="87"/>
        <v>-2.3693853682351755</v>
      </c>
      <c r="BD42" s="32">
        <f t="shared" si="87"/>
        <v>-2.3693853682351755</v>
      </c>
      <c r="BE42" s="32">
        <f t="shared" si="88"/>
        <v>-3.7910165891762806</v>
      </c>
      <c r="BF42" s="32">
        <f t="shared" si="88"/>
        <v>-2.8432624418822106</v>
      </c>
      <c r="BG42" s="32">
        <f t="shared" si="88"/>
        <v>-2.3693853682351755</v>
      </c>
      <c r="BH42" s="32">
        <f t="shared" si="88"/>
        <v>-2.3693853682351755</v>
      </c>
      <c r="BI42" s="32">
        <f t="shared" si="88"/>
        <v>-6.9208062844304328</v>
      </c>
      <c r="BJ42" s="32">
        <f t="shared" si="88"/>
        <v>-7.7859070699842361</v>
      </c>
      <c r="BK42" s="32">
        <f t="shared" si="88"/>
        <v>-6.9208062844304328</v>
      </c>
      <c r="BL42" s="32">
        <f t="shared" si="88"/>
        <v>-5.1906047133228244</v>
      </c>
      <c r="BM42" s="32">
        <f t="shared" si="88"/>
        <v>-3.4604031422152164</v>
      </c>
      <c r="BN42" s="32">
        <f t="shared" si="88"/>
        <v>-4.3255039277690202</v>
      </c>
      <c r="BO42" s="32">
        <f t="shared" si="89"/>
        <v>-5.1906047133228244</v>
      </c>
      <c r="BP42" s="32">
        <f t="shared" si="89"/>
        <v>-5.1906047133228244</v>
      </c>
      <c r="BQ42" s="32">
        <f t="shared" si="89"/>
        <v>-6.9208062844304328</v>
      </c>
      <c r="BR42" s="32">
        <f t="shared" si="89"/>
        <v>-6.9208062844304328</v>
      </c>
      <c r="BS42" s="32">
        <f t="shared" si="89"/>
        <v>-5.1906047133228244</v>
      </c>
      <c r="BT42" s="273">
        <f t="shared" si="89"/>
        <v>-5.1906047133228244</v>
      </c>
      <c r="BU42" s="32">
        <f t="shared" ref="BU42:BU45" si="96">BI42</f>
        <v>-6.9208062844304328</v>
      </c>
      <c r="BV42" s="32">
        <f t="shared" ref="BV42:BV45" si="97">BJ42</f>
        <v>-7.7859070699842361</v>
      </c>
      <c r="BW42" s="32">
        <f t="shared" ref="BW42:BW45" si="98">BK42</f>
        <v>-6.9208062844304328</v>
      </c>
      <c r="BX42" s="32">
        <f t="shared" ref="BX42:BX45" si="99">BL42</f>
        <v>-5.1906047133228244</v>
      </c>
      <c r="BY42" s="241"/>
      <c r="BZ42" s="32">
        <f t="shared" ref="BZ42:CA45" si="100">SUMIFS($D42:$AJ42,$D$1:$AJ$1,BZ$9)</f>
        <v>0</v>
      </c>
      <c r="CA42" s="32">
        <f t="shared" si="100"/>
        <v>0</v>
      </c>
      <c r="CB42" s="32">
        <f t="shared" ref="CB42:CB45" si="101">SUMIFS($D42:$AJ42,$D$3:$AJ$3,"LTM")</f>
        <v>0</v>
      </c>
      <c r="CC42" s="9">
        <f>CC$31*CG42</f>
        <v>-4.0774882811635083</v>
      </c>
      <c r="CD42" s="9">
        <f t="shared" ref="CD42:CE42" si="102">CD$31*CH42</f>
        <v>-30.80200978705728</v>
      </c>
      <c r="CE42" s="9">
        <f t="shared" si="102"/>
        <v>-69.208062844304322</v>
      </c>
      <c r="CG42" s="129">
        <f t="shared" ref="CG42:CG45" si="103">$CN42</f>
        <v>-0.2078619306325997</v>
      </c>
      <c r="CH42" s="129">
        <f t="shared" si="95"/>
        <v>-0.2078619306325997</v>
      </c>
      <c r="CI42" s="129">
        <f t="shared" si="95"/>
        <v>-0.2078619306325997</v>
      </c>
      <c r="CK42" s="62">
        <f>IFERROR(CB42/CB31,0)</f>
        <v>0</v>
      </c>
      <c r="CM42" s="14">
        <f>-SUMIFS('FY25 By Venue Financials'!$N:$N,'FY25 By Venue Financials'!$A:$A,$C42)</f>
        <v>-315.48199000000005</v>
      </c>
      <c r="CN42" s="62">
        <f>IFERROR(CM42/CM$31,0)</f>
        <v>-0.2078619306325997</v>
      </c>
      <c r="CP42" s="112" t="s">
        <v>409</v>
      </c>
      <c r="CQ42" s="112" t="s">
        <v>283</v>
      </c>
    </row>
    <row r="43" spans="3:97">
      <c r="C43" s="4" t="s">
        <v>59</v>
      </c>
      <c r="D43" s="14">
        <f>-SUMIFS('P&amp;L'!C:C,'P&amp;L'!$A:$A,$C43)/1000</f>
        <v>0</v>
      </c>
      <c r="E43" s="14">
        <f>-SUMIFS('P&amp;L'!D:D,'P&amp;L'!$A:$A,$C43)/1000</f>
        <v>0</v>
      </c>
      <c r="F43" s="14">
        <f>-SUMIFS('P&amp;L'!E:E,'P&amp;L'!$A:$A,$C43)/1000</f>
        <v>0</v>
      </c>
      <c r="G43" s="14">
        <f>-SUMIFS('P&amp;L'!F:F,'P&amp;L'!$A:$A,$C43)/1000</f>
        <v>0</v>
      </c>
      <c r="H43" s="14">
        <f>-SUMIFS('P&amp;L'!G:G,'P&amp;L'!$A:$A,$C43)/1000</f>
        <v>0</v>
      </c>
      <c r="I43" s="14">
        <f>-SUMIFS('P&amp;L'!H:H,'P&amp;L'!$A:$A,$C43)/1000</f>
        <v>0</v>
      </c>
      <c r="J43" s="14">
        <f>-SUMIFS('P&amp;L'!I:I,'P&amp;L'!$A:$A,$C43)/1000</f>
        <v>0</v>
      </c>
      <c r="K43" s="14">
        <f>-SUMIFS('P&amp;L'!J:J,'P&amp;L'!$A:$A,$C43)/1000</f>
        <v>0</v>
      </c>
      <c r="L43" s="14">
        <f>-SUMIFS('P&amp;L'!K:K,'P&amp;L'!$A:$A,$C43)/1000</f>
        <v>0</v>
      </c>
      <c r="M43" s="14">
        <f>-SUMIFS('P&amp;L'!L:L,'P&amp;L'!$A:$A,$C43)/1000</f>
        <v>0</v>
      </c>
      <c r="N43" s="14">
        <f>-SUMIFS('P&amp;L'!M:M,'P&amp;L'!$A:$A,$C43)/1000</f>
        <v>0</v>
      </c>
      <c r="O43" s="14">
        <f>-SUMIFS('P&amp;L'!N:N,'P&amp;L'!$A:$A,$C43)/1000</f>
        <v>0</v>
      </c>
      <c r="P43" s="14">
        <f>-SUMIFS('P&amp;L'!O:O,'P&amp;L'!$A:$A,$C43)/1000</f>
        <v>0</v>
      </c>
      <c r="Q43" s="14">
        <f>-SUMIFS('P&amp;L'!P:P,'P&amp;L'!$A:$A,$C43)/1000</f>
        <v>0</v>
      </c>
      <c r="R43" s="14">
        <f>-SUMIFS('P&amp;L'!Q:Q,'P&amp;L'!$A:$A,$C43)/1000</f>
        <v>0</v>
      </c>
      <c r="S43" s="14">
        <f>-SUMIFS('P&amp;L'!R:R,'P&amp;L'!$A:$A,$C43)/1000</f>
        <v>0</v>
      </c>
      <c r="T43" s="14">
        <f>-SUMIFS('P&amp;L'!S:S,'P&amp;L'!$A:$A,$C43)/1000</f>
        <v>0</v>
      </c>
      <c r="U43" s="14">
        <f>-SUMIFS('P&amp;L'!T:T,'P&amp;L'!$A:$A,$C43)/1000</f>
        <v>0</v>
      </c>
      <c r="V43" s="14">
        <f>-SUMIFS('P&amp;L'!U:U,'P&amp;L'!$A:$A,$C43)/1000</f>
        <v>0</v>
      </c>
      <c r="W43" s="14">
        <f>-SUMIFS('P&amp;L'!V:V,'P&amp;L'!$A:$A,$C43)/1000</f>
        <v>0</v>
      </c>
      <c r="X43" s="14">
        <f>-SUMIFS('P&amp;L'!W:W,'P&amp;L'!$A:$A,$C43)/1000</f>
        <v>0</v>
      </c>
      <c r="Y43" s="14">
        <f>-SUMIFS('P&amp;L'!X:X,'P&amp;L'!$A:$A,$C43)/1000</f>
        <v>0</v>
      </c>
      <c r="Z43" s="14">
        <f>-SUMIFS('P&amp;L'!Y:Y,'P&amp;L'!$A:$A,$C43)/1000</f>
        <v>0</v>
      </c>
      <c r="AA43" s="14">
        <f>-SUMIFS('P&amp;L'!Z:Z,'P&amp;L'!$A:$A,$C43)/1000</f>
        <v>0</v>
      </c>
      <c r="AB43" s="14">
        <f>-SUMIFS('P&amp;L'!AA:AA,'P&amp;L'!$A:$A,$C43)/1000</f>
        <v>0</v>
      </c>
      <c r="AC43" s="14">
        <f>-SUMIFS('P&amp;L'!AB:AB,'P&amp;L'!$A:$A,$C43)/1000</f>
        <v>0</v>
      </c>
      <c r="AD43" s="14">
        <f>-SUMIFS('P&amp;L'!AC:AC,'P&amp;L'!$A:$A,$C43)/1000</f>
        <v>0</v>
      </c>
      <c r="AE43" s="14">
        <f>-SUMIFS('P&amp;L'!AD:AD,'P&amp;L'!$A:$A,$C43)/1000</f>
        <v>0</v>
      </c>
      <c r="AF43" s="14">
        <f>-SUMIFS('P&amp;L'!AE:AE,'P&amp;L'!$A:$A,$C43)/1000</f>
        <v>0</v>
      </c>
      <c r="AG43" s="14">
        <f>-SUMIFS('P&amp;L'!AF:AF,'P&amp;L'!$A:$A,$C43)/1000</f>
        <v>0</v>
      </c>
      <c r="AH43" s="14">
        <f>-SUMIFS('P&amp;L'!AG:AG,'P&amp;L'!$A:$A,$C43)/1000</f>
        <v>0</v>
      </c>
      <c r="AI43" s="253"/>
      <c r="AJ43" s="241"/>
      <c r="AK43" s="32">
        <f t="shared" si="86"/>
        <v>-6.2654705634277566E-2</v>
      </c>
      <c r="AL43" s="32">
        <f t="shared" si="86"/>
        <v>-6.2654705634277566E-2</v>
      </c>
      <c r="AM43" s="32">
        <f t="shared" si="86"/>
        <v>-2.0884901878092527E-2</v>
      </c>
      <c r="AN43" s="32">
        <f t="shared" si="86"/>
        <v>-2.0884901878092527E-2</v>
      </c>
      <c r="AO43" s="32">
        <f t="shared" si="86"/>
        <v>0</v>
      </c>
      <c r="AP43" s="32">
        <f t="shared" si="86"/>
        <v>0</v>
      </c>
      <c r="AQ43" s="32">
        <f t="shared" si="86"/>
        <v>-1.0442450939046263E-2</v>
      </c>
      <c r="AR43" s="32">
        <f t="shared" si="86"/>
        <v>-4.1769803756185053E-2</v>
      </c>
      <c r="AS43" s="32">
        <f t="shared" si="86"/>
        <v>-8.3539607512370107E-2</v>
      </c>
      <c r="AT43" s="32">
        <f t="shared" si="86"/>
        <v>-5.221225469523131E-2</v>
      </c>
      <c r="AU43" s="32">
        <f t="shared" si="87"/>
        <v>-2.0884901878092527E-2</v>
      </c>
      <c r="AV43" s="32">
        <f t="shared" si="87"/>
        <v>-4.1769803756185053E-2</v>
      </c>
      <c r="AW43" s="32">
        <f t="shared" si="87"/>
        <v>-0.23134045157271721</v>
      </c>
      <c r="AX43" s="32">
        <f t="shared" si="87"/>
        <v>-0.26989719350150343</v>
      </c>
      <c r="AY43" s="32">
        <f t="shared" si="87"/>
        <v>-0.23134045157271721</v>
      </c>
      <c r="AZ43" s="32">
        <f t="shared" si="87"/>
        <v>-0.19278370964393102</v>
      </c>
      <c r="BA43" s="32">
        <f t="shared" si="87"/>
        <v>-0.1156702257863586</v>
      </c>
      <c r="BB43" s="32">
        <f t="shared" si="87"/>
        <v>-0.1542269677151448</v>
      </c>
      <c r="BC43" s="32">
        <f t="shared" si="87"/>
        <v>-0.19278370964393102</v>
      </c>
      <c r="BD43" s="32">
        <f t="shared" si="87"/>
        <v>-0.19278370964393102</v>
      </c>
      <c r="BE43" s="32">
        <f t="shared" si="88"/>
        <v>-0.30845393543028959</v>
      </c>
      <c r="BF43" s="32">
        <f t="shared" si="88"/>
        <v>-0.23134045157271721</v>
      </c>
      <c r="BG43" s="32">
        <f t="shared" si="88"/>
        <v>-0.19278370964393102</v>
      </c>
      <c r="BH43" s="32">
        <f t="shared" si="88"/>
        <v>-0.19278370964393102</v>
      </c>
      <c r="BI43" s="32">
        <f t="shared" si="88"/>
        <v>-0.41769803756185048</v>
      </c>
      <c r="BJ43" s="32">
        <f t="shared" si="88"/>
        <v>-0.46991029225708181</v>
      </c>
      <c r="BK43" s="32">
        <f t="shared" si="88"/>
        <v>-0.41769803756185048</v>
      </c>
      <c r="BL43" s="32">
        <f t="shared" si="88"/>
        <v>-0.31327352817138782</v>
      </c>
      <c r="BM43" s="32">
        <f t="shared" si="88"/>
        <v>-0.20884901878092524</v>
      </c>
      <c r="BN43" s="32">
        <f t="shared" si="88"/>
        <v>-0.26106127347615654</v>
      </c>
      <c r="BO43" s="32">
        <f t="shared" si="89"/>
        <v>-0.31327352817138782</v>
      </c>
      <c r="BP43" s="32">
        <f t="shared" si="89"/>
        <v>-0.31327352817138782</v>
      </c>
      <c r="BQ43" s="32">
        <f t="shared" si="89"/>
        <v>-0.41769803756185048</v>
      </c>
      <c r="BR43" s="32">
        <f t="shared" si="89"/>
        <v>-0.41769803756185048</v>
      </c>
      <c r="BS43" s="32">
        <f t="shared" si="89"/>
        <v>-0.31327352817138782</v>
      </c>
      <c r="BT43" s="273">
        <f t="shared" si="89"/>
        <v>-0.31327352817138782</v>
      </c>
      <c r="BU43" s="32">
        <f t="shared" si="96"/>
        <v>-0.41769803756185048</v>
      </c>
      <c r="BV43" s="32">
        <f t="shared" si="97"/>
        <v>-0.46991029225708181</v>
      </c>
      <c r="BW43" s="32">
        <f t="shared" si="98"/>
        <v>-0.41769803756185048</v>
      </c>
      <c r="BX43" s="32">
        <f t="shared" si="99"/>
        <v>-0.31327352817138782</v>
      </c>
      <c r="BY43" s="241"/>
      <c r="BZ43" s="32">
        <f t="shared" si="100"/>
        <v>0</v>
      </c>
      <c r="CA43" s="32">
        <f t="shared" si="100"/>
        <v>0</v>
      </c>
      <c r="CB43" s="32">
        <f t="shared" si="101"/>
        <v>0</v>
      </c>
      <c r="CC43" s="9">
        <f>CC29*CG43</f>
        <v>-0.41769803756185048</v>
      </c>
      <c r="CD43" s="9">
        <f t="shared" ref="CD43:CE43" si="104">CD29*CH43</f>
        <v>-2.506188225371103</v>
      </c>
      <c r="CE43" s="9">
        <f t="shared" si="104"/>
        <v>-4.1769803756185047</v>
      </c>
      <c r="CG43" s="129">
        <f t="shared" si="103"/>
        <v>-6.9616339593641746E-2</v>
      </c>
      <c r="CH43" s="129">
        <f t="shared" si="95"/>
        <v>-6.9616339593641746E-2</v>
      </c>
      <c r="CI43" s="129">
        <f t="shared" si="95"/>
        <v>-6.9616339593641746E-2</v>
      </c>
      <c r="CK43" s="62">
        <f>IFERROR(CB43/CB29,0)</f>
        <v>0</v>
      </c>
      <c r="CM43" s="14">
        <f>-SUMIFS('FY25 By Venue Financials'!$N:$N,'FY25 By Venue Financials'!$A:$A,$C43)</f>
        <v>-68.258089999999996</v>
      </c>
      <c r="CN43" s="62">
        <f>IFERROR(CM43/CM29,0)</f>
        <v>-6.9616339593641746E-2</v>
      </c>
      <c r="CP43" s="112" t="s">
        <v>410</v>
      </c>
      <c r="CQ43" s="112" t="s">
        <v>283</v>
      </c>
    </row>
    <row r="44" spans="3:97">
      <c r="C44" s="4" t="s">
        <v>70</v>
      </c>
      <c r="D44" s="14">
        <f>-SUMIFS('P&amp;L'!C:C,'P&amp;L'!$A:$A,$C44)/1000</f>
        <v>-13.224470000000002</v>
      </c>
      <c r="E44" s="14">
        <f>-SUMIFS('P&amp;L'!D:D,'P&amp;L'!$A:$A,$C44)/1000</f>
        <v>-16.904250000000001</v>
      </c>
      <c r="F44" s="14">
        <f>-SUMIFS('P&amp;L'!E:E,'P&amp;L'!$A:$A,$C44)/1000</f>
        <v>-6.9220399999999991</v>
      </c>
      <c r="G44" s="14">
        <f>-SUMIFS('P&amp;L'!F:F,'P&amp;L'!$A:$A,$C44)/1000</f>
        <v>-5.6856100000000005</v>
      </c>
      <c r="H44" s="14">
        <f>-SUMIFS('P&amp;L'!G:G,'P&amp;L'!$A:$A,$C44)/1000</f>
        <v>-20.649559999999997</v>
      </c>
      <c r="I44" s="14">
        <f>-SUMIFS('P&amp;L'!H:H,'P&amp;L'!$A:$A,$C44)/1000</f>
        <v>-15.132280000000002</v>
      </c>
      <c r="J44" s="14">
        <f>-SUMIFS('P&amp;L'!I:I,'P&amp;L'!$A:$A,$C44)/1000</f>
        <v>-6.6025799999999997</v>
      </c>
      <c r="K44" s="14">
        <f>-SUMIFS('P&amp;L'!J:J,'P&amp;L'!$A:$A,$C44)/1000</f>
        <v>-1.7038500000000001</v>
      </c>
      <c r="L44" s="14">
        <f>-SUMIFS('P&amp;L'!K:K,'P&amp;L'!$A:$A,$C44)/1000</f>
        <v>-1.6550700000000003</v>
      </c>
      <c r="M44" s="14">
        <f>-SUMIFS('P&amp;L'!L:L,'P&amp;L'!$A:$A,$C44)/1000</f>
        <v>-0.78576000000000001</v>
      </c>
      <c r="N44" s="14">
        <f>-SUMIFS('P&amp;L'!M:M,'P&amp;L'!$A:$A,$C44)/1000</f>
        <v>-4.4953100000000008</v>
      </c>
      <c r="O44" s="14">
        <f>-SUMIFS('P&amp;L'!N:N,'P&amp;L'!$A:$A,$C44)/1000</f>
        <v>7.3356300000000001</v>
      </c>
      <c r="P44" s="14">
        <f>-SUMIFS('P&amp;L'!O:O,'P&amp;L'!$A:$A,$C44)/1000</f>
        <v>-5.9134200000000003</v>
      </c>
      <c r="Q44" s="14">
        <f>-SUMIFS('P&amp;L'!P:P,'P&amp;L'!$A:$A,$C44)/1000</f>
        <v>-4.2324599999999997</v>
      </c>
      <c r="R44" s="14">
        <f>-SUMIFS('P&amp;L'!Q:Q,'P&amp;L'!$A:$A,$C44)/1000</f>
        <v>-2.91899</v>
      </c>
      <c r="S44" s="14">
        <f>-SUMIFS('P&amp;L'!R:R,'P&amp;L'!$A:$A,$C44)/1000</f>
        <v>-5.85358</v>
      </c>
      <c r="T44" s="14">
        <f>-SUMIFS('P&amp;L'!S:S,'P&amp;L'!$A:$A,$C44)/1000</f>
        <v>-5.0411899999999994</v>
      </c>
      <c r="U44" s="14">
        <f>-SUMIFS('P&amp;L'!T:T,'P&amp;L'!$A:$A,$C44)/1000</f>
        <v>-6.1499700000000015</v>
      </c>
      <c r="V44" s="14">
        <f>-SUMIFS('P&amp;L'!U:U,'P&amp;L'!$A:$A,$C44)/1000</f>
        <v>-0.93361999999999989</v>
      </c>
      <c r="W44" s="14">
        <f>-SUMIFS('P&amp;L'!V:V,'P&amp;L'!$A:$A,$C44)/1000</f>
        <v>-1.7667599999999999</v>
      </c>
      <c r="X44" s="14">
        <f>-SUMIFS('P&amp;L'!W:W,'P&amp;L'!$A:$A,$C44)/1000</f>
        <v>-0.90708</v>
      </c>
      <c r="Y44" s="14">
        <f>-SUMIFS('P&amp;L'!X:X,'P&amp;L'!$A:$A,$C44)/1000</f>
        <v>-1.7722600000000002</v>
      </c>
      <c r="Z44" s="14">
        <f>-SUMIFS('P&amp;L'!Y:Y,'P&amp;L'!$A:$A,$C44)/1000</f>
        <v>-6.3503400000000001</v>
      </c>
      <c r="AA44" s="14">
        <f>-SUMIFS('P&amp;L'!Z:Z,'P&amp;L'!$A:$A,$C44)/1000</f>
        <v>-0.65107999999999999</v>
      </c>
      <c r="AB44" s="14">
        <f>-SUMIFS('P&amp;L'!AA:AA,'P&amp;L'!$A:$A,$C44)/1000</f>
        <v>-11.743059999999998</v>
      </c>
      <c r="AC44" s="14">
        <f>-SUMIFS('P&amp;L'!AB:AB,'P&amp;L'!$A:$A,$C44)/1000</f>
        <v>0</v>
      </c>
      <c r="AD44" s="14">
        <f>-SUMIFS('P&amp;L'!AC:AC,'P&amp;L'!$A:$A,$C44)/1000</f>
        <v>-3.6575000000000002</v>
      </c>
      <c r="AE44" s="14">
        <f>-SUMIFS('P&amp;L'!AD:AD,'P&amp;L'!$A:$A,$C44)/1000</f>
        <v>-4.13734</v>
      </c>
      <c r="AF44" s="14">
        <f>-SUMIFS('P&amp;L'!AE:AE,'P&amp;L'!$A:$A,$C44)/1000</f>
        <v>-13.550079999999999</v>
      </c>
      <c r="AG44" s="14">
        <f>-SUMIFS('P&amp;L'!AF:AF,'P&amp;L'!$A:$A,$C44)/1000</f>
        <v>-3.9378800000000003</v>
      </c>
      <c r="AH44" s="14">
        <f>-SUMIFS('P&amp;L'!AG:AG,'P&amp;L'!$A:$A,$C44)/1000</f>
        <v>-0.56762999999999997</v>
      </c>
      <c r="AI44" s="253"/>
      <c r="AJ44" s="241"/>
      <c r="AK44" s="32">
        <f t="shared" si="86"/>
        <v>-1.6722018353043682</v>
      </c>
      <c r="AL44" s="32">
        <f t="shared" si="86"/>
        <v>-1.6722018353043682</v>
      </c>
      <c r="AM44" s="32">
        <f t="shared" si="86"/>
        <v>-0.55740061176812272</v>
      </c>
      <c r="AN44" s="32">
        <f t="shared" si="86"/>
        <v>-0.55740061176812272</v>
      </c>
      <c r="AO44" s="32">
        <f t="shared" si="86"/>
        <v>0</v>
      </c>
      <c r="AP44" s="32">
        <f t="shared" si="86"/>
        <v>0</v>
      </c>
      <c r="AQ44" s="32">
        <f t="shared" si="86"/>
        <v>-0.27870030588406136</v>
      </c>
      <c r="AR44" s="32">
        <f t="shared" si="86"/>
        <v>-1.1148012235362454</v>
      </c>
      <c r="AS44" s="32">
        <f t="shared" si="86"/>
        <v>-2.2296024470724909</v>
      </c>
      <c r="AT44" s="32">
        <f t="shared" si="86"/>
        <v>-1.3935015294203068</v>
      </c>
      <c r="AU44" s="32">
        <f t="shared" si="87"/>
        <v>-0.55740061176812272</v>
      </c>
      <c r="AV44" s="32">
        <f t="shared" si="87"/>
        <v>-1.1148012235362454</v>
      </c>
      <c r="AW44" s="32">
        <f t="shared" si="87"/>
        <v>-1.9864453101810093</v>
      </c>
      <c r="AX44" s="32">
        <f t="shared" si="87"/>
        <v>-2.3175195285445107</v>
      </c>
      <c r="AY44" s="32">
        <f t="shared" si="87"/>
        <v>-1.9864453101810093</v>
      </c>
      <c r="AZ44" s="32">
        <f t="shared" si="87"/>
        <v>-1.6553710918175077</v>
      </c>
      <c r="BA44" s="32">
        <f t="shared" si="87"/>
        <v>-0.99322265509050467</v>
      </c>
      <c r="BB44" s="32">
        <f t="shared" si="87"/>
        <v>-1.3242968734540062</v>
      </c>
      <c r="BC44" s="32">
        <f t="shared" si="87"/>
        <v>-1.6553710918175077</v>
      </c>
      <c r="BD44" s="32">
        <f t="shared" si="87"/>
        <v>-1.6553710918175077</v>
      </c>
      <c r="BE44" s="32">
        <f t="shared" si="88"/>
        <v>-2.6485937469080123</v>
      </c>
      <c r="BF44" s="32">
        <f t="shared" si="88"/>
        <v>-1.9864453101810093</v>
      </c>
      <c r="BG44" s="32">
        <f t="shared" si="88"/>
        <v>-1.6553710918175077</v>
      </c>
      <c r="BH44" s="32">
        <f t="shared" si="88"/>
        <v>-1.6553710918175077</v>
      </c>
      <c r="BI44" s="32">
        <f t="shared" si="88"/>
        <v>-3.200428362660094</v>
      </c>
      <c r="BJ44" s="32">
        <f t="shared" si="88"/>
        <v>-3.6004819079926054</v>
      </c>
      <c r="BK44" s="32">
        <f t="shared" si="88"/>
        <v>-3.200428362660094</v>
      </c>
      <c r="BL44" s="32">
        <f t="shared" si="88"/>
        <v>-2.4003212719950704</v>
      </c>
      <c r="BM44" s="32">
        <f t="shared" si="88"/>
        <v>-1.600214181330047</v>
      </c>
      <c r="BN44" s="32">
        <f t="shared" si="88"/>
        <v>-2.0002677266625586</v>
      </c>
      <c r="BO44" s="32">
        <f t="shared" si="89"/>
        <v>-2.4003212719950704</v>
      </c>
      <c r="BP44" s="32">
        <f t="shared" si="89"/>
        <v>-2.4003212719950704</v>
      </c>
      <c r="BQ44" s="32">
        <f t="shared" si="89"/>
        <v>-3.200428362660094</v>
      </c>
      <c r="BR44" s="32">
        <f t="shared" si="89"/>
        <v>-3.200428362660094</v>
      </c>
      <c r="BS44" s="32">
        <f t="shared" si="89"/>
        <v>-2.4003212719950704</v>
      </c>
      <c r="BT44" s="273">
        <f t="shared" si="89"/>
        <v>-2.4003212719950704</v>
      </c>
      <c r="BU44" s="32">
        <f t="shared" si="96"/>
        <v>-3.200428362660094</v>
      </c>
      <c r="BV44" s="32">
        <f t="shared" si="97"/>
        <v>-3.6004819079926054</v>
      </c>
      <c r="BW44" s="32">
        <f t="shared" si="98"/>
        <v>-3.200428362660094</v>
      </c>
      <c r="BX44" s="32">
        <f t="shared" si="99"/>
        <v>-2.4003212719950704</v>
      </c>
      <c r="BY44" s="241"/>
      <c r="BZ44" s="32">
        <f t="shared" si="100"/>
        <v>-86.425149999999988</v>
      </c>
      <c r="CA44" s="32">
        <f t="shared" si="100"/>
        <v>-42.490750000000013</v>
      </c>
      <c r="CB44" s="32">
        <f t="shared" si="101"/>
        <v>-49.04101</v>
      </c>
      <c r="CC44" s="9">
        <f>CC$38*CG44</f>
        <v>-11.148012235362454</v>
      </c>
      <c r="CD44" s="9">
        <f t="shared" ref="CD44:CE44" si="105">CD$38*CH44</f>
        <v>-21.519824193627599</v>
      </c>
      <c r="CE44" s="9">
        <f t="shared" si="105"/>
        <v>-32.004283626600937</v>
      </c>
      <c r="CG44" s="129">
        <f t="shared" si="103"/>
        <v>-1.2299517911910319E-2</v>
      </c>
      <c r="CH44" s="129">
        <f t="shared" si="95"/>
        <v>-1.2299517911910319E-2</v>
      </c>
      <c r="CI44" s="129">
        <f t="shared" si="95"/>
        <v>-1.2299517911910319E-2</v>
      </c>
      <c r="CK44" s="62">
        <f>IFERROR(CB44/CB$38,0)</f>
        <v>-8.7440544239849746E-2</v>
      </c>
      <c r="CM44" s="14">
        <f>-SUMIFS('FY25 By Venue Financials'!$N:$N,'FY25 By Venue Financials'!$A:$A,$C44)</f>
        <v>-86.753849999999986</v>
      </c>
      <c r="CN44" s="62">
        <f>IFERROR(CM44/CM$38,0)</f>
        <v>-1.2299517911910319E-2</v>
      </c>
      <c r="CP44" s="112" t="s">
        <v>411</v>
      </c>
      <c r="CQ44" s="112" t="s">
        <v>283</v>
      </c>
    </row>
    <row r="45" spans="3:97">
      <c r="C45" s="4" t="s">
        <v>67</v>
      </c>
      <c r="D45" s="14">
        <f>-SUMIFS('P&amp;L'!C:C,'P&amp;L'!$A:$A,$C45)/1000</f>
        <v>0</v>
      </c>
      <c r="E45" s="14">
        <f>-SUMIFS('P&amp;L'!D:D,'P&amp;L'!$A:$A,$C45)/1000</f>
        <v>0</v>
      </c>
      <c r="F45" s="14">
        <f>-SUMIFS('P&amp;L'!E:E,'P&amp;L'!$A:$A,$C45)/1000</f>
        <v>0</v>
      </c>
      <c r="G45" s="14">
        <f>-SUMIFS('P&amp;L'!F:F,'P&amp;L'!$A:$A,$C45)/1000</f>
        <v>0</v>
      </c>
      <c r="H45" s="14">
        <f>-SUMIFS('P&amp;L'!G:G,'P&amp;L'!$A:$A,$C45)/1000</f>
        <v>0</v>
      </c>
      <c r="I45" s="14">
        <f>-SUMIFS('P&amp;L'!H:H,'P&amp;L'!$A:$A,$C45)/1000</f>
        <v>0</v>
      </c>
      <c r="J45" s="14">
        <f>-SUMIFS('P&amp;L'!I:I,'P&amp;L'!$A:$A,$C45)/1000</f>
        <v>0</v>
      </c>
      <c r="K45" s="14">
        <f>-SUMIFS('P&amp;L'!J:J,'P&amp;L'!$A:$A,$C45)/1000</f>
        <v>0</v>
      </c>
      <c r="L45" s="14">
        <f>-SUMIFS('P&amp;L'!K:K,'P&amp;L'!$A:$A,$C45)/1000</f>
        <v>0</v>
      </c>
      <c r="M45" s="14">
        <f>-SUMIFS('P&amp;L'!L:L,'P&amp;L'!$A:$A,$C45)/1000</f>
        <v>0</v>
      </c>
      <c r="N45" s="14">
        <f>-SUMIFS('P&amp;L'!M:M,'P&amp;L'!$A:$A,$C45)/1000</f>
        <v>0</v>
      </c>
      <c r="O45" s="14">
        <f>-SUMIFS('P&amp;L'!N:N,'P&amp;L'!$A:$A,$C45)/1000</f>
        <v>0</v>
      </c>
      <c r="P45" s="14">
        <f>-SUMIFS('P&amp;L'!O:O,'P&amp;L'!$A:$A,$C45)/1000</f>
        <v>0</v>
      </c>
      <c r="Q45" s="14">
        <f>-SUMIFS('P&amp;L'!P:P,'P&amp;L'!$A:$A,$C45)/1000</f>
        <v>0</v>
      </c>
      <c r="R45" s="14">
        <f>-SUMIFS('P&amp;L'!Q:Q,'P&amp;L'!$A:$A,$C45)/1000</f>
        <v>0</v>
      </c>
      <c r="S45" s="14">
        <f>-SUMIFS('P&amp;L'!R:R,'P&amp;L'!$A:$A,$C45)/1000</f>
        <v>0</v>
      </c>
      <c r="T45" s="14">
        <f>-SUMIFS('P&amp;L'!S:S,'P&amp;L'!$A:$A,$C45)/1000</f>
        <v>0</v>
      </c>
      <c r="U45" s="14">
        <f>-SUMIFS('P&amp;L'!T:T,'P&amp;L'!$A:$A,$C45)/1000</f>
        <v>0</v>
      </c>
      <c r="V45" s="14">
        <f>-SUMIFS('P&amp;L'!U:U,'P&amp;L'!$A:$A,$C45)/1000</f>
        <v>0</v>
      </c>
      <c r="W45" s="14">
        <f>-SUMIFS('P&amp;L'!V:V,'P&amp;L'!$A:$A,$C45)/1000</f>
        <v>0</v>
      </c>
      <c r="X45" s="14">
        <f>-SUMIFS('P&amp;L'!W:W,'P&amp;L'!$A:$A,$C45)/1000</f>
        <v>0</v>
      </c>
      <c r="Y45" s="14">
        <f>-SUMIFS('P&amp;L'!X:X,'P&amp;L'!$A:$A,$C45)/1000</f>
        <v>0</v>
      </c>
      <c r="Z45" s="14">
        <f>-SUMIFS('P&amp;L'!Y:Y,'P&amp;L'!$A:$A,$C45)/1000</f>
        <v>0</v>
      </c>
      <c r="AA45" s="14">
        <f>-SUMIFS('P&amp;L'!Z:Z,'P&amp;L'!$A:$A,$C45)/1000</f>
        <v>0</v>
      </c>
      <c r="AB45" s="14">
        <f>-SUMIFS('P&amp;L'!AA:AA,'P&amp;L'!$A:$A,$C45)/1000</f>
        <v>0</v>
      </c>
      <c r="AC45" s="14">
        <f>-SUMIFS('P&amp;L'!AB:AB,'P&amp;L'!$A:$A,$C45)/1000</f>
        <v>0</v>
      </c>
      <c r="AD45" s="14">
        <f>-SUMIFS('P&amp;L'!AC:AC,'P&amp;L'!$A:$A,$C45)/1000</f>
        <v>0</v>
      </c>
      <c r="AE45" s="14">
        <f>-SUMIFS('P&amp;L'!AD:AD,'P&amp;L'!$A:$A,$C45)/1000</f>
        <v>0</v>
      </c>
      <c r="AF45" s="14">
        <f>-SUMIFS('P&amp;L'!AE:AE,'P&amp;L'!$A:$A,$C45)/1000</f>
        <v>0</v>
      </c>
      <c r="AG45" s="14">
        <f>-SUMIFS('P&amp;L'!AF:AF,'P&amp;L'!$A:$A,$C45)/1000</f>
        <v>0</v>
      </c>
      <c r="AH45" s="14">
        <f>-SUMIFS('P&amp;L'!AG:AG,'P&amp;L'!$A:$A,$C45)/1000</f>
        <v>0</v>
      </c>
      <c r="AI45" s="253"/>
      <c r="AJ45" s="241"/>
      <c r="AK45" s="32">
        <f t="shared" si="86"/>
        <v>0</v>
      </c>
      <c r="AL45" s="32">
        <f t="shared" si="86"/>
        <v>0</v>
      </c>
      <c r="AM45" s="32">
        <f t="shared" si="86"/>
        <v>0</v>
      </c>
      <c r="AN45" s="32">
        <f t="shared" si="86"/>
        <v>0</v>
      </c>
      <c r="AO45" s="32">
        <f t="shared" si="86"/>
        <v>0</v>
      </c>
      <c r="AP45" s="32">
        <f t="shared" si="86"/>
        <v>0</v>
      </c>
      <c r="AQ45" s="32">
        <f t="shared" si="86"/>
        <v>0</v>
      </c>
      <c r="AR45" s="32">
        <f t="shared" si="86"/>
        <v>0</v>
      </c>
      <c r="AS45" s="32">
        <f t="shared" si="86"/>
        <v>0</v>
      </c>
      <c r="AT45" s="32">
        <f t="shared" si="86"/>
        <v>0</v>
      </c>
      <c r="AU45" s="32">
        <f t="shared" si="87"/>
        <v>0</v>
      </c>
      <c r="AV45" s="32">
        <f t="shared" si="87"/>
        <v>0</v>
      </c>
      <c r="AW45" s="32">
        <f t="shared" si="87"/>
        <v>0</v>
      </c>
      <c r="AX45" s="32">
        <f t="shared" si="87"/>
        <v>0</v>
      </c>
      <c r="AY45" s="32">
        <f t="shared" si="87"/>
        <v>0</v>
      </c>
      <c r="AZ45" s="32">
        <f t="shared" si="87"/>
        <v>0</v>
      </c>
      <c r="BA45" s="32">
        <f t="shared" si="87"/>
        <v>0</v>
      </c>
      <c r="BB45" s="32">
        <f t="shared" si="87"/>
        <v>0</v>
      </c>
      <c r="BC45" s="32">
        <f t="shared" si="87"/>
        <v>0</v>
      </c>
      <c r="BD45" s="32">
        <f t="shared" si="87"/>
        <v>0</v>
      </c>
      <c r="BE45" s="32">
        <f t="shared" si="88"/>
        <v>0</v>
      </c>
      <c r="BF45" s="32">
        <f t="shared" si="88"/>
        <v>0</v>
      </c>
      <c r="BG45" s="32">
        <f t="shared" si="88"/>
        <v>0</v>
      </c>
      <c r="BH45" s="32">
        <f t="shared" si="88"/>
        <v>0</v>
      </c>
      <c r="BI45" s="32">
        <f t="shared" si="88"/>
        <v>0</v>
      </c>
      <c r="BJ45" s="32">
        <f t="shared" si="88"/>
        <v>0</v>
      </c>
      <c r="BK45" s="32">
        <f t="shared" si="88"/>
        <v>0</v>
      </c>
      <c r="BL45" s="32">
        <f t="shared" si="88"/>
        <v>0</v>
      </c>
      <c r="BM45" s="32">
        <f t="shared" si="88"/>
        <v>0</v>
      </c>
      <c r="BN45" s="32">
        <f t="shared" si="88"/>
        <v>0</v>
      </c>
      <c r="BO45" s="32">
        <f t="shared" si="89"/>
        <v>0</v>
      </c>
      <c r="BP45" s="32">
        <f t="shared" si="89"/>
        <v>0</v>
      </c>
      <c r="BQ45" s="32">
        <f>SUMIFS($CC45:$CE45,$CC$1:$CE$1,BQ$3)*BQ$24</f>
        <v>0</v>
      </c>
      <c r="BR45" s="32">
        <f t="shared" si="89"/>
        <v>0</v>
      </c>
      <c r="BS45" s="32">
        <f t="shared" si="89"/>
        <v>0</v>
      </c>
      <c r="BT45" s="273">
        <f t="shared" si="89"/>
        <v>0</v>
      </c>
      <c r="BU45" s="32">
        <f t="shared" si="96"/>
        <v>0</v>
      </c>
      <c r="BV45" s="32">
        <f t="shared" si="97"/>
        <v>0</v>
      </c>
      <c r="BW45" s="32">
        <f t="shared" si="98"/>
        <v>0</v>
      </c>
      <c r="BX45" s="32">
        <f t="shared" si="99"/>
        <v>0</v>
      </c>
      <c r="BY45" s="241"/>
      <c r="BZ45" s="32">
        <f t="shared" si="100"/>
        <v>0</v>
      </c>
      <c r="CA45" s="32">
        <f t="shared" si="100"/>
        <v>0</v>
      </c>
      <c r="CB45" s="32">
        <f t="shared" si="101"/>
        <v>0</v>
      </c>
      <c r="CC45" s="9">
        <f>CC30*CG45</f>
        <v>0</v>
      </c>
      <c r="CD45" s="9">
        <f t="shared" ref="CD45:CE45" si="106">CD30*CH45</f>
        <v>0</v>
      </c>
      <c r="CE45" s="9">
        <f t="shared" si="106"/>
        <v>0</v>
      </c>
      <c r="CG45" s="129">
        <f t="shared" si="103"/>
        <v>0</v>
      </c>
      <c r="CH45" s="129">
        <f t="shared" si="95"/>
        <v>0</v>
      </c>
      <c r="CI45" s="129">
        <f t="shared" si="95"/>
        <v>0</v>
      </c>
      <c r="CK45" s="62">
        <f>IFERROR(CB45/CB27,0)</f>
        <v>0</v>
      </c>
      <c r="CM45" s="14">
        <f>-SUMIFS('FY25 By Venue Financials'!$N:$N,'FY25 By Venue Financials'!$A:$A,$C45)</f>
        <v>0</v>
      </c>
      <c r="CN45" s="62">
        <f>IFERROR(CM45/CM30,0)</f>
        <v>0</v>
      </c>
      <c r="CP45" s="112" t="s">
        <v>447</v>
      </c>
      <c r="CQ45" s="112" t="s">
        <v>283</v>
      </c>
    </row>
    <row r="46" spans="3:97" ht="5.15" customHeight="1">
      <c r="C46" s="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253"/>
      <c r="AJ46" s="241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241"/>
      <c r="BZ46" s="32"/>
      <c r="CA46" s="32"/>
      <c r="CB46" s="32"/>
      <c r="CC46" s="9"/>
      <c r="CD46" s="9"/>
      <c r="CE46" s="9"/>
      <c r="CG46" s="126"/>
      <c r="CH46" s="126"/>
      <c r="CI46" s="126"/>
      <c r="CK46" s="126"/>
      <c r="CM46" s="9"/>
      <c r="CN46" s="126"/>
    </row>
    <row r="47" spans="3:97">
      <c r="C47" s="5" t="s">
        <v>234</v>
      </c>
      <c r="D47" s="10">
        <f t="shared" ref="D47:O47" si="107">SUM(D41:D46)</f>
        <v>-13.224470000000002</v>
      </c>
      <c r="E47" s="10">
        <f t="shared" si="107"/>
        <v>-16.904250000000001</v>
      </c>
      <c r="F47" s="10">
        <f t="shared" si="107"/>
        <v>-6.9220399999999991</v>
      </c>
      <c r="G47" s="10">
        <f t="shared" si="107"/>
        <v>-5.6856100000000005</v>
      </c>
      <c r="H47" s="10">
        <f t="shared" si="107"/>
        <v>-20.649559999999997</v>
      </c>
      <c r="I47" s="10">
        <f t="shared" si="107"/>
        <v>-15.132280000000002</v>
      </c>
      <c r="J47" s="10">
        <f t="shared" si="107"/>
        <v>-6.6025799999999997</v>
      </c>
      <c r="K47" s="10">
        <f t="shared" si="107"/>
        <v>-1.7038500000000001</v>
      </c>
      <c r="L47" s="10">
        <f t="shared" si="107"/>
        <v>-1.6550700000000003</v>
      </c>
      <c r="M47" s="10">
        <f t="shared" si="107"/>
        <v>-0.78576000000000001</v>
      </c>
      <c r="N47" s="10">
        <f t="shared" si="107"/>
        <v>-4.4953100000000008</v>
      </c>
      <c r="O47" s="10">
        <f t="shared" si="107"/>
        <v>7.3356300000000001</v>
      </c>
      <c r="P47" s="10">
        <f t="shared" ref="P47:R47" si="108">SUM(P41:P46)</f>
        <v>-5.9134200000000003</v>
      </c>
      <c r="Q47" s="10">
        <f t="shared" si="108"/>
        <v>-4.2324599999999997</v>
      </c>
      <c r="R47" s="10">
        <f t="shared" si="108"/>
        <v>-2.91899</v>
      </c>
      <c r="S47" s="10">
        <f t="shared" ref="S47:V47" si="109">SUM(S41:S46)</f>
        <v>-5.85358</v>
      </c>
      <c r="T47" s="10">
        <f t="shared" si="109"/>
        <v>-5.0411899999999994</v>
      </c>
      <c r="U47" s="10">
        <f t="shared" si="109"/>
        <v>-6.1499700000000015</v>
      </c>
      <c r="V47" s="10">
        <f t="shared" si="109"/>
        <v>-0.93361999999999989</v>
      </c>
      <c r="W47" s="10">
        <f t="shared" ref="W47:AD47" si="110">SUM(W41:W46)</f>
        <v>-1.7667599999999999</v>
      </c>
      <c r="X47" s="10">
        <f t="shared" si="110"/>
        <v>-0.90708</v>
      </c>
      <c r="Y47" s="10">
        <f t="shared" si="110"/>
        <v>-1.7722600000000002</v>
      </c>
      <c r="Z47" s="10">
        <f t="shared" si="110"/>
        <v>-6.3503400000000001</v>
      </c>
      <c r="AA47" s="10">
        <f t="shared" si="110"/>
        <v>-0.65107999999999999</v>
      </c>
      <c r="AB47" s="10">
        <f t="shared" si="110"/>
        <v>-11.743059999999998</v>
      </c>
      <c r="AC47" s="10">
        <f t="shared" si="110"/>
        <v>0</v>
      </c>
      <c r="AD47" s="10">
        <f t="shared" si="110"/>
        <v>-3.6575000000000002</v>
      </c>
      <c r="AE47" s="10">
        <f t="shared" ref="AE47:AX47" si="111">SUM(AE41:AE46)</f>
        <v>-4.13734</v>
      </c>
      <c r="AF47" s="10">
        <f>SUM(AF41:AF46)</f>
        <v>-13.550079999999999</v>
      </c>
      <c r="AG47" s="10">
        <f t="shared" ref="AG47:AH47" si="112">SUM(AG41:AG46)</f>
        <v>-3.9378800000000003</v>
      </c>
      <c r="AH47" s="10">
        <f t="shared" si="112"/>
        <v>-0.56762999999999997</v>
      </c>
      <c r="AI47" s="387"/>
      <c r="AJ47" s="243"/>
      <c r="AK47" s="10">
        <f t="shared" si="111"/>
        <v>-2.3464797831131721</v>
      </c>
      <c r="AL47" s="10">
        <f t="shared" si="111"/>
        <v>-2.3464797831131721</v>
      </c>
      <c r="AM47" s="10">
        <f t="shared" si="111"/>
        <v>-0.78215992770439069</v>
      </c>
      <c r="AN47" s="10">
        <f t="shared" si="111"/>
        <v>-0.78215992770439069</v>
      </c>
      <c r="AO47" s="10">
        <f t="shared" si="111"/>
        <v>0</v>
      </c>
      <c r="AP47" s="10">
        <f t="shared" si="111"/>
        <v>0</v>
      </c>
      <c r="AQ47" s="10">
        <f t="shared" si="111"/>
        <v>-0.39107996385219534</v>
      </c>
      <c r="AR47" s="10">
        <f t="shared" si="111"/>
        <v>-1.5643198554087814</v>
      </c>
      <c r="AS47" s="10">
        <f t="shared" si="111"/>
        <v>-3.1286397108175628</v>
      </c>
      <c r="AT47" s="10">
        <f t="shared" si="111"/>
        <v>-1.9553998192609767</v>
      </c>
      <c r="AU47" s="10">
        <f t="shared" si="111"/>
        <v>-0.78215992770439069</v>
      </c>
      <c r="AV47" s="10">
        <f t="shared" si="111"/>
        <v>-1.5643198554087814</v>
      </c>
      <c r="AW47" s="10">
        <f t="shared" si="111"/>
        <v>-7.531859771654732</v>
      </c>
      <c r="AX47" s="10">
        <f t="shared" si="111"/>
        <v>-8.787169733597187</v>
      </c>
      <c r="AY47" s="10">
        <f t="shared" ref="AY47:BX47" si="113">SUM(AY41:AY46)</f>
        <v>-7.531859771654732</v>
      </c>
      <c r="AZ47" s="10">
        <f t="shared" si="113"/>
        <v>-6.2765498097122769</v>
      </c>
      <c r="BA47" s="10">
        <f t="shared" si="113"/>
        <v>-3.765929885827366</v>
      </c>
      <c r="BB47" s="10">
        <f t="shared" si="113"/>
        <v>-5.021239847769821</v>
      </c>
      <c r="BC47" s="10">
        <f t="shared" si="113"/>
        <v>-6.2765498097122769</v>
      </c>
      <c r="BD47" s="10">
        <f t="shared" si="113"/>
        <v>-6.2765498097122769</v>
      </c>
      <c r="BE47" s="10">
        <f t="shared" si="113"/>
        <v>-10.042479695539642</v>
      </c>
      <c r="BF47" s="10">
        <f t="shared" si="113"/>
        <v>-7.531859771654732</v>
      </c>
      <c r="BG47" s="10">
        <f t="shared" si="113"/>
        <v>-6.2765498097122769</v>
      </c>
      <c r="BH47" s="10">
        <f t="shared" si="113"/>
        <v>-6.2765498097122769</v>
      </c>
      <c r="BI47" s="10">
        <f t="shared" si="113"/>
        <v>-17.230714014703278</v>
      </c>
      <c r="BJ47" s="10">
        <f t="shared" si="113"/>
        <v>-19.384553266541186</v>
      </c>
      <c r="BK47" s="10">
        <f t="shared" si="113"/>
        <v>-17.230714014703278</v>
      </c>
      <c r="BL47" s="10">
        <f t="shared" si="113"/>
        <v>-12.923035511027459</v>
      </c>
      <c r="BM47" s="10">
        <f t="shared" si="113"/>
        <v>-8.6153570073516388</v>
      </c>
      <c r="BN47" s="10">
        <f t="shared" si="113"/>
        <v>-10.769196259189549</v>
      </c>
      <c r="BO47" s="10">
        <f t="shared" si="113"/>
        <v>-12.923035511027459</v>
      </c>
      <c r="BP47" s="10">
        <f t="shared" si="113"/>
        <v>-12.923035511027459</v>
      </c>
      <c r="BQ47" s="10">
        <f t="shared" si="113"/>
        <v>-17.230714014703278</v>
      </c>
      <c r="BR47" s="10">
        <f t="shared" si="113"/>
        <v>-17.230714014703278</v>
      </c>
      <c r="BS47" s="10">
        <f t="shared" si="113"/>
        <v>-12.923035511027459</v>
      </c>
      <c r="BT47" s="10">
        <f t="shared" si="113"/>
        <v>-12.923035511027459</v>
      </c>
      <c r="BU47" s="10">
        <f t="shared" si="113"/>
        <v>-17.230714014703278</v>
      </c>
      <c r="BV47" s="10">
        <f t="shared" si="113"/>
        <v>-19.384553266541186</v>
      </c>
      <c r="BW47" s="10">
        <f t="shared" si="113"/>
        <v>-17.230714014703278</v>
      </c>
      <c r="BX47" s="10">
        <f t="shared" si="113"/>
        <v>-12.923035511027459</v>
      </c>
      <c r="BY47" s="243"/>
      <c r="BZ47" s="374">
        <f t="shared" ref="BZ47:CE47" si="114">SUM(BZ41:BZ46)</f>
        <v>-86.425149999999988</v>
      </c>
      <c r="CA47" s="374">
        <f t="shared" ref="CA47" si="115">SUM(CA41:CA46)</f>
        <v>-42.490750000000013</v>
      </c>
      <c r="CB47" s="374">
        <f t="shared" ref="CB47" si="116">SUM(CB41:CB46)</f>
        <v>-49.04101</v>
      </c>
      <c r="CC47" s="10">
        <f t="shared" si="114"/>
        <v>-15.643198554087814</v>
      </c>
      <c r="CD47" s="10">
        <f t="shared" si="114"/>
        <v>-81.595147526259595</v>
      </c>
      <c r="CE47" s="10">
        <f t="shared" si="114"/>
        <v>-172.30714014703278</v>
      </c>
      <c r="CG47" s="127">
        <f>IFERROR(CC47/CC$38,0)</f>
        <v>-1.7259023111335602E-2</v>
      </c>
      <c r="CH47" s="127">
        <f t="shared" ref="CH47:CI47" si="117">IFERROR(CD47/CD$38,0)</f>
        <v>-4.6635184818162825E-2</v>
      </c>
      <c r="CI47" s="127">
        <f t="shared" si="117"/>
        <v>-6.621909683449316E-2</v>
      </c>
      <c r="CK47" s="127">
        <f>IFERROR(CB47/CB$38,0)</f>
        <v>-8.7440544239849746E-2</v>
      </c>
      <c r="CM47" s="10">
        <f t="shared" ref="CM47" si="118">SUM(CM41:CM46)</f>
        <v>-757.2093900000001</v>
      </c>
      <c r="CN47" s="127">
        <f>IFERROR(CM47/CM$38,0)</f>
        <v>-0.10735328121312991</v>
      </c>
      <c r="CP47" s="112" t="s">
        <v>411</v>
      </c>
      <c r="CS47" s="132"/>
    </row>
    <row r="48" spans="3:97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386"/>
      <c r="AJ48" s="105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105"/>
      <c r="BZ48" s="32"/>
      <c r="CA48" s="32"/>
      <c r="CB48" s="32"/>
      <c r="CC48" s="9"/>
      <c r="CD48" s="9"/>
      <c r="CE48" s="9"/>
      <c r="CG48" s="126"/>
      <c r="CH48" s="126"/>
      <c r="CI48" s="126"/>
      <c r="CK48" s="126"/>
      <c r="CM48" s="9"/>
      <c r="CN48" s="126"/>
      <c r="CS48" s="132"/>
    </row>
    <row r="49" spans="3:97">
      <c r="C49" s="12" t="s">
        <v>71</v>
      </c>
      <c r="D49" s="131">
        <f t="shared" ref="D49:O49" si="119">D38+D47</f>
        <v>-12.842020000000002</v>
      </c>
      <c r="E49" s="131">
        <f t="shared" si="119"/>
        <v>1.0223999999999975</v>
      </c>
      <c r="F49" s="131">
        <f t="shared" si="119"/>
        <v>43.277960000000007</v>
      </c>
      <c r="G49" s="131">
        <f t="shared" si="119"/>
        <v>70.904990000000012</v>
      </c>
      <c r="H49" s="131">
        <f t="shared" si="119"/>
        <v>52.232240000000004</v>
      </c>
      <c r="I49" s="131">
        <f t="shared" si="119"/>
        <v>95.313909999999993</v>
      </c>
      <c r="J49" s="131">
        <f t="shared" si="119"/>
        <v>16.668090000000003</v>
      </c>
      <c r="K49" s="131">
        <f t="shared" si="119"/>
        <v>-0.86785000000000012</v>
      </c>
      <c r="L49" s="131">
        <f t="shared" si="119"/>
        <v>33.885929999999995</v>
      </c>
      <c r="M49" s="131">
        <f t="shared" si="119"/>
        <v>57.716239999999992</v>
      </c>
      <c r="N49" s="131">
        <f t="shared" si="119"/>
        <v>3.6046899999999988</v>
      </c>
      <c r="O49" s="131">
        <f t="shared" si="119"/>
        <v>19.122630000000001</v>
      </c>
      <c r="P49" s="131">
        <f t="shared" ref="P49:AE49" si="120">P38+P47</f>
        <v>-3.2884200000000003</v>
      </c>
      <c r="Q49" s="131">
        <f t="shared" si="120"/>
        <v>0.81554000000000038</v>
      </c>
      <c r="R49" s="131">
        <f t="shared" si="120"/>
        <v>31.452010000000001</v>
      </c>
      <c r="S49" s="131">
        <f t="shared" si="120"/>
        <v>70.823420000000027</v>
      </c>
      <c r="T49" s="131">
        <f t="shared" si="120"/>
        <v>114.42797999999999</v>
      </c>
      <c r="U49" s="131">
        <f t="shared" si="120"/>
        <v>100.12595000000002</v>
      </c>
      <c r="V49" s="131">
        <f t="shared" si="120"/>
        <v>3.0413799999999998</v>
      </c>
      <c r="W49" s="131">
        <f t="shared" si="120"/>
        <v>3.3240000000000158E-2</v>
      </c>
      <c r="X49" s="131">
        <f t="shared" si="120"/>
        <v>1.2929200000000001</v>
      </c>
      <c r="Y49" s="131">
        <f t="shared" si="120"/>
        <v>53.474240000000002</v>
      </c>
      <c r="Z49" s="131">
        <f t="shared" si="120"/>
        <v>23.647290000000002</v>
      </c>
      <c r="AA49" s="131">
        <f t="shared" si="120"/>
        <v>-0.65107999999999999</v>
      </c>
      <c r="AB49" s="131">
        <f t="shared" si="120"/>
        <v>10.156940000000001</v>
      </c>
      <c r="AC49" s="131">
        <f t="shared" si="120"/>
        <v>0.6</v>
      </c>
      <c r="AD49" s="131">
        <f t="shared" si="120"/>
        <v>57.842500000000008</v>
      </c>
      <c r="AE49" s="131">
        <f t="shared" si="120"/>
        <v>89.312660000000022</v>
      </c>
      <c r="AF49" s="131">
        <f>AF38+AF47</f>
        <v>119.04992</v>
      </c>
      <c r="AG49" s="131">
        <f t="shared" ref="AG49:AH49" si="121">AG38+AG47</f>
        <v>132.03611000000001</v>
      </c>
      <c r="AH49" s="131">
        <f t="shared" si="121"/>
        <v>25.014029999999998</v>
      </c>
      <c r="AI49" s="131"/>
      <c r="AJ49" s="242"/>
      <c r="AK49" s="131">
        <f t="shared" ref="AK49:BX49" si="122">AK38+AK47</f>
        <v>133.61021764850565</v>
      </c>
      <c r="AL49" s="131">
        <f t="shared" si="122"/>
        <v>133.61021764850565</v>
      </c>
      <c r="AM49" s="131">
        <f t="shared" si="122"/>
        <v>44.536739216168556</v>
      </c>
      <c r="AN49" s="131">
        <f t="shared" si="122"/>
        <v>44.536739216168556</v>
      </c>
      <c r="AO49" s="131">
        <f t="shared" si="122"/>
        <v>0</v>
      </c>
      <c r="AP49" s="131">
        <f t="shared" si="122"/>
        <v>0</v>
      </c>
      <c r="AQ49" s="131">
        <f t="shared" si="122"/>
        <v>22.268369608084278</v>
      </c>
      <c r="AR49" s="131">
        <f t="shared" si="122"/>
        <v>89.073478432337112</v>
      </c>
      <c r="AS49" s="131">
        <f t="shared" si="122"/>
        <v>178.14695686467422</v>
      </c>
      <c r="AT49" s="131">
        <f t="shared" si="122"/>
        <v>111.34184804042143</v>
      </c>
      <c r="AU49" s="131">
        <f t="shared" si="122"/>
        <v>44.536739216168556</v>
      </c>
      <c r="AV49" s="131">
        <f t="shared" si="122"/>
        <v>89.073478432337112</v>
      </c>
      <c r="AW49" s="131">
        <f t="shared" si="122"/>
        <v>153.97408903121843</v>
      </c>
      <c r="AX49" s="131">
        <f t="shared" si="122"/>
        <v>179.63643720308812</v>
      </c>
      <c r="AY49" s="131">
        <f t="shared" si="122"/>
        <v>153.97408903121843</v>
      </c>
      <c r="AZ49" s="131">
        <f t="shared" si="122"/>
        <v>128.31174085934867</v>
      </c>
      <c r="BA49" s="131">
        <f t="shared" si="122"/>
        <v>76.987044515609213</v>
      </c>
      <c r="BB49" s="131">
        <f t="shared" si="122"/>
        <v>102.64939268747894</v>
      </c>
      <c r="BC49" s="131">
        <f t="shared" si="122"/>
        <v>128.31174085934867</v>
      </c>
      <c r="BD49" s="131">
        <f t="shared" si="122"/>
        <v>128.31174085934867</v>
      </c>
      <c r="BE49" s="131">
        <f t="shared" si="122"/>
        <v>205.29878537495787</v>
      </c>
      <c r="BF49" s="131">
        <f t="shared" si="122"/>
        <v>153.97408903121843</v>
      </c>
      <c r="BG49" s="131">
        <f t="shared" si="122"/>
        <v>128.31174085934867</v>
      </c>
      <c r="BH49" s="131">
        <f t="shared" si="122"/>
        <v>128.31174085934867</v>
      </c>
      <c r="BI49" s="131">
        <f t="shared" si="122"/>
        <v>242.97691246152937</v>
      </c>
      <c r="BJ49" s="131">
        <f t="shared" si="122"/>
        <v>273.34902651922056</v>
      </c>
      <c r="BK49" s="131">
        <f t="shared" si="122"/>
        <v>242.97691246152937</v>
      </c>
      <c r="BL49" s="131">
        <f t="shared" si="122"/>
        <v>182.23268434614701</v>
      </c>
      <c r="BM49" s="131">
        <f t="shared" si="122"/>
        <v>121.48845623076468</v>
      </c>
      <c r="BN49" s="131">
        <f t="shared" si="122"/>
        <v>151.86057028845588</v>
      </c>
      <c r="BO49" s="131">
        <f t="shared" si="122"/>
        <v>182.23268434614701</v>
      </c>
      <c r="BP49" s="131">
        <f t="shared" si="122"/>
        <v>182.23268434614701</v>
      </c>
      <c r="BQ49" s="131">
        <f t="shared" si="122"/>
        <v>242.97691246152937</v>
      </c>
      <c r="BR49" s="131">
        <f t="shared" si="122"/>
        <v>242.97691246152937</v>
      </c>
      <c r="BS49" s="131">
        <f t="shared" si="122"/>
        <v>182.23268434614701</v>
      </c>
      <c r="BT49" s="131">
        <f t="shared" si="122"/>
        <v>182.23268434614701</v>
      </c>
      <c r="BU49" s="131">
        <f t="shared" si="122"/>
        <v>242.97691246152937</v>
      </c>
      <c r="BV49" s="131">
        <f t="shared" si="122"/>
        <v>273.34902651922056</v>
      </c>
      <c r="BW49" s="131">
        <f t="shared" si="122"/>
        <v>242.97691246152937</v>
      </c>
      <c r="BX49" s="131">
        <f t="shared" si="122"/>
        <v>182.23268434614701</v>
      </c>
      <c r="BY49" s="242"/>
      <c r="BZ49" s="375">
        <f>BZ38+BZ47</f>
        <v>380.03920999999997</v>
      </c>
      <c r="CA49" s="375">
        <f>CA38+CA47</f>
        <v>395.19447000000008</v>
      </c>
      <c r="CB49" s="375">
        <f>CB38+CB47</f>
        <v>511.80876999999998</v>
      </c>
      <c r="CC49" s="131">
        <f t="shared" ref="CC49:CE49" si="123">CC38+CC47</f>
        <v>890.7347843233714</v>
      </c>
      <c r="CD49" s="131">
        <f t="shared" si="123"/>
        <v>1668.0526311715328</v>
      </c>
      <c r="CE49" s="131">
        <f t="shared" si="123"/>
        <v>2429.769124615294</v>
      </c>
      <c r="CF49" s="35"/>
      <c r="CG49" s="128">
        <f>IFERROR(CC49/CC$38,0)</f>
        <v>0.98274097688866446</v>
      </c>
      <c r="CH49" s="128">
        <f t="shared" ref="CH49" si="124">IFERROR(CD49/CD$38,0)</f>
        <v>0.95336481518183724</v>
      </c>
      <c r="CI49" s="128">
        <f t="shared" ref="CI49" si="125">IFERROR(CE49/CE$38,0)</f>
        <v>0.93378090316550677</v>
      </c>
      <c r="CJ49" s="35"/>
      <c r="CK49" s="128">
        <f>IFERROR(CB49/CB$38,0)</f>
        <v>0.91255945576015018</v>
      </c>
      <c r="CL49" s="35"/>
      <c r="CM49" s="131">
        <f t="shared" ref="CM49" si="126">CM38+CM47</f>
        <v>6296.2255999999998</v>
      </c>
      <c r="CN49" s="128">
        <f>IFERROR(CM49/CM$38,0)</f>
        <v>0.89264671878687007</v>
      </c>
      <c r="CP49" s="112" t="s">
        <v>411</v>
      </c>
      <c r="CS49" s="132"/>
    </row>
    <row r="50" spans="3:97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386"/>
      <c r="AJ50" s="105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105"/>
      <c r="BZ50" s="32"/>
      <c r="CA50" s="32"/>
      <c r="CB50" s="32"/>
      <c r="CC50" s="9"/>
      <c r="CD50" s="9"/>
      <c r="CE50" s="9"/>
      <c r="CG50" s="126"/>
      <c r="CH50" s="126"/>
      <c r="CI50" s="126"/>
      <c r="CK50" s="126"/>
      <c r="CM50" s="9"/>
      <c r="CN50" s="126"/>
      <c r="CS50" s="132"/>
    </row>
    <row r="51" spans="3:97">
      <c r="C51" s="6" t="s">
        <v>224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386"/>
      <c r="AJ51" s="105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105"/>
      <c r="BZ51" s="32"/>
      <c r="CA51" s="32"/>
      <c r="CB51" s="32"/>
      <c r="CC51" s="9"/>
      <c r="CD51" s="9"/>
      <c r="CE51" s="9"/>
      <c r="CG51" s="126"/>
      <c r="CH51" s="126"/>
      <c r="CI51" s="126"/>
      <c r="CK51" s="126"/>
      <c r="CM51" s="9"/>
      <c r="CN51" s="126"/>
      <c r="CS51" s="132"/>
    </row>
    <row r="52" spans="3:97">
      <c r="C52" s="4" t="s">
        <v>75</v>
      </c>
      <c r="D52" s="14">
        <f>-SUMIFS('P&amp;L'!C:C,'P&amp;L'!$A:$A,$C52)/1000</f>
        <v>0</v>
      </c>
      <c r="E52" s="14">
        <f>-SUMIFS('P&amp;L'!D:D,'P&amp;L'!$A:$A,$C52)/1000</f>
        <v>0</v>
      </c>
      <c r="F52" s="14">
        <f>-SUMIFS('P&amp;L'!E:E,'P&amp;L'!$A:$A,$C52)/1000</f>
        <v>0</v>
      </c>
      <c r="G52" s="14">
        <f>-SUMIFS('P&amp;L'!F:F,'P&amp;L'!$A:$A,$C52)/1000</f>
        <v>0</v>
      </c>
      <c r="H52" s="14">
        <f>-SUMIFS('P&amp;L'!G:G,'P&amp;L'!$A:$A,$C52)/1000</f>
        <v>0</v>
      </c>
      <c r="I52" s="14">
        <f>-SUMIFS('P&amp;L'!H:H,'P&amp;L'!$A:$A,$C52)/1000</f>
        <v>0</v>
      </c>
      <c r="J52" s="14">
        <f>-SUMIFS('P&amp;L'!I:I,'P&amp;L'!$A:$A,$C52)/1000</f>
        <v>0</v>
      </c>
      <c r="K52" s="14">
        <f>-SUMIFS('P&amp;L'!J:J,'P&amp;L'!$A:$A,$C52)/1000</f>
        <v>0</v>
      </c>
      <c r="L52" s="14">
        <f>-SUMIFS('P&amp;L'!K:K,'P&amp;L'!$A:$A,$C52)/1000</f>
        <v>0</v>
      </c>
      <c r="M52" s="14">
        <f>-SUMIFS('P&amp;L'!L:L,'P&amp;L'!$A:$A,$C52)/1000</f>
        <v>0</v>
      </c>
      <c r="N52" s="14">
        <f>-SUMIFS('P&amp;L'!M:M,'P&amp;L'!$A:$A,$C52)/1000</f>
        <v>0</v>
      </c>
      <c r="O52" s="14">
        <f>-SUMIFS('P&amp;L'!N:N,'P&amp;L'!$A:$A,$C52)/1000</f>
        <v>0</v>
      </c>
      <c r="P52" s="14">
        <f>-SUMIFS('P&amp;L'!O:O,'P&amp;L'!$A:$A,$C52)/1000</f>
        <v>0</v>
      </c>
      <c r="Q52" s="14">
        <f>-SUMIFS('P&amp;L'!P:P,'P&amp;L'!$A:$A,$C52)/1000</f>
        <v>0</v>
      </c>
      <c r="R52" s="14">
        <f>-SUMIFS('P&amp;L'!Q:Q,'P&amp;L'!$A:$A,$C52)/1000</f>
        <v>0</v>
      </c>
      <c r="S52" s="14">
        <f>-SUMIFS('P&amp;L'!R:R,'P&amp;L'!$A:$A,$C52)/1000</f>
        <v>0</v>
      </c>
      <c r="T52" s="14">
        <f>-SUMIFS('P&amp;L'!S:S,'P&amp;L'!$A:$A,$C52)/1000</f>
        <v>0</v>
      </c>
      <c r="U52" s="14">
        <f>-SUMIFS('P&amp;L'!T:T,'P&amp;L'!$A:$A,$C52)/1000</f>
        <v>0</v>
      </c>
      <c r="V52" s="14">
        <f>-SUMIFS('P&amp;L'!U:U,'P&amp;L'!$A:$A,$C52)/1000</f>
        <v>0</v>
      </c>
      <c r="W52" s="14">
        <f>-SUMIFS('P&amp;L'!V:V,'P&amp;L'!$A:$A,$C52)/1000</f>
        <v>0</v>
      </c>
      <c r="X52" s="14">
        <f>-SUMIFS('P&amp;L'!W:W,'P&amp;L'!$A:$A,$C52)/1000</f>
        <v>0</v>
      </c>
      <c r="Y52" s="14">
        <f>-SUMIFS('P&amp;L'!X:X,'P&amp;L'!$A:$A,$C52)/1000</f>
        <v>0</v>
      </c>
      <c r="Z52" s="14">
        <f>-SUMIFS('P&amp;L'!Y:Y,'P&amp;L'!$A:$A,$C52)/1000</f>
        <v>0</v>
      </c>
      <c r="AA52" s="14">
        <f>-SUMIFS('P&amp;L'!Z:Z,'P&amp;L'!$A:$A,$C52)/1000</f>
        <v>0</v>
      </c>
      <c r="AB52" s="14">
        <f>-SUMIFS('P&amp;L'!AA:AA,'P&amp;L'!$A:$A,$C52)/1000</f>
        <v>0</v>
      </c>
      <c r="AC52" s="14">
        <f>-SUMIFS('P&amp;L'!AB:AB,'P&amp;L'!$A:$A,$C52)/1000</f>
        <v>0</v>
      </c>
      <c r="AD52" s="14">
        <f>-SUMIFS('P&amp;L'!AC:AC,'P&amp;L'!$A:$A,$C52)/1000</f>
        <v>0</v>
      </c>
      <c r="AE52" s="14">
        <f>-SUMIFS('P&amp;L'!AD:AD,'P&amp;L'!$A:$A,$C52)/1000</f>
        <v>0</v>
      </c>
      <c r="AF52" s="14">
        <f>-SUMIFS('P&amp;L'!AE:AE,'P&amp;L'!$A:$A,$C52)/1000</f>
        <v>0</v>
      </c>
      <c r="AG52" s="14">
        <f>-SUMIFS('P&amp;L'!AF:AF,'P&amp;L'!$A:$A,$C52)/1000</f>
        <v>0</v>
      </c>
      <c r="AH52" s="14">
        <f>-SUMIFS('P&amp;L'!AG:AG,'P&amp;L'!$A:$A,$C52)/1000</f>
        <v>0</v>
      </c>
      <c r="AI52" s="253"/>
      <c r="AJ52" s="241"/>
      <c r="AK52" s="32">
        <f t="shared" ref="AK52:AT53" si="127">SUMIFS($CC52:$CE52,$CC$1:$CE$1,AK$3)/12</f>
        <v>-6.25</v>
      </c>
      <c r="AL52" s="32">
        <f t="shared" si="127"/>
        <v>-6.25</v>
      </c>
      <c r="AM52" s="32">
        <f t="shared" si="127"/>
        <v>-6.25</v>
      </c>
      <c r="AN52" s="32">
        <f t="shared" si="127"/>
        <v>-6.25</v>
      </c>
      <c r="AO52" s="32">
        <f t="shared" si="127"/>
        <v>-6.25</v>
      </c>
      <c r="AP52" s="32">
        <f t="shared" si="127"/>
        <v>-6.25</v>
      </c>
      <c r="AQ52" s="32">
        <f t="shared" si="127"/>
        <v>-6.25</v>
      </c>
      <c r="AR52" s="32">
        <f t="shared" si="127"/>
        <v>-6.25</v>
      </c>
      <c r="AS52" s="32">
        <f t="shared" si="127"/>
        <v>-6.25</v>
      </c>
      <c r="AT52" s="32">
        <f t="shared" si="127"/>
        <v>-6.25</v>
      </c>
      <c r="AU52" s="32">
        <f t="shared" ref="AU52:BD53" si="128">SUMIFS($CC52:$CE52,$CC$1:$CE$1,AU$3)/12</f>
        <v>-6.25</v>
      </c>
      <c r="AV52" s="32">
        <f t="shared" si="128"/>
        <v>-6.25</v>
      </c>
      <c r="AW52" s="32">
        <f t="shared" si="128"/>
        <v>-6.4375</v>
      </c>
      <c r="AX52" s="32">
        <f t="shared" si="128"/>
        <v>-6.4375</v>
      </c>
      <c r="AY52" s="32">
        <f t="shared" si="128"/>
        <v>-6.4375</v>
      </c>
      <c r="AZ52" s="32">
        <f t="shared" si="128"/>
        <v>-6.4375</v>
      </c>
      <c r="BA52" s="32">
        <f t="shared" si="128"/>
        <v>-6.4375</v>
      </c>
      <c r="BB52" s="32">
        <f t="shared" si="128"/>
        <v>-6.4375</v>
      </c>
      <c r="BC52" s="32">
        <f t="shared" si="128"/>
        <v>-6.4375</v>
      </c>
      <c r="BD52" s="32">
        <f t="shared" si="128"/>
        <v>-6.4375</v>
      </c>
      <c r="BE52" s="32">
        <f t="shared" ref="BE52:BN53" si="129">SUMIFS($CC52:$CE52,$CC$1:$CE$1,BE$3)/12</f>
        <v>-6.4375</v>
      </c>
      <c r="BF52" s="32">
        <f t="shared" si="129"/>
        <v>-6.4375</v>
      </c>
      <c r="BG52" s="32">
        <f t="shared" si="129"/>
        <v>-6.4375</v>
      </c>
      <c r="BH52" s="32">
        <f t="shared" si="129"/>
        <v>-6.4375</v>
      </c>
      <c r="BI52" s="32">
        <f t="shared" si="129"/>
        <v>-6.6306249999999993</v>
      </c>
      <c r="BJ52" s="32">
        <f t="shared" si="129"/>
        <v>-6.6306249999999993</v>
      </c>
      <c r="BK52" s="32">
        <f t="shared" si="129"/>
        <v>-6.6306249999999993</v>
      </c>
      <c r="BL52" s="32">
        <f t="shared" si="129"/>
        <v>-6.6306249999999993</v>
      </c>
      <c r="BM52" s="32">
        <f t="shared" si="129"/>
        <v>-6.6306249999999993</v>
      </c>
      <c r="BN52" s="32">
        <f t="shared" si="129"/>
        <v>-6.6306249999999993</v>
      </c>
      <c r="BO52" s="32">
        <f t="shared" ref="BO52:BT53" si="130">SUMIFS($CC52:$CE52,$CC$1:$CE$1,BO$3)/12</f>
        <v>-6.6306249999999993</v>
      </c>
      <c r="BP52" s="32">
        <f t="shared" si="130"/>
        <v>-6.6306249999999993</v>
      </c>
      <c r="BQ52" s="32">
        <f t="shared" si="130"/>
        <v>-6.6306249999999993</v>
      </c>
      <c r="BR52" s="32">
        <f t="shared" si="130"/>
        <v>-6.6306249999999993</v>
      </c>
      <c r="BS52" s="32">
        <f t="shared" si="130"/>
        <v>-6.6306249999999993</v>
      </c>
      <c r="BT52" s="273">
        <f t="shared" si="130"/>
        <v>-6.6306249999999993</v>
      </c>
      <c r="BU52" s="32">
        <f t="shared" ref="BU52:BU57" si="131">BI52</f>
        <v>-6.6306249999999993</v>
      </c>
      <c r="BV52" s="32">
        <f t="shared" ref="BV52:BV53" si="132">BJ52</f>
        <v>-6.6306249999999993</v>
      </c>
      <c r="BW52" s="32">
        <f t="shared" ref="BW52:BW53" si="133">BK52</f>
        <v>-6.6306249999999993</v>
      </c>
      <c r="BX52" s="32">
        <f t="shared" ref="BX52:BX53" si="134">BL52</f>
        <v>-6.6306249999999993</v>
      </c>
      <c r="BY52" s="241"/>
      <c r="BZ52" s="32">
        <f t="shared" ref="BZ52:CA59" si="135">SUMIFS($D52:$AJ52,$D$1:$AJ$1,BZ$9)</f>
        <v>0</v>
      </c>
      <c r="CA52" s="32">
        <f t="shared" si="135"/>
        <v>0</v>
      </c>
      <c r="CB52" s="32">
        <f t="shared" ref="CB52:CB59" si="136">SUMIFS($D52:$AJ52,$D$3:$AJ$3,"LTM")</f>
        <v>0</v>
      </c>
      <c r="CC52" s="9">
        <f t="shared" ref="CC52:CE52" si="137">CG52*1</f>
        <v>-75</v>
      </c>
      <c r="CD52" s="9">
        <f t="shared" si="137"/>
        <v>-77.25</v>
      </c>
      <c r="CE52" s="9">
        <f t="shared" si="137"/>
        <v>-79.567499999999995</v>
      </c>
      <c r="CG52" s="14">
        <f>-Payroll!$E$11/1000</f>
        <v>-75</v>
      </c>
      <c r="CH52" s="32">
        <f>CG52*1.03</f>
        <v>-77.25</v>
      </c>
      <c r="CI52" s="32">
        <f>CH52*1.03</f>
        <v>-79.567499999999995</v>
      </c>
      <c r="CK52" s="62">
        <f t="shared" ref="CK52:CK57" si="138">IFERROR(CB52/CB$38,0)</f>
        <v>0</v>
      </c>
      <c r="CM52" s="14">
        <f>-SUMIFS('FY25 By Venue Financials'!$N:$N,'FY25 By Venue Financials'!$A:$A,$C52)</f>
        <v>-210.42053999999999</v>
      </c>
      <c r="CN52" s="32"/>
      <c r="CP52" s="112" t="s">
        <v>443</v>
      </c>
      <c r="CQ52" s="112" t="s">
        <v>486</v>
      </c>
      <c r="CR52" s="124" t="s">
        <v>1191</v>
      </c>
      <c r="CS52" s="132"/>
    </row>
    <row r="53" spans="3:97">
      <c r="C53" s="4" t="s">
        <v>79</v>
      </c>
      <c r="D53" s="14">
        <f>-SUMIFS('P&amp;L'!C:C,'P&amp;L'!$A:$A,$C53)/1000</f>
        <v>0</v>
      </c>
      <c r="E53" s="14">
        <f>-SUMIFS('P&amp;L'!D:D,'P&amp;L'!$A:$A,$C53)/1000</f>
        <v>0</v>
      </c>
      <c r="F53" s="14">
        <f>-SUMIFS('P&amp;L'!E:E,'P&amp;L'!$A:$A,$C53)/1000</f>
        <v>0</v>
      </c>
      <c r="G53" s="14">
        <f>-SUMIFS('P&amp;L'!F:F,'P&amp;L'!$A:$A,$C53)/1000</f>
        <v>0</v>
      </c>
      <c r="H53" s="14">
        <f>-SUMIFS('P&amp;L'!G:G,'P&amp;L'!$A:$A,$C53)/1000</f>
        <v>0</v>
      </c>
      <c r="I53" s="14">
        <f>-SUMIFS('P&amp;L'!H:H,'P&amp;L'!$A:$A,$C53)/1000</f>
        <v>0</v>
      </c>
      <c r="J53" s="14">
        <f>-SUMIFS('P&amp;L'!I:I,'P&amp;L'!$A:$A,$C53)/1000</f>
        <v>0</v>
      </c>
      <c r="K53" s="14">
        <f>-SUMIFS('P&amp;L'!J:J,'P&amp;L'!$A:$A,$C53)/1000</f>
        <v>0</v>
      </c>
      <c r="L53" s="14">
        <f>-SUMIFS('P&amp;L'!K:K,'P&amp;L'!$A:$A,$C53)/1000</f>
        <v>0</v>
      </c>
      <c r="M53" s="14">
        <f>-SUMIFS('P&amp;L'!L:L,'P&amp;L'!$A:$A,$C53)/1000</f>
        <v>0</v>
      </c>
      <c r="N53" s="14">
        <f>-SUMIFS('P&amp;L'!M:M,'P&amp;L'!$A:$A,$C53)/1000</f>
        <v>0</v>
      </c>
      <c r="O53" s="14">
        <f>-SUMIFS('P&amp;L'!N:N,'P&amp;L'!$A:$A,$C53)/1000</f>
        <v>0</v>
      </c>
      <c r="P53" s="14">
        <f>-SUMIFS('P&amp;L'!O:O,'P&amp;L'!$A:$A,$C53)/1000</f>
        <v>0</v>
      </c>
      <c r="Q53" s="14">
        <f>-SUMIFS('P&amp;L'!P:P,'P&amp;L'!$A:$A,$C53)/1000</f>
        <v>0</v>
      </c>
      <c r="R53" s="14">
        <f>-SUMIFS('P&amp;L'!Q:Q,'P&amp;L'!$A:$A,$C53)/1000</f>
        <v>0</v>
      </c>
      <c r="S53" s="14">
        <f>-SUMIFS('P&amp;L'!R:R,'P&amp;L'!$A:$A,$C53)/1000</f>
        <v>0</v>
      </c>
      <c r="T53" s="14">
        <f>-SUMIFS('P&amp;L'!S:S,'P&amp;L'!$A:$A,$C53)/1000</f>
        <v>0</v>
      </c>
      <c r="U53" s="14">
        <f>-SUMIFS('P&amp;L'!T:T,'P&amp;L'!$A:$A,$C53)/1000</f>
        <v>0</v>
      </c>
      <c r="V53" s="14">
        <f>-SUMIFS('P&amp;L'!U:U,'P&amp;L'!$A:$A,$C53)/1000</f>
        <v>0</v>
      </c>
      <c r="W53" s="14">
        <f>-SUMIFS('P&amp;L'!V:V,'P&amp;L'!$A:$A,$C53)/1000</f>
        <v>0</v>
      </c>
      <c r="X53" s="14">
        <f>-SUMIFS('P&amp;L'!W:W,'P&amp;L'!$A:$A,$C53)/1000</f>
        <v>0</v>
      </c>
      <c r="Y53" s="14">
        <f>-SUMIFS('P&amp;L'!X:X,'P&amp;L'!$A:$A,$C53)/1000</f>
        <v>0</v>
      </c>
      <c r="Z53" s="14">
        <f>-SUMIFS('P&amp;L'!Y:Y,'P&amp;L'!$A:$A,$C53)/1000</f>
        <v>0</v>
      </c>
      <c r="AA53" s="14">
        <f>-SUMIFS('P&amp;L'!Z:Z,'P&amp;L'!$A:$A,$C53)/1000</f>
        <v>0</v>
      </c>
      <c r="AB53" s="14">
        <f>-SUMIFS('P&amp;L'!AA:AA,'P&amp;L'!$A:$A,$C53)/1000</f>
        <v>0</v>
      </c>
      <c r="AC53" s="14">
        <f>-SUMIFS('P&amp;L'!AB:AB,'P&amp;L'!$A:$A,$C53)/1000</f>
        <v>0</v>
      </c>
      <c r="AD53" s="14">
        <f>-SUMIFS('P&amp;L'!AC:AC,'P&amp;L'!$A:$A,$C53)/1000</f>
        <v>0</v>
      </c>
      <c r="AE53" s="14">
        <f>-SUMIFS('P&amp;L'!AD:AD,'P&amp;L'!$A:$A,$C53)/1000</f>
        <v>0</v>
      </c>
      <c r="AF53" s="14">
        <f>-SUMIFS('P&amp;L'!AE:AE,'P&amp;L'!$A:$A,$C53)/1000</f>
        <v>0</v>
      </c>
      <c r="AG53" s="14">
        <f>-SUMIFS('P&amp;L'!AF:AF,'P&amp;L'!$A:$A,$C53)/1000</f>
        <v>0</v>
      </c>
      <c r="AH53" s="14">
        <f>-SUMIFS('P&amp;L'!AG:AG,'P&amp;L'!$A:$A,$C53)/1000</f>
        <v>0</v>
      </c>
      <c r="AI53" s="253"/>
      <c r="AJ53" s="241"/>
      <c r="AK53" s="32">
        <f t="shared" si="127"/>
        <v>-12.153333333333334</v>
      </c>
      <c r="AL53" s="32">
        <f t="shared" si="127"/>
        <v>-12.153333333333334</v>
      </c>
      <c r="AM53" s="32">
        <f t="shared" si="127"/>
        <v>-12.153333333333334</v>
      </c>
      <c r="AN53" s="32">
        <f t="shared" si="127"/>
        <v>-12.153333333333334</v>
      </c>
      <c r="AO53" s="32">
        <f t="shared" si="127"/>
        <v>-12.153333333333334</v>
      </c>
      <c r="AP53" s="32">
        <f t="shared" si="127"/>
        <v>-12.153333333333334</v>
      </c>
      <c r="AQ53" s="32">
        <f t="shared" si="127"/>
        <v>-12.153333333333334</v>
      </c>
      <c r="AR53" s="32">
        <f t="shared" si="127"/>
        <v>-12.153333333333334</v>
      </c>
      <c r="AS53" s="32">
        <f t="shared" si="127"/>
        <v>-12.153333333333334</v>
      </c>
      <c r="AT53" s="32">
        <f t="shared" si="127"/>
        <v>-12.153333333333334</v>
      </c>
      <c r="AU53" s="32">
        <f t="shared" si="128"/>
        <v>-12.153333333333334</v>
      </c>
      <c r="AV53" s="32">
        <f t="shared" si="128"/>
        <v>-12.153333333333334</v>
      </c>
      <c r="AW53" s="32">
        <f t="shared" si="128"/>
        <v>-12.517933333333334</v>
      </c>
      <c r="AX53" s="32">
        <f t="shared" si="128"/>
        <v>-12.517933333333334</v>
      </c>
      <c r="AY53" s="32">
        <f t="shared" si="128"/>
        <v>-12.517933333333334</v>
      </c>
      <c r="AZ53" s="32">
        <f t="shared" si="128"/>
        <v>-12.517933333333334</v>
      </c>
      <c r="BA53" s="32">
        <f t="shared" si="128"/>
        <v>-12.517933333333334</v>
      </c>
      <c r="BB53" s="32">
        <f t="shared" si="128"/>
        <v>-12.517933333333334</v>
      </c>
      <c r="BC53" s="32">
        <f t="shared" si="128"/>
        <v>-12.517933333333334</v>
      </c>
      <c r="BD53" s="32">
        <f t="shared" si="128"/>
        <v>-12.517933333333334</v>
      </c>
      <c r="BE53" s="32">
        <f t="shared" si="129"/>
        <v>-12.517933333333334</v>
      </c>
      <c r="BF53" s="32">
        <f t="shared" si="129"/>
        <v>-12.517933333333334</v>
      </c>
      <c r="BG53" s="32">
        <f t="shared" si="129"/>
        <v>-12.517933333333334</v>
      </c>
      <c r="BH53" s="32">
        <f t="shared" si="129"/>
        <v>-12.517933333333334</v>
      </c>
      <c r="BI53" s="32">
        <f t="shared" si="129"/>
        <v>-12.893471333333336</v>
      </c>
      <c r="BJ53" s="32">
        <f t="shared" si="129"/>
        <v>-12.893471333333336</v>
      </c>
      <c r="BK53" s="32">
        <f t="shared" si="129"/>
        <v>-12.893471333333336</v>
      </c>
      <c r="BL53" s="32">
        <f t="shared" si="129"/>
        <v>-12.893471333333336</v>
      </c>
      <c r="BM53" s="32">
        <f t="shared" si="129"/>
        <v>-12.893471333333336</v>
      </c>
      <c r="BN53" s="32">
        <f t="shared" si="129"/>
        <v>-12.893471333333336</v>
      </c>
      <c r="BO53" s="32">
        <f t="shared" si="130"/>
        <v>-12.893471333333336</v>
      </c>
      <c r="BP53" s="32">
        <f t="shared" si="130"/>
        <v>-12.893471333333336</v>
      </c>
      <c r="BQ53" s="32">
        <f t="shared" si="130"/>
        <v>-12.893471333333336</v>
      </c>
      <c r="BR53" s="32">
        <f t="shared" si="130"/>
        <v>-12.893471333333336</v>
      </c>
      <c r="BS53" s="32">
        <f t="shared" si="130"/>
        <v>-12.893471333333336</v>
      </c>
      <c r="BT53" s="273">
        <f t="shared" si="130"/>
        <v>-12.893471333333336</v>
      </c>
      <c r="BU53" s="32">
        <f t="shared" si="131"/>
        <v>-12.893471333333336</v>
      </c>
      <c r="BV53" s="32">
        <f t="shared" si="132"/>
        <v>-12.893471333333336</v>
      </c>
      <c r="BW53" s="32">
        <f t="shared" si="133"/>
        <v>-12.893471333333336</v>
      </c>
      <c r="BX53" s="32">
        <f t="shared" si="134"/>
        <v>-12.893471333333336</v>
      </c>
      <c r="BY53" s="241"/>
      <c r="BZ53" s="32">
        <f t="shared" si="135"/>
        <v>0</v>
      </c>
      <c r="CA53" s="32">
        <f t="shared" si="135"/>
        <v>0</v>
      </c>
      <c r="CB53" s="32">
        <f t="shared" si="136"/>
        <v>0</v>
      </c>
      <c r="CC53" s="9">
        <f>CG53*1</f>
        <v>-145.84</v>
      </c>
      <c r="CD53" s="9">
        <f t="shared" ref="CD53" si="139">CH53*1</f>
        <v>-150.21520000000001</v>
      </c>
      <c r="CE53" s="9">
        <f t="shared" ref="CE53" si="140">CI53*1</f>
        <v>-154.72165600000002</v>
      </c>
      <c r="CG53" s="14">
        <f>-Payroll!$E$7/1000-Payroll!$E$8/1000</f>
        <v>-145.84</v>
      </c>
      <c r="CH53" s="32">
        <f t="shared" ref="CH53:CI53" si="141">CG53*1.03</f>
        <v>-150.21520000000001</v>
      </c>
      <c r="CI53" s="32">
        <f t="shared" si="141"/>
        <v>-154.72165600000002</v>
      </c>
      <c r="CK53" s="62">
        <f t="shared" si="138"/>
        <v>0</v>
      </c>
      <c r="CM53" s="14">
        <f>-SUMIFS('FY25 By Venue Financials'!$N:$N,'FY25 By Venue Financials'!$A:$A,$C53)</f>
        <v>-332.84057999999999</v>
      </c>
      <c r="CN53" s="32"/>
      <c r="CP53" s="112" t="s">
        <v>443</v>
      </c>
      <c r="CQ53" s="112" t="s">
        <v>486</v>
      </c>
      <c r="CR53" s="124" t="s">
        <v>1192</v>
      </c>
      <c r="CS53" s="132"/>
    </row>
    <row r="54" spans="3:97">
      <c r="C54" s="4" t="s">
        <v>85</v>
      </c>
      <c r="D54" s="14">
        <f>-SUMIFS('P&amp;L'!C:C,'P&amp;L'!$A:$A,$C54)/1000</f>
        <v>-10.7971</v>
      </c>
      <c r="E54" s="14">
        <f>-SUMIFS('P&amp;L'!D:D,'P&amp;L'!$A:$A,$C54)/1000</f>
        <v>-11.454750000000001</v>
      </c>
      <c r="F54" s="14">
        <f>-SUMIFS('P&amp;L'!E:E,'P&amp;L'!$A:$A,$C54)/1000</f>
        <v>-18.418050000000001</v>
      </c>
      <c r="G54" s="14">
        <f>-SUMIFS('P&amp;L'!F:F,'P&amp;L'!$A:$A,$C54)/1000</f>
        <v>-15.69802</v>
      </c>
      <c r="H54" s="14">
        <f>-SUMIFS('P&amp;L'!G:G,'P&amp;L'!$A:$A,$C54)/1000</f>
        <v>-19.063510000000001</v>
      </c>
      <c r="I54" s="14">
        <f>-SUMIFS('P&amp;L'!H:H,'P&amp;L'!$A:$A,$C54)/1000</f>
        <v>-20.56165</v>
      </c>
      <c r="J54" s="14">
        <f>-SUMIFS('P&amp;L'!I:I,'P&amp;L'!$A:$A,$C54)/1000</f>
        <v>-15.3939</v>
      </c>
      <c r="K54" s="14">
        <f>-SUMIFS('P&amp;L'!J:J,'P&amp;L'!$A:$A,$C54)/1000</f>
        <v>-9.0978500000000011</v>
      </c>
      <c r="L54" s="14">
        <f>-SUMIFS('P&amp;L'!K:K,'P&amp;L'!$A:$A,$C54)/1000</f>
        <v>-18.01144</v>
      </c>
      <c r="M54" s="14">
        <f>-SUMIFS('P&amp;L'!L:L,'P&amp;L'!$A:$A,$C54)/1000</f>
        <v>-13.288150000000002</v>
      </c>
      <c r="N54" s="14">
        <f>-SUMIFS('P&amp;L'!M:M,'P&amp;L'!$A:$A,$C54)/1000</f>
        <v>-16.035299999999999</v>
      </c>
      <c r="O54" s="14">
        <f>-SUMIFS('P&amp;L'!N:N,'P&amp;L'!$A:$A,$C54)/1000</f>
        <v>-3.7594799999999999</v>
      </c>
      <c r="P54" s="14">
        <f>-SUMIFS('P&amp;L'!O:O,'P&amp;L'!$A:$A,$C54)/1000</f>
        <v>-14.2979</v>
      </c>
      <c r="Q54" s="14">
        <f>-SUMIFS('P&amp;L'!P:P,'P&amp;L'!$A:$A,$C54)/1000</f>
        <v>-13.760590000000001</v>
      </c>
      <c r="R54" s="14">
        <f>-SUMIFS('P&amp;L'!Q:Q,'P&amp;L'!$A:$A,$C54)/1000</f>
        <v>-13.81246</v>
      </c>
      <c r="S54" s="14">
        <f>-SUMIFS('P&amp;L'!R:R,'P&amp;L'!$A:$A,$C54)/1000</f>
        <v>-15.07122</v>
      </c>
      <c r="T54" s="14">
        <f>-SUMIFS('P&amp;L'!S:S,'P&amp;L'!$A:$A,$C54)/1000</f>
        <v>-22.5305</v>
      </c>
      <c r="U54" s="14">
        <f>-SUMIFS('P&amp;L'!T:T,'P&amp;L'!$A:$A,$C54)/1000</f>
        <v>-20.487290000000002</v>
      </c>
      <c r="V54" s="14">
        <f>-SUMIFS('P&amp;L'!U:U,'P&amp;L'!$A:$A,$C54)/1000</f>
        <v>-16.358360000000001</v>
      </c>
      <c r="W54" s="14">
        <f>-SUMIFS('P&amp;L'!V:V,'P&amp;L'!$A:$A,$C54)/1000</f>
        <v>-21.241599999999998</v>
      </c>
      <c r="X54" s="14">
        <f>-SUMIFS('P&amp;L'!W:W,'P&amp;L'!$A:$A,$C54)/1000</f>
        <v>-13.166780000000001</v>
      </c>
      <c r="Y54" s="14">
        <f>-SUMIFS('P&amp;L'!X:X,'P&amp;L'!$A:$A,$C54)/1000</f>
        <v>-21.329260000000001</v>
      </c>
      <c r="Z54" s="14">
        <f>-SUMIFS('P&amp;L'!Y:Y,'P&amp;L'!$A:$A,$C54)/1000</f>
        <v>-15.274419999999997</v>
      </c>
      <c r="AA54" s="14">
        <f>-SUMIFS('P&amp;L'!Z:Z,'P&amp;L'!$A:$A,$C54)/1000</f>
        <v>-14.226099999999999</v>
      </c>
      <c r="AB54" s="14">
        <f>-SUMIFS('P&amp;L'!AA:AA,'P&amp;L'!$A:$A,$C54)/1000</f>
        <v>-18.857470000000003</v>
      </c>
      <c r="AC54" s="14">
        <f>-SUMIFS('P&amp;L'!AB:AB,'P&amp;L'!$A:$A,$C54)/1000</f>
        <v>-18.501309999999997</v>
      </c>
      <c r="AD54" s="14">
        <f>-SUMIFS('P&amp;L'!AC:AC,'P&amp;L'!$A:$A,$C54)/1000</f>
        <v>-22.558809999999998</v>
      </c>
      <c r="AE54" s="14">
        <f>-SUMIFS('P&amp;L'!AD:AD,'P&amp;L'!$A:$A,$C54)/1000</f>
        <v>-25.364830000000001</v>
      </c>
      <c r="AF54" s="14">
        <f>-SUMIFS('P&amp;L'!AE:AE,'P&amp;L'!$A:$A,$C54)/1000</f>
        <v>-26.428489999999996</v>
      </c>
      <c r="AG54" s="14">
        <f>-SUMIFS('P&amp;L'!AF:AF,'P&amp;L'!$A:$A,$C54)/1000</f>
        <v>-32.364220000000003</v>
      </c>
      <c r="AH54" s="14">
        <f>-SUMIFS('P&amp;L'!AG:AG,'P&amp;L'!$A:$A,$C54)/1000</f>
        <v>-26.318429999999999</v>
      </c>
      <c r="AI54" s="253"/>
      <c r="AJ54" s="241"/>
      <c r="AK54" s="32">
        <f t="shared" ref="AK54:AT58" si="142">SUMIFS($CC54:$CE54,$CC$1:$CE$1,AK$3)*AK$24</f>
        <v>-9.5399999999999991</v>
      </c>
      <c r="AL54" s="32">
        <f t="shared" si="142"/>
        <v>-9.5399999999999991</v>
      </c>
      <c r="AM54" s="32">
        <f t="shared" si="142"/>
        <v>-3.18</v>
      </c>
      <c r="AN54" s="32">
        <f t="shared" si="142"/>
        <v>-3.18</v>
      </c>
      <c r="AO54" s="32">
        <f t="shared" si="142"/>
        <v>0</v>
      </c>
      <c r="AP54" s="32">
        <f t="shared" si="142"/>
        <v>0</v>
      </c>
      <c r="AQ54" s="32">
        <f t="shared" si="142"/>
        <v>-1.59</v>
      </c>
      <c r="AR54" s="32">
        <f t="shared" si="142"/>
        <v>-6.36</v>
      </c>
      <c r="AS54" s="32">
        <f t="shared" si="142"/>
        <v>-12.72</v>
      </c>
      <c r="AT54" s="32">
        <f t="shared" si="142"/>
        <v>-7.95</v>
      </c>
      <c r="AU54" s="32">
        <f t="shared" ref="AU54:BD58" si="143">SUMIFS($CC54:$CE54,$CC$1:$CE$1,AU$3)*AU$24</f>
        <v>-3.18</v>
      </c>
      <c r="AV54" s="32">
        <f t="shared" si="143"/>
        <v>-6.36</v>
      </c>
      <c r="AW54" s="32">
        <f t="shared" si="143"/>
        <v>-6.0468923076923087</v>
      </c>
      <c r="AX54" s="32">
        <f t="shared" si="143"/>
        <v>-7.0547076923076935</v>
      </c>
      <c r="AY54" s="32">
        <f t="shared" si="143"/>
        <v>-6.0468923076923087</v>
      </c>
      <c r="AZ54" s="32">
        <f t="shared" si="143"/>
        <v>-5.0390769230769239</v>
      </c>
      <c r="BA54" s="32">
        <f t="shared" si="143"/>
        <v>-3.0234461538461543</v>
      </c>
      <c r="BB54" s="32">
        <f t="shared" si="143"/>
        <v>-4.0312615384615391</v>
      </c>
      <c r="BC54" s="32">
        <f t="shared" si="143"/>
        <v>-5.0390769230769239</v>
      </c>
      <c r="BD54" s="32">
        <f t="shared" si="143"/>
        <v>-5.0390769230769239</v>
      </c>
      <c r="BE54" s="32">
        <f t="shared" ref="BE54:BN58" si="144">SUMIFS($CC54:$CE54,$CC$1:$CE$1,BE$3)*BE$24</f>
        <v>-8.0625230769230782</v>
      </c>
      <c r="BF54" s="32">
        <f t="shared" si="144"/>
        <v>-6.0468923076923087</v>
      </c>
      <c r="BG54" s="32">
        <f t="shared" si="144"/>
        <v>-5.0390769230769239</v>
      </c>
      <c r="BH54" s="32">
        <f t="shared" si="144"/>
        <v>-5.0390769230769239</v>
      </c>
      <c r="BI54" s="32">
        <f t="shared" si="144"/>
        <v>-6.7473240000000025</v>
      </c>
      <c r="BJ54" s="32">
        <f t="shared" si="144"/>
        <v>-7.5907395000000024</v>
      </c>
      <c r="BK54" s="32">
        <f t="shared" si="144"/>
        <v>-6.7473240000000025</v>
      </c>
      <c r="BL54" s="32">
        <f t="shared" si="144"/>
        <v>-5.060493000000001</v>
      </c>
      <c r="BM54" s="32">
        <f t="shared" si="144"/>
        <v>-3.3736620000000013</v>
      </c>
      <c r="BN54" s="32">
        <f t="shared" si="144"/>
        <v>-4.2170775000000011</v>
      </c>
      <c r="BO54" s="32">
        <f t="shared" ref="BO54:BT58" si="145">SUMIFS($CC54:$CE54,$CC$1:$CE$1,BO$3)*BO$24</f>
        <v>-5.060493000000001</v>
      </c>
      <c r="BP54" s="32">
        <f t="shared" si="145"/>
        <v>-5.060493000000001</v>
      </c>
      <c r="BQ54" s="32">
        <f t="shared" si="145"/>
        <v>-6.7473240000000025</v>
      </c>
      <c r="BR54" s="32">
        <f t="shared" si="145"/>
        <v>-6.7473240000000025</v>
      </c>
      <c r="BS54" s="32">
        <f t="shared" si="145"/>
        <v>-5.060493000000001</v>
      </c>
      <c r="BT54" s="273">
        <f t="shared" si="145"/>
        <v>-5.060493000000001</v>
      </c>
      <c r="BU54" s="32">
        <f t="shared" si="131"/>
        <v>-6.7473240000000025</v>
      </c>
      <c r="BV54" s="32">
        <f t="shared" ref="BV54:BV57" si="146">BJ54</f>
        <v>-7.5907395000000024</v>
      </c>
      <c r="BW54" s="32">
        <f t="shared" ref="BW54:BW57" si="147">BK54</f>
        <v>-6.7473240000000025</v>
      </c>
      <c r="BX54" s="32">
        <f t="shared" ref="BX54:BX57" si="148">BL54</f>
        <v>-5.060493000000001</v>
      </c>
      <c r="BY54" s="241"/>
      <c r="BZ54" s="32">
        <f t="shared" si="135"/>
        <v>-171.57920000000001</v>
      </c>
      <c r="CA54" s="32">
        <f t="shared" si="135"/>
        <v>-201.55647999999999</v>
      </c>
      <c r="CB54" s="32">
        <f t="shared" si="136"/>
        <v>-255.63172</v>
      </c>
      <c r="CC54" s="9">
        <f>CG54*1</f>
        <v>-63.6</v>
      </c>
      <c r="CD54" s="9">
        <f t="shared" ref="CD54" si="149">CH54*1</f>
        <v>-65.50800000000001</v>
      </c>
      <c r="CE54" s="9">
        <f t="shared" ref="CE54" si="150">CI54*1</f>
        <v>-67.473240000000018</v>
      </c>
      <c r="CG54" s="14">
        <f>-SUM(Payroll!$E$8:$E$9)/1000</f>
        <v>-63.6</v>
      </c>
      <c r="CH54" s="32">
        <f t="shared" ref="CH54:CI54" si="151">CG54*1.03</f>
        <v>-65.50800000000001</v>
      </c>
      <c r="CI54" s="32">
        <f t="shared" si="151"/>
        <v>-67.473240000000018</v>
      </c>
      <c r="CK54" s="62">
        <f t="shared" si="138"/>
        <v>-0.45579356383094238</v>
      </c>
      <c r="CM54" s="14">
        <f>-SUMIFS('FY25 By Venue Financials'!$N:$N,'FY25 By Venue Financials'!$A:$A,$C54)</f>
        <v>-126.76002</v>
      </c>
      <c r="CN54" s="62">
        <f t="shared" ref="CN54:CN57" si="152">IFERROR(CM54/CM$38,0)</f>
        <v>-1.7971388434105354E-2</v>
      </c>
      <c r="CP54" s="112" t="s">
        <v>411</v>
      </c>
      <c r="CQ54" s="112" t="s">
        <v>283</v>
      </c>
      <c r="CR54" s="124" t="s">
        <v>1193</v>
      </c>
      <c r="CS54" s="132"/>
    </row>
    <row r="55" spans="3:97">
      <c r="C55" s="4" t="s">
        <v>92</v>
      </c>
      <c r="D55" s="14">
        <f>-SUMIFS('P&amp;L'!C:C,'P&amp;L'!$A:$A,$C55)/1000</f>
        <v>0</v>
      </c>
      <c r="E55" s="14">
        <f>-SUMIFS('P&amp;L'!D:D,'P&amp;L'!$A:$A,$C55)/1000</f>
        <v>0</v>
      </c>
      <c r="F55" s="14">
        <f>-SUMIFS('P&amp;L'!E:E,'P&amp;L'!$A:$A,$C55)/1000</f>
        <v>0</v>
      </c>
      <c r="G55" s="14">
        <f>-SUMIFS('P&amp;L'!F:F,'P&amp;L'!$A:$A,$C55)/1000</f>
        <v>0</v>
      </c>
      <c r="H55" s="14">
        <f>-SUMIFS('P&amp;L'!G:G,'P&amp;L'!$A:$A,$C55)/1000</f>
        <v>0</v>
      </c>
      <c r="I55" s="14">
        <f>-SUMIFS('P&amp;L'!H:H,'P&amp;L'!$A:$A,$C55)/1000</f>
        <v>0</v>
      </c>
      <c r="J55" s="14">
        <f>-SUMIFS('P&amp;L'!I:I,'P&amp;L'!$A:$A,$C55)/1000</f>
        <v>0</v>
      </c>
      <c r="K55" s="14">
        <f>-SUMIFS('P&amp;L'!J:J,'P&amp;L'!$A:$A,$C55)/1000</f>
        <v>0</v>
      </c>
      <c r="L55" s="14">
        <f>-SUMIFS('P&amp;L'!K:K,'P&amp;L'!$A:$A,$C55)/1000</f>
        <v>0</v>
      </c>
      <c r="M55" s="14">
        <f>-SUMIFS('P&amp;L'!L:L,'P&amp;L'!$A:$A,$C55)/1000</f>
        <v>0</v>
      </c>
      <c r="N55" s="14">
        <f>-SUMIFS('P&amp;L'!M:M,'P&amp;L'!$A:$A,$C55)/1000</f>
        <v>0</v>
      </c>
      <c r="O55" s="14">
        <f>-SUMIFS('P&amp;L'!N:N,'P&amp;L'!$A:$A,$C55)/1000</f>
        <v>0</v>
      </c>
      <c r="P55" s="14">
        <f>-SUMIFS('P&amp;L'!O:O,'P&amp;L'!$A:$A,$C55)/1000</f>
        <v>0</v>
      </c>
      <c r="Q55" s="14">
        <f>-SUMIFS('P&amp;L'!P:P,'P&amp;L'!$A:$A,$C55)/1000</f>
        <v>0</v>
      </c>
      <c r="R55" s="14">
        <f>-SUMIFS('P&amp;L'!Q:Q,'P&amp;L'!$A:$A,$C55)/1000</f>
        <v>0</v>
      </c>
      <c r="S55" s="14">
        <f>-SUMIFS('P&amp;L'!R:R,'P&amp;L'!$A:$A,$C55)/1000</f>
        <v>0</v>
      </c>
      <c r="T55" s="14">
        <f>-SUMIFS('P&amp;L'!S:S,'P&amp;L'!$A:$A,$C55)/1000</f>
        <v>0</v>
      </c>
      <c r="U55" s="14">
        <f>-SUMIFS('P&amp;L'!T:T,'P&amp;L'!$A:$A,$C55)/1000</f>
        <v>0</v>
      </c>
      <c r="V55" s="14">
        <f>-SUMIFS('P&amp;L'!U:U,'P&amp;L'!$A:$A,$C55)/1000</f>
        <v>0</v>
      </c>
      <c r="W55" s="14">
        <f>-SUMIFS('P&amp;L'!V:V,'P&amp;L'!$A:$A,$C55)/1000</f>
        <v>0</v>
      </c>
      <c r="X55" s="14">
        <f>-SUMIFS('P&amp;L'!W:W,'P&amp;L'!$A:$A,$C55)/1000</f>
        <v>0</v>
      </c>
      <c r="Y55" s="14">
        <f>-SUMIFS('P&amp;L'!X:X,'P&amp;L'!$A:$A,$C55)/1000</f>
        <v>0</v>
      </c>
      <c r="Z55" s="14">
        <f>-SUMIFS('P&amp;L'!Y:Y,'P&amp;L'!$A:$A,$C55)/1000</f>
        <v>0</v>
      </c>
      <c r="AA55" s="14">
        <f>-SUMIFS('P&amp;L'!Z:Z,'P&amp;L'!$A:$A,$C55)/1000</f>
        <v>0</v>
      </c>
      <c r="AB55" s="14">
        <f>-SUMIFS('P&amp;L'!AA:AA,'P&amp;L'!$A:$A,$C55)/1000</f>
        <v>0</v>
      </c>
      <c r="AC55" s="14">
        <f>-SUMIFS('P&amp;L'!AB:AB,'P&amp;L'!$A:$A,$C55)/1000</f>
        <v>0</v>
      </c>
      <c r="AD55" s="14">
        <f>-SUMIFS('P&amp;L'!AC:AC,'P&amp;L'!$A:$A,$C55)/1000</f>
        <v>0</v>
      </c>
      <c r="AE55" s="14">
        <f>-SUMIFS('P&amp;L'!AD:AD,'P&amp;L'!$A:$A,$C55)/1000</f>
        <v>0</v>
      </c>
      <c r="AF55" s="14">
        <f>-SUMIFS('P&amp;L'!AE:AE,'P&amp;L'!$A:$A,$C55)/1000</f>
        <v>0</v>
      </c>
      <c r="AG55" s="14">
        <f>-SUMIFS('P&amp;L'!AF:AF,'P&amp;L'!$A:$A,$C55)/1000</f>
        <v>0</v>
      </c>
      <c r="AH55" s="14">
        <f>-SUMIFS('P&amp;L'!AG:AG,'P&amp;L'!$A:$A,$C55)/1000</f>
        <v>0</v>
      </c>
      <c r="AI55" s="253"/>
      <c r="AJ55" s="241"/>
      <c r="AK55" s="32">
        <f t="shared" si="142"/>
        <v>-0.88753467636853678</v>
      </c>
      <c r="AL55" s="32">
        <f t="shared" si="142"/>
        <v>-0.88753467636853678</v>
      </c>
      <c r="AM55" s="32">
        <f t="shared" si="142"/>
        <v>-0.29584489212284559</v>
      </c>
      <c r="AN55" s="32">
        <f t="shared" si="142"/>
        <v>-0.29584489212284559</v>
      </c>
      <c r="AO55" s="32">
        <f t="shared" si="142"/>
        <v>0</v>
      </c>
      <c r="AP55" s="32">
        <f t="shared" si="142"/>
        <v>0</v>
      </c>
      <c r="AQ55" s="32">
        <f t="shared" si="142"/>
        <v>-0.1479224460614228</v>
      </c>
      <c r="AR55" s="32">
        <f t="shared" si="142"/>
        <v>-0.59168978424569119</v>
      </c>
      <c r="AS55" s="32">
        <f t="shared" si="142"/>
        <v>-1.1833795684913824</v>
      </c>
      <c r="AT55" s="32">
        <f t="shared" si="142"/>
        <v>-0.73961223030711398</v>
      </c>
      <c r="AU55" s="32">
        <f t="shared" si="143"/>
        <v>-0.29584489212284559</v>
      </c>
      <c r="AV55" s="32">
        <f t="shared" si="143"/>
        <v>-0.59168978424569119</v>
      </c>
      <c r="AW55" s="32">
        <f t="shared" si="143"/>
        <v>-4.1258962007638456</v>
      </c>
      <c r="AX55" s="32">
        <f t="shared" si="143"/>
        <v>-4.8135455675578198</v>
      </c>
      <c r="AY55" s="32">
        <f t="shared" si="143"/>
        <v>-4.1258962007638456</v>
      </c>
      <c r="AZ55" s="32">
        <f t="shared" si="143"/>
        <v>-3.4382468339698713</v>
      </c>
      <c r="BA55" s="32">
        <f t="shared" si="143"/>
        <v>-2.0629481003819228</v>
      </c>
      <c r="BB55" s="32">
        <f t="shared" si="143"/>
        <v>-2.750597467175897</v>
      </c>
      <c r="BC55" s="32">
        <f t="shared" si="143"/>
        <v>-3.4382468339698713</v>
      </c>
      <c r="BD55" s="32">
        <f t="shared" si="143"/>
        <v>-3.4382468339698713</v>
      </c>
      <c r="BE55" s="32">
        <f t="shared" si="144"/>
        <v>-5.5011949343517941</v>
      </c>
      <c r="BF55" s="32">
        <f t="shared" si="144"/>
        <v>-4.1258962007638456</v>
      </c>
      <c r="BG55" s="32">
        <f t="shared" si="144"/>
        <v>-3.4382468339698713</v>
      </c>
      <c r="BH55" s="32">
        <f t="shared" si="144"/>
        <v>-3.4382468339698713</v>
      </c>
      <c r="BI55" s="32">
        <f t="shared" si="144"/>
        <v>-10.042874669090082</v>
      </c>
      <c r="BJ55" s="32">
        <f t="shared" si="144"/>
        <v>-11.298234002726343</v>
      </c>
      <c r="BK55" s="32">
        <f t="shared" si="144"/>
        <v>-10.042874669090082</v>
      </c>
      <c r="BL55" s="32">
        <f t="shared" si="144"/>
        <v>-7.5321560018175617</v>
      </c>
      <c r="BM55" s="32">
        <f t="shared" si="144"/>
        <v>-5.0214373345450412</v>
      </c>
      <c r="BN55" s="32">
        <f t="shared" si="144"/>
        <v>-6.2767966681813014</v>
      </c>
      <c r="BO55" s="32">
        <f t="shared" si="145"/>
        <v>-7.5321560018175617</v>
      </c>
      <c r="BP55" s="32">
        <f t="shared" si="145"/>
        <v>-7.5321560018175617</v>
      </c>
      <c r="BQ55" s="32">
        <f t="shared" si="145"/>
        <v>-10.042874669090082</v>
      </c>
      <c r="BR55" s="32">
        <f t="shared" si="145"/>
        <v>-10.042874669090082</v>
      </c>
      <c r="BS55" s="32">
        <f t="shared" si="145"/>
        <v>-7.5321560018175617</v>
      </c>
      <c r="BT55" s="273">
        <f t="shared" si="145"/>
        <v>-7.5321560018175617</v>
      </c>
      <c r="BU55" s="32">
        <f t="shared" si="131"/>
        <v>-10.042874669090082</v>
      </c>
      <c r="BV55" s="32">
        <f t="shared" si="146"/>
        <v>-11.298234002726343</v>
      </c>
      <c r="BW55" s="32">
        <f t="shared" si="147"/>
        <v>-10.042874669090082</v>
      </c>
      <c r="BX55" s="32">
        <f t="shared" si="148"/>
        <v>-7.5321560018175617</v>
      </c>
      <c r="BY55" s="241"/>
      <c r="BZ55" s="32">
        <f t="shared" si="135"/>
        <v>0</v>
      </c>
      <c r="CA55" s="32">
        <f t="shared" si="135"/>
        <v>0</v>
      </c>
      <c r="CB55" s="32">
        <f t="shared" si="136"/>
        <v>0</v>
      </c>
      <c r="CC55" s="9">
        <f>CC$31*CG55</f>
        <v>-5.9168978424569119</v>
      </c>
      <c r="CD55" s="9">
        <f t="shared" ref="CD55" si="153">CD$31*CH55</f>
        <v>-44.697208841608322</v>
      </c>
      <c r="CE55" s="9">
        <f t="shared" ref="CE55" si="154">CE$31*CI55</f>
        <v>-100.42874669090082</v>
      </c>
      <c r="CG55" s="129">
        <f t="shared" ref="CG55:CI59" si="155">$CN55</f>
        <v>-0.30163123081693</v>
      </c>
      <c r="CH55" s="129">
        <f t="shared" si="155"/>
        <v>-0.30163123081693</v>
      </c>
      <c r="CI55" s="129">
        <f t="shared" si="155"/>
        <v>-0.30163123081693</v>
      </c>
      <c r="CK55" s="62">
        <f>IFERROR(CB55/CB44,0)</f>
        <v>0</v>
      </c>
      <c r="CM55" s="14">
        <f>-SUMIFS('FY25 By Venue Financials'!$N:$N,'FY25 By Venue Financials'!$A:$A,$C55)</f>
        <v>-457.80014</v>
      </c>
      <c r="CN55" s="62">
        <f>IFERROR(CM55/CM$31,0)</f>
        <v>-0.30163123081693</v>
      </c>
      <c r="CP55" s="112" t="s">
        <v>409</v>
      </c>
      <c r="CQ55" s="112" t="s">
        <v>283</v>
      </c>
      <c r="CS55" s="132"/>
    </row>
    <row r="56" spans="3:97">
      <c r="C56" s="4" t="s">
        <v>119</v>
      </c>
      <c r="D56" s="14">
        <f>-SUMIFS('P&amp;L'!C:C,'P&amp;L'!$A:$A,$C56)/1000</f>
        <v>0</v>
      </c>
      <c r="E56" s="14">
        <f>-SUMIFS('P&amp;L'!D:D,'P&amp;L'!$A:$A,$C56)/1000</f>
        <v>0</v>
      </c>
      <c r="F56" s="14">
        <f>-SUMIFS('P&amp;L'!E:E,'P&amp;L'!$A:$A,$C56)/1000</f>
        <v>0</v>
      </c>
      <c r="G56" s="14">
        <f>-SUMIFS('P&amp;L'!F:F,'P&amp;L'!$A:$A,$C56)/1000</f>
        <v>0</v>
      </c>
      <c r="H56" s="14">
        <f>-SUMIFS('P&amp;L'!G:G,'P&amp;L'!$A:$A,$C56)/1000</f>
        <v>0</v>
      </c>
      <c r="I56" s="14">
        <f>-SUMIFS('P&amp;L'!H:H,'P&amp;L'!$A:$A,$C56)/1000</f>
        <v>0</v>
      </c>
      <c r="J56" s="14">
        <f>-SUMIFS('P&amp;L'!I:I,'P&amp;L'!$A:$A,$C56)/1000</f>
        <v>0</v>
      </c>
      <c r="K56" s="14">
        <f>-SUMIFS('P&amp;L'!J:J,'P&amp;L'!$A:$A,$C56)/1000</f>
        <v>0</v>
      </c>
      <c r="L56" s="14">
        <f>-SUMIFS('P&amp;L'!K:K,'P&amp;L'!$A:$A,$C56)/1000</f>
        <v>0</v>
      </c>
      <c r="M56" s="14">
        <f>-SUMIFS('P&amp;L'!L:L,'P&amp;L'!$A:$A,$C56)/1000</f>
        <v>0</v>
      </c>
      <c r="N56" s="14">
        <f>-SUMIFS('P&amp;L'!M:M,'P&amp;L'!$A:$A,$C56)/1000</f>
        <v>0</v>
      </c>
      <c r="O56" s="14">
        <f>-SUMIFS('P&amp;L'!N:N,'P&amp;L'!$A:$A,$C56)/1000</f>
        <v>0</v>
      </c>
      <c r="P56" s="14">
        <f>-SUMIFS('P&amp;L'!O:O,'P&amp;L'!$A:$A,$C56)/1000</f>
        <v>0</v>
      </c>
      <c r="Q56" s="14">
        <f>-SUMIFS('P&amp;L'!P:P,'P&amp;L'!$A:$A,$C56)/1000</f>
        <v>0</v>
      </c>
      <c r="R56" s="14">
        <f>-SUMIFS('P&amp;L'!Q:Q,'P&amp;L'!$A:$A,$C56)/1000</f>
        <v>0</v>
      </c>
      <c r="S56" s="14">
        <f>-SUMIFS('P&amp;L'!R:R,'P&amp;L'!$A:$A,$C56)/1000</f>
        <v>0</v>
      </c>
      <c r="T56" s="14">
        <f>-SUMIFS('P&amp;L'!S:S,'P&amp;L'!$A:$A,$C56)/1000</f>
        <v>0</v>
      </c>
      <c r="U56" s="14">
        <f>-SUMIFS('P&amp;L'!T:T,'P&amp;L'!$A:$A,$C56)/1000</f>
        <v>0</v>
      </c>
      <c r="V56" s="14">
        <f>-SUMIFS('P&amp;L'!U:U,'P&amp;L'!$A:$A,$C56)/1000</f>
        <v>0</v>
      </c>
      <c r="W56" s="14">
        <f>-SUMIFS('P&amp;L'!V:V,'P&amp;L'!$A:$A,$C56)/1000</f>
        <v>0</v>
      </c>
      <c r="X56" s="14">
        <f>-SUMIFS('P&amp;L'!W:W,'P&amp;L'!$A:$A,$C56)/1000</f>
        <v>0</v>
      </c>
      <c r="Y56" s="14">
        <f>-SUMIFS('P&amp;L'!X:X,'P&amp;L'!$A:$A,$C56)/1000</f>
        <v>0</v>
      </c>
      <c r="Z56" s="14">
        <f>-SUMIFS('P&amp;L'!Y:Y,'P&amp;L'!$A:$A,$C56)/1000</f>
        <v>0</v>
      </c>
      <c r="AA56" s="14">
        <f>-SUMIFS('P&amp;L'!Z:Z,'P&amp;L'!$A:$A,$C56)/1000</f>
        <v>0</v>
      </c>
      <c r="AB56" s="14">
        <f>-SUMIFS('P&amp;L'!AA:AA,'P&amp;L'!$A:$A,$C56)/1000</f>
        <v>0</v>
      </c>
      <c r="AC56" s="14">
        <f>-SUMIFS('P&amp;L'!AB:AB,'P&amp;L'!$A:$A,$C56)/1000</f>
        <v>0</v>
      </c>
      <c r="AD56" s="14">
        <f>-SUMIFS('P&amp;L'!AC:AC,'P&amp;L'!$A:$A,$C56)/1000</f>
        <v>0</v>
      </c>
      <c r="AE56" s="14">
        <f>-SUMIFS('P&amp;L'!AD:AD,'P&amp;L'!$A:$A,$C56)/1000</f>
        <v>0</v>
      </c>
      <c r="AF56" s="14">
        <f>-SUMIFS('P&amp;L'!AE:AE,'P&amp;L'!$A:$A,$C56)/1000</f>
        <v>0</v>
      </c>
      <c r="AG56" s="14">
        <f>-SUMIFS('P&amp;L'!AF:AF,'P&amp;L'!$A:$A,$C56)/1000</f>
        <v>0</v>
      </c>
      <c r="AH56" s="14">
        <f>-SUMIFS('P&amp;L'!AG:AG,'P&amp;L'!$A:$A,$C56)/1000</f>
        <v>0</v>
      </c>
      <c r="AI56" s="253"/>
      <c r="AJ56" s="241"/>
      <c r="AK56" s="32">
        <f t="shared" si="142"/>
        <v>-0.13588374007196977</v>
      </c>
      <c r="AL56" s="32">
        <f t="shared" si="142"/>
        <v>-0.13588374007196977</v>
      </c>
      <c r="AM56" s="32">
        <f t="shared" si="142"/>
        <v>-4.5294580023989922E-2</v>
      </c>
      <c r="AN56" s="32">
        <f t="shared" si="142"/>
        <v>-4.5294580023989922E-2</v>
      </c>
      <c r="AO56" s="32">
        <f t="shared" si="142"/>
        <v>0</v>
      </c>
      <c r="AP56" s="32">
        <f t="shared" si="142"/>
        <v>0</v>
      </c>
      <c r="AQ56" s="32">
        <f t="shared" si="142"/>
        <v>-2.2647290011994961E-2</v>
      </c>
      <c r="AR56" s="32">
        <f t="shared" si="142"/>
        <v>-9.0589160047979844E-2</v>
      </c>
      <c r="AS56" s="32">
        <f t="shared" si="142"/>
        <v>-0.18117832009595969</v>
      </c>
      <c r="AT56" s="32">
        <f t="shared" si="142"/>
        <v>-0.11323645005997481</v>
      </c>
      <c r="AU56" s="32">
        <f t="shared" si="143"/>
        <v>-4.5294580023989922E-2</v>
      </c>
      <c r="AV56" s="32">
        <f t="shared" si="143"/>
        <v>-9.0589160047979844E-2</v>
      </c>
      <c r="AW56" s="32">
        <f t="shared" si="143"/>
        <v>-2.7549508183277607</v>
      </c>
      <c r="AX56" s="32">
        <f t="shared" si="143"/>
        <v>-3.2141092880490545</v>
      </c>
      <c r="AY56" s="32">
        <f t="shared" si="143"/>
        <v>-2.7549508183277607</v>
      </c>
      <c r="AZ56" s="32">
        <f t="shared" si="143"/>
        <v>-2.2957923486064673</v>
      </c>
      <c r="BA56" s="32">
        <f t="shared" si="143"/>
        <v>-1.3774754091638803</v>
      </c>
      <c r="BB56" s="32">
        <f t="shared" si="143"/>
        <v>-1.8366338788851739</v>
      </c>
      <c r="BC56" s="32">
        <f t="shared" si="143"/>
        <v>-2.2957923486064673</v>
      </c>
      <c r="BD56" s="32">
        <f t="shared" si="143"/>
        <v>-2.2957923486064673</v>
      </c>
      <c r="BE56" s="32">
        <f t="shared" si="144"/>
        <v>-3.6732677577703479</v>
      </c>
      <c r="BF56" s="32">
        <f t="shared" si="144"/>
        <v>-2.7549508183277607</v>
      </c>
      <c r="BG56" s="32">
        <f t="shared" si="144"/>
        <v>-2.2957923486064673</v>
      </c>
      <c r="BH56" s="32">
        <f t="shared" si="144"/>
        <v>-2.2957923486064673</v>
      </c>
      <c r="BI56" s="32">
        <f t="shared" si="144"/>
        <v>-7.0083793327311206</v>
      </c>
      <c r="BJ56" s="32">
        <f t="shared" si="144"/>
        <v>-7.8844267493225102</v>
      </c>
      <c r="BK56" s="32">
        <f t="shared" si="144"/>
        <v>-7.0083793327311206</v>
      </c>
      <c r="BL56" s="32">
        <f t="shared" si="144"/>
        <v>-5.2562844995483395</v>
      </c>
      <c r="BM56" s="32">
        <f t="shared" si="144"/>
        <v>-3.5041896663655603</v>
      </c>
      <c r="BN56" s="32">
        <f t="shared" si="144"/>
        <v>-4.3802370829569499</v>
      </c>
      <c r="BO56" s="32">
        <f t="shared" si="145"/>
        <v>-5.2562844995483395</v>
      </c>
      <c r="BP56" s="32">
        <f t="shared" si="145"/>
        <v>-5.2562844995483395</v>
      </c>
      <c r="BQ56" s="32">
        <f t="shared" si="145"/>
        <v>-7.0083793327311206</v>
      </c>
      <c r="BR56" s="32">
        <f t="shared" si="145"/>
        <v>-7.0083793327311206</v>
      </c>
      <c r="BS56" s="32">
        <f t="shared" si="145"/>
        <v>-5.2562844995483395</v>
      </c>
      <c r="BT56" s="273">
        <f t="shared" si="145"/>
        <v>-5.2562844995483395</v>
      </c>
      <c r="BU56" s="32">
        <f t="shared" si="131"/>
        <v>-7.0083793327311206</v>
      </c>
      <c r="BV56" s="32">
        <f t="shared" si="146"/>
        <v>-7.8844267493225102</v>
      </c>
      <c r="BW56" s="32">
        <f t="shared" si="147"/>
        <v>-7.0083793327311206</v>
      </c>
      <c r="BX56" s="32">
        <f t="shared" si="148"/>
        <v>-5.2562844995483395</v>
      </c>
      <c r="BY56" s="241"/>
      <c r="BZ56" s="32">
        <f t="shared" si="135"/>
        <v>0</v>
      </c>
      <c r="CA56" s="32">
        <f t="shared" si="135"/>
        <v>0</v>
      </c>
      <c r="CB56" s="32">
        <f t="shared" si="136"/>
        <v>0</v>
      </c>
      <c r="CC56" s="9">
        <f>SUM(CC28:CC29)*CG56</f>
        <v>-0.90589160047979844</v>
      </c>
      <c r="CD56" s="9">
        <f>SUM(CD28:CD29)*CH56</f>
        <v>-29.845300531884075</v>
      </c>
      <c r="CE56" s="9">
        <f>SUM(CE28:CE29)*CI56</f>
        <v>-70.083793327311199</v>
      </c>
      <c r="CG56" s="129">
        <f t="shared" si="155"/>
        <v>-0.15098193341329974</v>
      </c>
      <c r="CH56" s="129">
        <f t="shared" si="155"/>
        <v>-0.15098193341329974</v>
      </c>
      <c r="CI56" s="129">
        <f t="shared" si="155"/>
        <v>-0.15098193341329974</v>
      </c>
      <c r="CK56" s="62">
        <f t="shared" si="138"/>
        <v>0</v>
      </c>
      <c r="CM56" s="14">
        <f>-SUMIFS('FY25 By Venue Financials'!$N:$N,'FY25 By Venue Financials'!$A:$A,$C56)</f>
        <v>-409.50283999999994</v>
      </c>
      <c r="CN56" s="62">
        <f>CM56/SUM(CM28:CM29)</f>
        <v>-0.15098193341329974</v>
      </c>
      <c r="CP56" s="112" t="s">
        <v>448</v>
      </c>
      <c r="CQ56" s="112" t="s">
        <v>283</v>
      </c>
      <c r="CS56" s="132"/>
    </row>
    <row r="57" spans="3:97">
      <c r="C57" s="4" t="s">
        <v>327</v>
      </c>
      <c r="D57" s="14">
        <f>-SUMIFS('P&amp;L'!C:C,'P&amp;L'!$A:$A,$C57)/1000</f>
        <v>0</v>
      </c>
      <c r="E57" s="14">
        <f>-SUMIFS('P&amp;L'!D:D,'P&amp;L'!$A:$A,$C57)/1000</f>
        <v>0</v>
      </c>
      <c r="F57" s="14">
        <f>-SUMIFS('P&amp;L'!E:E,'P&amp;L'!$A:$A,$C57)/1000</f>
        <v>-0.5</v>
      </c>
      <c r="G57" s="14">
        <f>-SUMIFS('P&amp;L'!F:F,'P&amp;L'!$A:$A,$C57)/1000</f>
        <v>-1</v>
      </c>
      <c r="H57" s="14">
        <f>-SUMIFS('P&amp;L'!G:G,'P&amp;L'!$A:$A,$C57)/1000</f>
        <v>-1.25</v>
      </c>
      <c r="I57" s="14">
        <f>-SUMIFS('P&amp;L'!H:H,'P&amp;L'!$A:$A,$C57)/1000</f>
        <v>-1</v>
      </c>
      <c r="J57" s="14">
        <f>-SUMIFS('P&amp;L'!I:I,'P&amp;L'!$A:$A,$C57)/1000</f>
        <v>-1</v>
      </c>
      <c r="K57" s="14">
        <f>-SUMIFS('P&amp;L'!J:J,'P&amp;L'!$A:$A,$C57)/1000</f>
        <v>-1.25</v>
      </c>
      <c r="L57" s="14">
        <f>-SUMIFS('P&amp;L'!K:K,'P&amp;L'!$A:$A,$C57)/1000</f>
        <v>-1</v>
      </c>
      <c r="M57" s="14">
        <f>-SUMIFS('P&amp;L'!L:L,'P&amp;L'!$A:$A,$C57)/1000</f>
        <v>-1</v>
      </c>
      <c r="N57" s="14">
        <f>-SUMIFS('P&amp;L'!M:M,'P&amp;L'!$A:$A,$C57)/1000</f>
        <v>-1.25</v>
      </c>
      <c r="O57" s="14">
        <f>-SUMIFS('P&amp;L'!N:N,'P&amp;L'!$A:$A,$C57)/1000</f>
        <v>-3.75</v>
      </c>
      <c r="P57" s="14">
        <f>-SUMIFS('P&amp;L'!O:O,'P&amp;L'!$A:$A,$C57)/1000</f>
        <v>-1.25</v>
      </c>
      <c r="Q57" s="14">
        <f>-SUMIFS('P&amp;L'!P:P,'P&amp;L'!$A:$A,$C57)/1000</f>
        <v>-1</v>
      </c>
      <c r="R57" s="14">
        <f>-SUMIFS('P&amp;L'!Q:Q,'P&amp;L'!$A:$A,$C57)/1000</f>
        <v>-1</v>
      </c>
      <c r="S57" s="14">
        <f>-SUMIFS('P&amp;L'!R:R,'P&amp;L'!$A:$A,$C57)/1000</f>
        <v>-1</v>
      </c>
      <c r="T57" s="14">
        <f>-SUMIFS('P&amp;L'!S:S,'P&amp;L'!$A:$A,$C57)/1000</f>
        <v>-1.25</v>
      </c>
      <c r="U57" s="14">
        <f>-SUMIFS('P&amp;L'!T:T,'P&amp;L'!$A:$A,$C57)/1000</f>
        <v>-1</v>
      </c>
      <c r="V57" s="14">
        <f>-SUMIFS('P&amp;L'!U:U,'P&amp;L'!$A:$A,$C57)/1000</f>
        <v>-1</v>
      </c>
      <c r="W57" s="14">
        <f>-SUMIFS('P&amp;L'!V:V,'P&amp;L'!$A:$A,$C57)/1000</f>
        <v>-1.25</v>
      </c>
      <c r="X57" s="14">
        <f>-SUMIFS('P&amp;L'!W:W,'P&amp;L'!$A:$A,$C57)/1000</f>
        <v>-1</v>
      </c>
      <c r="Y57" s="14">
        <f>-SUMIFS('P&amp;L'!X:X,'P&amp;L'!$A:$A,$C57)/1000</f>
        <v>-1.25</v>
      </c>
      <c r="Z57" s="14">
        <f>-SUMIFS('P&amp;L'!Y:Y,'P&amp;L'!$A:$A,$C57)/1000</f>
        <v>-1</v>
      </c>
      <c r="AA57" s="14">
        <f>-SUMIFS('P&amp;L'!Z:Z,'P&amp;L'!$A:$A,$C57)/1000</f>
        <v>-0.75</v>
      </c>
      <c r="AB57" s="14">
        <f>-SUMIFS('P&amp;L'!AA:AA,'P&amp;L'!$A:$A,$C57)/1000</f>
        <v>-0.25</v>
      </c>
      <c r="AC57" s="14">
        <f>-SUMIFS('P&amp;L'!AB:AB,'P&amp;L'!$A:$A,$C57)/1000</f>
        <v>0</v>
      </c>
      <c r="AD57" s="14">
        <f>-SUMIFS('P&amp;L'!AC:AC,'P&amp;L'!$A:$A,$C57)/1000</f>
        <v>0</v>
      </c>
      <c r="AE57" s="14">
        <f>-SUMIFS('P&amp;L'!AD:AD,'P&amp;L'!$A:$A,$C57)/1000</f>
        <v>0</v>
      </c>
      <c r="AF57" s="14">
        <f>-SUMIFS('P&amp;L'!AE:AE,'P&amp;L'!$A:$A,$C57)/1000</f>
        <v>0</v>
      </c>
      <c r="AG57" s="14">
        <f>-SUMIFS('P&amp;L'!AF:AF,'P&amp;L'!$A:$A,$C57)/1000</f>
        <v>0</v>
      </c>
      <c r="AH57" s="14">
        <f>-SUMIFS('P&amp;L'!AG:AG,'P&amp;L'!$A:$A,$C57)/1000</f>
        <v>0</v>
      </c>
      <c r="AI57" s="253"/>
      <c r="AJ57" s="241"/>
      <c r="AK57" s="32">
        <f t="shared" si="142"/>
        <v>0</v>
      </c>
      <c r="AL57" s="32">
        <f t="shared" si="142"/>
        <v>0</v>
      </c>
      <c r="AM57" s="32">
        <f t="shared" si="142"/>
        <v>0</v>
      </c>
      <c r="AN57" s="32">
        <f t="shared" si="142"/>
        <v>0</v>
      </c>
      <c r="AO57" s="32">
        <f t="shared" si="142"/>
        <v>0</v>
      </c>
      <c r="AP57" s="32">
        <f t="shared" si="142"/>
        <v>0</v>
      </c>
      <c r="AQ57" s="32">
        <f t="shared" si="142"/>
        <v>0</v>
      </c>
      <c r="AR57" s="32">
        <f t="shared" si="142"/>
        <v>0</v>
      </c>
      <c r="AS57" s="32">
        <f t="shared" si="142"/>
        <v>0</v>
      </c>
      <c r="AT57" s="32">
        <f t="shared" si="142"/>
        <v>0</v>
      </c>
      <c r="AU57" s="32">
        <f t="shared" si="143"/>
        <v>0</v>
      </c>
      <c r="AV57" s="32">
        <f t="shared" si="143"/>
        <v>0</v>
      </c>
      <c r="AW57" s="32">
        <f t="shared" si="143"/>
        <v>0</v>
      </c>
      <c r="AX57" s="32">
        <f t="shared" si="143"/>
        <v>0</v>
      </c>
      <c r="AY57" s="32">
        <f t="shared" si="143"/>
        <v>0</v>
      </c>
      <c r="AZ57" s="32">
        <f t="shared" si="143"/>
        <v>0</v>
      </c>
      <c r="BA57" s="32">
        <f t="shared" si="143"/>
        <v>0</v>
      </c>
      <c r="BB57" s="32">
        <f t="shared" si="143"/>
        <v>0</v>
      </c>
      <c r="BC57" s="32">
        <f t="shared" si="143"/>
        <v>0</v>
      </c>
      <c r="BD57" s="32">
        <f t="shared" si="143"/>
        <v>0</v>
      </c>
      <c r="BE57" s="32">
        <f t="shared" si="144"/>
        <v>0</v>
      </c>
      <c r="BF57" s="32">
        <f t="shared" si="144"/>
        <v>0</v>
      </c>
      <c r="BG57" s="32">
        <f t="shared" si="144"/>
        <v>0</v>
      </c>
      <c r="BH57" s="32">
        <f t="shared" si="144"/>
        <v>0</v>
      </c>
      <c r="BI57" s="32">
        <f t="shared" si="144"/>
        <v>0</v>
      </c>
      <c r="BJ57" s="32">
        <f t="shared" si="144"/>
        <v>0</v>
      </c>
      <c r="BK57" s="32">
        <f t="shared" si="144"/>
        <v>0</v>
      </c>
      <c r="BL57" s="32">
        <f t="shared" si="144"/>
        <v>0</v>
      </c>
      <c r="BM57" s="32">
        <f t="shared" si="144"/>
        <v>0</v>
      </c>
      <c r="BN57" s="32">
        <f t="shared" si="144"/>
        <v>0</v>
      </c>
      <c r="BO57" s="32">
        <f t="shared" si="145"/>
        <v>0</v>
      </c>
      <c r="BP57" s="32">
        <f t="shared" si="145"/>
        <v>0</v>
      </c>
      <c r="BQ57" s="32">
        <f t="shared" si="145"/>
        <v>0</v>
      </c>
      <c r="BR57" s="32">
        <f t="shared" si="145"/>
        <v>0</v>
      </c>
      <c r="BS57" s="32">
        <f t="shared" si="145"/>
        <v>0</v>
      </c>
      <c r="BT57" s="273">
        <f t="shared" si="145"/>
        <v>0</v>
      </c>
      <c r="BU57" s="32">
        <f t="shared" si="131"/>
        <v>0</v>
      </c>
      <c r="BV57" s="32">
        <f t="shared" si="146"/>
        <v>0</v>
      </c>
      <c r="BW57" s="32">
        <f t="shared" si="147"/>
        <v>0</v>
      </c>
      <c r="BX57" s="32">
        <f t="shared" si="148"/>
        <v>0</v>
      </c>
      <c r="BY57" s="241"/>
      <c r="BZ57" s="32">
        <f t="shared" si="135"/>
        <v>-13</v>
      </c>
      <c r="CA57" s="32">
        <f t="shared" si="135"/>
        <v>-12.75</v>
      </c>
      <c r="CB57" s="32">
        <f t="shared" si="136"/>
        <v>-5.5</v>
      </c>
      <c r="CC57" s="9">
        <f t="shared" ref="CC57:CC59" si="156">CC$38*CG57</f>
        <v>0</v>
      </c>
      <c r="CD57" s="9">
        <f t="shared" ref="CD57:CD59" si="157">CD$38*CH57</f>
        <v>0</v>
      </c>
      <c r="CE57" s="9">
        <f t="shared" ref="CE57:CE59" si="158">CE$38*CI57</f>
        <v>0</v>
      </c>
      <c r="CG57" s="129">
        <f t="shared" si="155"/>
        <v>0</v>
      </c>
      <c r="CH57" s="129">
        <f t="shared" si="155"/>
        <v>0</v>
      </c>
      <c r="CI57" s="129">
        <f t="shared" si="155"/>
        <v>0</v>
      </c>
      <c r="CK57" s="62">
        <f t="shared" si="138"/>
        <v>-9.8065474858526295E-3</v>
      </c>
      <c r="CM57" s="14">
        <f>-SUMIFS('FY25 By Venue Financials'!$N:$N,'FY25 By Venue Financials'!$A:$A,$C57)</f>
        <v>0</v>
      </c>
      <c r="CN57" s="62">
        <f t="shared" si="152"/>
        <v>0</v>
      </c>
      <c r="CP57" s="112" t="s">
        <v>411</v>
      </c>
      <c r="CQ57" s="112" t="s">
        <v>283</v>
      </c>
      <c r="CS57" s="132"/>
    </row>
    <row r="58" spans="3:97">
      <c r="C58" s="4" t="s">
        <v>128</v>
      </c>
      <c r="D58" s="14">
        <f>-SUMIFS('P&amp;L'!C:C,'P&amp;L'!$A:$A,$C58)/1000</f>
        <v>-0.63485000000000003</v>
      </c>
      <c r="E58" s="14">
        <f>-SUMIFS('P&amp;L'!D:D,'P&amp;L'!$A:$A,$C58)/1000</f>
        <v>-0.72874000000000005</v>
      </c>
      <c r="F58" s="14">
        <f>-SUMIFS('P&amp;L'!E:E,'P&amp;L'!$A:$A,$C58)/1000</f>
        <v>-1.3390299999999999</v>
      </c>
      <c r="G58" s="14">
        <f>-SUMIFS('P&amp;L'!F:F,'P&amp;L'!$A:$A,$C58)/1000</f>
        <v>-1.07979</v>
      </c>
      <c r="H58" s="14">
        <f>-SUMIFS('P&amp;L'!G:G,'P&amp;L'!$A:$A,$C58)/1000</f>
        <v>-1.1775599999999999</v>
      </c>
      <c r="I58" s="14">
        <f>-SUMIFS('P&amp;L'!H:H,'P&amp;L'!$A:$A,$C58)/1000</f>
        <v>-1.1811199999999999</v>
      </c>
      <c r="J58" s="14">
        <f>-SUMIFS('P&amp;L'!I:I,'P&amp;L'!$A:$A,$C58)/1000</f>
        <v>-0.8763200000000001</v>
      </c>
      <c r="K58" s="14">
        <f>-SUMIFS('P&amp;L'!J:J,'P&amp;L'!$A:$A,$C58)/1000</f>
        <v>-0.33327999999999997</v>
      </c>
      <c r="L58" s="14">
        <f>-SUMIFS('P&amp;L'!K:K,'P&amp;L'!$A:$A,$C58)/1000</f>
        <v>-0.79240999999999995</v>
      </c>
      <c r="M58" s="14">
        <f>-SUMIFS('P&amp;L'!L:L,'P&amp;L'!$A:$A,$C58)/1000</f>
        <v>-0.74153999999999998</v>
      </c>
      <c r="N58" s="14">
        <f>-SUMIFS('P&amp;L'!M:M,'P&amp;L'!$A:$A,$C58)/1000</f>
        <v>-0.96838000000000002</v>
      </c>
      <c r="O58" s="14">
        <f>-SUMIFS('P&amp;L'!N:N,'P&amp;L'!$A:$A,$C58)/1000</f>
        <v>-0.61969000000000007</v>
      </c>
      <c r="P58" s="14">
        <f>-SUMIFS('P&amp;L'!O:O,'P&amp;L'!$A:$A,$C58)/1000</f>
        <v>-1.11731</v>
      </c>
      <c r="Q58" s="14">
        <f>-SUMIFS('P&amp;L'!P:P,'P&amp;L'!$A:$A,$C58)/1000</f>
        <v>-1.2429700000000001</v>
      </c>
      <c r="R58" s="14">
        <f>-SUMIFS('P&amp;L'!Q:Q,'P&amp;L'!$A:$A,$C58)/1000</f>
        <v>-1.13747</v>
      </c>
      <c r="S58" s="14">
        <f>-SUMIFS('P&amp;L'!R:R,'P&amp;L'!$A:$A,$C58)/1000</f>
        <v>-1.54918</v>
      </c>
      <c r="T58" s="14">
        <f>-SUMIFS('P&amp;L'!S:S,'P&amp;L'!$A:$A,$C58)/1000</f>
        <v>-1.64141</v>
      </c>
      <c r="U58" s="14">
        <f>-SUMIFS('P&amp;L'!T:T,'P&amp;L'!$A:$A,$C58)/1000</f>
        <v>-1.67364</v>
      </c>
      <c r="V58" s="14">
        <f>-SUMIFS('P&amp;L'!U:U,'P&amp;L'!$A:$A,$C58)/1000</f>
        <v>-1.2181900000000001</v>
      </c>
      <c r="W58" s="14">
        <f>-SUMIFS('P&amp;L'!V:V,'P&amp;L'!$A:$A,$C58)/1000</f>
        <v>-1.5335699999999999</v>
      </c>
      <c r="X58" s="14">
        <f>-SUMIFS('P&amp;L'!W:W,'P&amp;L'!$A:$A,$C58)/1000</f>
        <v>-0.97523000000000004</v>
      </c>
      <c r="Y58" s="14">
        <f>-SUMIFS('P&amp;L'!X:X,'P&amp;L'!$A:$A,$C58)/1000</f>
        <v>-1.5007200000000001</v>
      </c>
      <c r="Z58" s="14">
        <f>-SUMIFS('P&amp;L'!Y:Y,'P&amp;L'!$A:$A,$C58)/1000</f>
        <v>-0.86448000000000003</v>
      </c>
      <c r="AA58" s="14">
        <f>-SUMIFS('P&amp;L'!Z:Z,'P&amp;L'!$A:$A,$C58)/1000</f>
        <v>-0.84474000000000005</v>
      </c>
      <c r="AB58" s="14">
        <f>-SUMIFS('P&amp;L'!AA:AA,'P&amp;L'!$A:$A,$C58)/1000</f>
        <v>-1.2223900000000001</v>
      </c>
      <c r="AC58" s="14">
        <f>-SUMIFS('P&amp;L'!AB:AB,'P&amp;L'!$A:$A,$C58)/1000</f>
        <v>-1.24925</v>
      </c>
      <c r="AD58" s="14">
        <f>-SUMIFS('P&amp;L'!AC:AC,'P&amp;L'!$A:$A,$C58)/1000</f>
        <v>-1.1691099999999999</v>
      </c>
      <c r="AE58" s="14">
        <f>-SUMIFS('P&amp;L'!AD:AD,'P&amp;L'!$A:$A,$C58)/1000</f>
        <v>-0.66937999999999998</v>
      </c>
      <c r="AF58" s="14">
        <f>-SUMIFS('P&amp;L'!AE:AE,'P&amp;L'!$A:$A,$C58)/1000</f>
        <v>-1.2940799999999999</v>
      </c>
      <c r="AG58" s="14">
        <f>-SUMIFS('P&amp;L'!AF:AF,'P&amp;L'!$A:$A,$C58)/1000</f>
        <v>-1.4680199999999999</v>
      </c>
      <c r="AH58" s="14">
        <f>-SUMIFS('P&amp;L'!AG:AG,'P&amp;L'!$A:$A,$C58)/1000</f>
        <v>-1.4814200000000002</v>
      </c>
      <c r="AI58" s="253"/>
      <c r="AJ58" s="241"/>
      <c r="AK58" s="32">
        <f t="shared" si="142"/>
        <v>-3.8479987438127656</v>
      </c>
      <c r="AL58" s="32">
        <f t="shared" si="142"/>
        <v>-3.8479987438127656</v>
      </c>
      <c r="AM58" s="32">
        <f t="shared" si="142"/>
        <v>-1.2826662479375885</v>
      </c>
      <c r="AN58" s="32">
        <f t="shared" si="142"/>
        <v>-1.2826662479375885</v>
      </c>
      <c r="AO58" s="32">
        <f t="shared" si="142"/>
        <v>0</v>
      </c>
      <c r="AP58" s="32">
        <f t="shared" si="142"/>
        <v>0</v>
      </c>
      <c r="AQ58" s="32">
        <f t="shared" si="142"/>
        <v>-0.64133312396879427</v>
      </c>
      <c r="AR58" s="32">
        <f t="shared" si="142"/>
        <v>-2.5653324958751771</v>
      </c>
      <c r="AS58" s="32">
        <f t="shared" si="142"/>
        <v>-5.1306649917503542</v>
      </c>
      <c r="AT58" s="32">
        <f t="shared" si="142"/>
        <v>-3.2066656198439714</v>
      </c>
      <c r="AU58" s="32">
        <f t="shared" si="143"/>
        <v>-1.2826662479375885</v>
      </c>
      <c r="AV58" s="32">
        <f t="shared" si="143"/>
        <v>-2.5653324958751771</v>
      </c>
      <c r="AW58" s="32">
        <f t="shared" si="143"/>
        <v>-2.7501259068012591</v>
      </c>
      <c r="AX58" s="32">
        <f t="shared" si="143"/>
        <v>-3.2084802246014688</v>
      </c>
      <c r="AY58" s="32">
        <f t="shared" si="143"/>
        <v>-2.7501259068012591</v>
      </c>
      <c r="AZ58" s="32">
        <f t="shared" si="143"/>
        <v>-2.291771589001049</v>
      </c>
      <c r="BA58" s="32">
        <f t="shared" si="143"/>
        <v>-1.3750629534006296</v>
      </c>
      <c r="BB58" s="32">
        <f t="shared" si="143"/>
        <v>-1.8334172712008394</v>
      </c>
      <c r="BC58" s="32">
        <f t="shared" si="143"/>
        <v>-2.291771589001049</v>
      </c>
      <c r="BD58" s="32">
        <f t="shared" si="143"/>
        <v>-2.291771589001049</v>
      </c>
      <c r="BE58" s="32">
        <f t="shared" si="144"/>
        <v>-3.6668345424016788</v>
      </c>
      <c r="BF58" s="32">
        <f t="shared" si="144"/>
        <v>-2.7501259068012591</v>
      </c>
      <c r="BG58" s="32">
        <f t="shared" si="144"/>
        <v>-2.291771589001049</v>
      </c>
      <c r="BH58" s="32">
        <f t="shared" si="144"/>
        <v>-2.291771589001049</v>
      </c>
      <c r="BI58" s="32">
        <f t="shared" si="144"/>
        <v>-3.5261525531852929</v>
      </c>
      <c r="BJ58" s="32">
        <f t="shared" si="144"/>
        <v>-3.9669216223334542</v>
      </c>
      <c r="BK58" s="32">
        <f t="shared" si="144"/>
        <v>-3.5261525531852929</v>
      </c>
      <c r="BL58" s="32">
        <f t="shared" si="144"/>
        <v>-2.6446144148889692</v>
      </c>
      <c r="BM58" s="32">
        <f t="shared" si="144"/>
        <v>-1.7630762765926464</v>
      </c>
      <c r="BN58" s="32">
        <f t="shared" si="144"/>
        <v>-2.2038453457408078</v>
      </c>
      <c r="BO58" s="32">
        <f t="shared" si="145"/>
        <v>-2.6446144148889692</v>
      </c>
      <c r="BP58" s="32">
        <f t="shared" si="145"/>
        <v>-2.6446144148889692</v>
      </c>
      <c r="BQ58" s="32">
        <f t="shared" si="145"/>
        <v>-3.5261525531852929</v>
      </c>
      <c r="BR58" s="32">
        <f t="shared" si="145"/>
        <v>-3.5261525531852929</v>
      </c>
      <c r="BS58" s="32">
        <f t="shared" si="145"/>
        <v>-2.6446144148889692</v>
      </c>
      <c r="BT58" s="273">
        <f t="shared" si="145"/>
        <v>-2.6446144148889692</v>
      </c>
      <c r="BU58" s="32">
        <f t="shared" ref="BU58" si="159">BI58</f>
        <v>-3.5261525531852929</v>
      </c>
      <c r="BV58" s="32">
        <f t="shared" ref="BV58" si="160">BJ58</f>
        <v>-3.9669216223334542</v>
      </c>
      <c r="BW58" s="32">
        <f t="shared" ref="BW58" si="161">BK58</f>
        <v>-3.5261525531852929</v>
      </c>
      <c r="BX58" s="32">
        <f t="shared" ref="BX58" si="162">BL58</f>
        <v>-2.6446144148889692</v>
      </c>
      <c r="BY58" s="241"/>
      <c r="BZ58" s="32">
        <f t="shared" si="135"/>
        <v>-10.472710000000001</v>
      </c>
      <c r="CA58" s="32">
        <f t="shared" si="135"/>
        <v>-15.298909999999999</v>
      </c>
      <c r="CB58" s="32">
        <f t="shared" si="136"/>
        <v>-14.27239</v>
      </c>
      <c r="CC58" s="9">
        <f>SUM(CC52:CC53,CC56:CC57,CC59)*CG58</f>
        <v>-25.653324958751771</v>
      </c>
      <c r="CD58" s="9">
        <f t="shared" ref="CD58:CE58" si="163">SUM(CD52:CD53,CD56:CD57,CD59)*CH58</f>
        <v>-29.793030657013638</v>
      </c>
      <c r="CE58" s="9">
        <f t="shared" si="163"/>
        <v>-35.261525531852925</v>
      </c>
      <c r="CG58" s="129">
        <f t="shared" si="155"/>
        <v>0.11553970586578953</v>
      </c>
      <c r="CH58" s="129">
        <f t="shared" si="155"/>
        <v>0.11553970586578953</v>
      </c>
      <c r="CI58" s="129">
        <f t="shared" si="155"/>
        <v>0.11553970586578953</v>
      </c>
      <c r="CK58" s="62">
        <f>IFERROR(CB58/SUM(CB52:CB55,CB56:CB57,CB59),0)</f>
        <v>5.4655903158758352E-2</v>
      </c>
      <c r="CM58" s="14">
        <f>-SUMIFS('FY25 By Venue Financials'!$N:$N,'FY25 By Venue Financials'!$A:$A,$C58)</f>
        <v>-177.87777</v>
      </c>
      <c r="CN58" s="62">
        <f>CM58/SUM(CM52:CM55,CM56:CM57,CM59)</f>
        <v>0.11553970586578953</v>
      </c>
      <c r="CP58" s="112" t="s">
        <v>442</v>
      </c>
      <c r="CQ58" s="112" t="s">
        <v>487</v>
      </c>
      <c r="CS58" s="132"/>
    </row>
    <row r="59" spans="3:97">
      <c r="C59" s="4" t="s">
        <v>133</v>
      </c>
      <c r="D59" s="14">
        <f>-SUMIFS('P&amp;L'!C:C,'P&amp;L'!$A:$A,$C59)/1000</f>
        <v>0</v>
      </c>
      <c r="E59" s="14">
        <f>-SUMIFS('P&amp;L'!D:D,'P&amp;L'!$A:$A,$C59)/1000</f>
        <v>0</v>
      </c>
      <c r="F59" s="14">
        <f>-SUMIFS('P&amp;L'!E:E,'P&amp;L'!$A:$A,$C59)/1000</f>
        <v>0</v>
      </c>
      <c r="G59" s="14">
        <f>-SUMIFS('P&amp;L'!F:F,'P&amp;L'!$A:$A,$C59)/1000</f>
        <v>0</v>
      </c>
      <c r="H59" s="14">
        <f>-SUMIFS('P&amp;L'!G:G,'P&amp;L'!$A:$A,$C59)/1000</f>
        <v>0</v>
      </c>
      <c r="I59" s="14">
        <f>-SUMIFS('P&amp;L'!H:H,'P&amp;L'!$A:$A,$C59)/1000</f>
        <v>0</v>
      </c>
      <c r="J59" s="14">
        <f>-SUMIFS('P&amp;L'!I:I,'P&amp;L'!$A:$A,$C59)/1000</f>
        <v>0</v>
      </c>
      <c r="K59" s="14">
        <f>-SUMIFS('P&amp;L'!J:J,'P&amp;L'!$A:$A,$C59)/1000</f>
        <v>0</v>
      </c>
      <c r="L59" s="14">
        <f>-SUMIFS('P&amp;L'!K:K,'P&amp;L'!$A:$A,$C59)/1000</f>
        <v>0</v>
      </c>
      <c r="M59" s="14">
        <f>-SUMIFS('P&amp;L'!L:L,'P&amp;L'!$A:$A,$C59)/1000</f>
        <v>0</v>
      </c>
      <c r="N59" s="14">
        <f>-SUMIFS('P&amp;L'!M:M,'P&amp;L'!$A:$A,$C59)/1000</f>
        <v>0</v>
      </c>
      <c r="O59" s="14">
        <f>-SUMIFS('P&amp;L'!N:N,'P&amp;L'!$A:$A,$C59)/1000</f>
        <v>0</v>
      </c>
      <c r="P59" s="14">
        <f>-SUMIFS('P&amp;L'!O:O,'P&amp;L'!$A:$A,$C59)/1000</f>
        <v>0</v>
      </c>
      <c r="Q59" s="14">
        <f>-SUMIFS('P&amp;L'!P:P,'P&amp;L'!$A:$A,$C59)/1000</f>
        <v>0</v>
      </c>
      <c r="R59" s="14">
        <f>-SUMIFS('P&amp;L'!Q:Q,'P&amp;L'!$A:$A,$C59)/1000</f>
        <v>0</v>
      </c>
      <c r="S59" s="14">
        <f>-SUMIFS('P&amp;L'!R:R,'P&amp;L'!$A:$A,$C59)/1000</f>
        <v>0</v>
      </c>
      <c r="T59" s="14">
        <f>-SUMIFS('P&amp;L'!S:S,'P&amp;L'!$A:$A,$C59)/1000</f>
        <v>0</v>
      </c>
      <c r="U59" s="14">
        <f>-SUMIFS('P&amp;L'!T:T,'P&amp;L'!$A:$A,$C59)/1000</f>
        <v>0</v>
      </c>
      <c r="V59" s="14">
        <f>-SUMIFS('P&amp;L'!U:U,'P&amp;L'!$A:$A,$C59)/1000</f>
        <v>0</v>
      </c>
      <c r="W59" s="14">
        <f>-SUMIFS('P&amp;L'!V:V,'P&amp;L'!$A:$A,$C59)/1000</f>
        <v>0</v>
      </c>
      <c r="X59" s="14">
        <f>-SUMIFS('P&amp;L'!W:W,'P&amp;L'!$A:$A,$C59)/1000</f>
        <v>0</v>
      </c>
      <c r="Y59" s="14">
        <f>-SUMIFS('P&amp;L'!X:X,'P&amp;L'!$A:$A,$C59)/1000</f>
        <v>0</v>
      </c>
      <c r="Z59" s="14">
        <f>-SUMIFS('P&amp;L'!Y:Y,'P&amp;L'!$A:$A,$C59)/1000</f>
        <v>0</v>
      </c>
      <c r="AA59" s="14">
        <f>-SUMIFS('P&amp;L'!Z:Z,'P&amp;L'!$A:$A,$C59)/1000</f>
        <v>0</v>
      </c>
      <c r="AB59" s="14">
        <f>-SUMIFS('P&amp;L'!AA:AA,'P&amp;L'!$A:$A,$C59)/1000</f>
        <v>0</v>
      </c>
      <c r="AC59" s="14">
        <f>-SUMIFS('P&amp;L'!AB:AB,'P&amp;L'!$A:$A,$C59)/1000</f>
        <v>0</v>
      </c>
      <c r="AD59" s="14">
        <f>-SUMIFS('P&amp;L'!AC:AC,'P&amp;L'!$A:$A,$C59)/1000</f>
        <v>0</v>
      </c>
      <c r="AE59" s="14">
        <f>-SUMIFS('P&amp;L'!AD:AD,'P&amp;L'!$A:$A,$C59)/1000</f>
        <v>0</v>
      </c>
      <c r="AF59" s="14">
        <f>-SUMIFS('P&amp;L'!AE:AE,'P&amp;L'!$A:$A,$C59)/1000</f>
        <v>0</v>
      </c>
      <c r="AG59" s="14">
        <f>-SUMIFS('P&amp;L'!AF:AF,'P&amp;L'!$A:$A,$C59)/1000</f>
        <v>0</v>
      </c>
      <c r="AH59" s="14">
        <f>-SUMIFS('P&amp;L'!AG:AG,'P&amp;L'!$A:$A,$C59)/1000</f>
        <v>0</v>
      </c>
      <c r="AI59" s="253"/>
      <c r="AJ59" s="241"/>
      <c r="AK59" s="32">
        <f t="shared" ref="AK59:BT59" si="164">SUMIFS($CC59:$CE59,$CC$1:$CE$1,AK$3)*AK$24</f>
        <v>-4.2673468015313916E-2</v>
      </c>
      <c r="AL59" s="32">
        <f t="shared" si="164"/>
        <v>-4.2673468015313916E-2</v>
      </c>
      <c r="AM59" s="32">
        <f t="shared" si="164"/>
        <v>-1.4224489338437974E-2</v>
      </c>
      <c r="AN59" s="32">
        <f t="shared" si="164"/>
        <v>-1.4224489338437974E-2</v>
      </c>
      <c r="AO59" s="32">
        <f t="shared" si="164"/>
        <v>0</v>
      </c>
      <c r="AP59" s="32">
        <f t="shared" si="164"/>
        <v>0</v>
      </c>
      <c r="AQ59" s="32">
        <f t="shared" si="164"/>
        <v>-7.1122446692189869E-3</v>
      </c>
      <c r="AR59" s="32">
        <f t="shared" si="164"/>
        <v>-2.8448978676875947E-2</v>
      </c>
      <c r="AS59" s="32">
        <f t="shared" si="164"/>
        <v>-5.6897957353751895E-2</v>
      </c>
      <c r="AT59" s="32">
        <f t="shared" si="164"/>
        <v>-3.5561223346094933E-2</v>
      </c>
      <c r="AU59" s="32">
        <f t="shared" si="164"/>
        <v>-1.4224489338437974E-2</v>
      </c>
      <c r="AV59" s="32">
        <f t="shared" si="164"/>
        <v>-2.8448978676875947E-2</v>
      </c>
      <c r="AW59" s="32">
        <f t="shared" si="164"/>
        <v>-5.0692750491300821E-2</v>
      </c>
      <c r="AX59" s="32">
        <f t="shared" si="164"/>
        <v>-5.9141542239850957E-2</v>
      </c>
      <c r="AY59" s="32">
        <f t="shared" si="164"/>
        <v>-5.0692750491300821E-2</v>
      </c>
      <c r="AZ59" s="32">
        <f t="shared" si="164"/>
        <v>-4.2243958742750685E-2</v>
      </c>
      <c r="BA59" s="32">
        <f t="shared" si="164"/>
        <v>-2.5346375245650411E-2</v>
      </c>
      <c r="BB59" s="32">
        <f t="shared" si="164"/>
        <v>-3.379516699420055E-2</v>
      </c>
      <c r="BC59" s="32">
        <f t="shared" si="164"/>
        <v>-4.2243958742750685E-2</v>
      </c>
      <c r="BD59" s="32">
        <f t="shared" si="164"/>
        <v>-4.2243958742750685E-2</v>
      </c>
      <c r="BE59" s="32">
        <f t="shared" si="164"/>
        <v>-6.75903339884011E-2</v>
      </c>
      <c r="BF59" s="32">
        <f t="shared" si="164"/>
        <v>-5.0692750491300821E-2</v>
      </c>
      <c r="BG59" s="32">
        <f t="shared" si="164"/>
        <v>-4.2243958742750685E-2</v>
      </c>
      <c r="BH59" s="32">
        <f t="shared" si="164"/>
        <v>-4.2243958742750685E-2</v>
      </c>
      <c r="BI59" s="32">
        <f t="shared" si="164"/>
        <v>-8.1672782845870054E-2</v>
      </c>
      <c r="BJ59" s="32">
        <f t="shared" si="164"/>
        <v>-9.1881880701603816E-2</v>
      </c>
      <c r="BK59" s="32">
        <f t="shared" si="164"/>
        <v>-8.1672782845870054E-2</v>
      </c>
      <c r="BL59" s="32">
        <f t="shared" si="164"/>
        <v>-6.1254587134402537E-2</v>
      </c>
      <c r="BM59" s="32">
        <f t="shared" si="164"/>
        <v>-4.0836391422935027E-2</v>
      </c>
      <c r="BN59" s="32">
        <f t="shared" si="164"/>
        <v>-5.1045489278668782E-2</v>
      </c>
      <c r="BO59" s="32">
        <f t="shared" si="164"/>
        <v>-6.1254587134402537E-2</v>
      </c>
      <c r="BP59" s="32">
        <f t="shared" si="164"/>
        <v>-6.1254587134402537E-2</v>
      </c>
      <c r="BQ59" s="32">
        <f t="shared" si="164"/>
        <v>-8.1672782845870054E-2</v>
      </c>
      <c r="BR59" s="32">
        <f t="shared" si="164"/>
        <v>-8.1672782845870054E-2</v>
      </c>
      <c r="BS59" s="32">
        <f t="shared" si="164"/>
        <v>-6.1254587134402537E-2</v>
      </c>
      <c r="BT59" s="273">
        <f t="shared" si="164"/>
        <v>-6.1254587134402537E-2</v>
      </c>
      <c r="BU59" s="32">
        <f t="shared" ref="BU59" si="165">BI59</f>
        <v>-8.1672782845870054E-2</v>
      </c>
      <c r="BV59" s="32">
        <f t="shared" ref="BV59" si="166">BJ59</f>
        <v>-9.1881880701603816E-2</v>
      </c>
      <c r="BW59" s="32">
        <f t="shared" ref="BW59" si="167">BK59</f>
        <v>-8.1672782845870054E-2</v>
      </c>
      <c r="BX59" s="32">
        <f t="shared" ref="BX59" si="168">BL59</f>
        <v>-6.1254587134402537E-2</v>
      </c>
      <c r="BY59" s="241"/>
      <c r="BZ59" s="32">
        <f t="shared" si="135"/>
        <v>0</v>
      </c>
      <c r="CA59" s="32">
        <f t="shared" si="135"/>
        <v>0</v>
      </c>
      <c r="CB59" s="32">
        <f t="shared" si="136"/>
        <v>0</v>
      </c>
      <c r="CC59" s="9">
        <f t="shared" si="156"/>
        <v>-0.28448978676875947</v>
      </c>
      <c r="CD59" s="9">
        <f t="shared" si="157"/>
        <v>-0.54917146365575886</v>
      </c>
      <c r="CE59" s="9">
        <f t="shared" si="158"/>
        <v>-0.81672782845870051</v>
      </c>
      <c r="CG59" s="129">
        <f t="shared" si="155"/>
        <v>-3.1387543844081E-4</v>
      </c>
      <c r="CH59" s="129">
        <f t="shared" si="155"/>
        <v>-3.1387543844081E-4</v>
      </c>
      <c r="CI59" s="129">
        <f t="shared" si="155"/>
        <v>-3.1387543844081E-4</v>
      </c>
      <c r="CK59" s="62">
        <f>IFERROR(CB59/CB$38,0)</f>
        <v>0</v>
      </c>
      <c r="CM59" s="14">
        <f>-SUMIFS('FY25 By Venue Financials'!$N:$N,'FY25 By Venue Financials'!$A:$A,$C59)</f>
        <v>-2.2139000000000002</v>
      </c>
      <c r="CN59" s="62">
        <f>IFERROR(CM59/CM$38,0)</f>
        <v>-3.1387543844081E-4</v>
      </c>
      <c r="CP59" s="112" t="s">
        <v>411</v>
      </c>
      <c r="CQ59" s="112" t="s">
        <v>283</v>
      </c>
      <c r="CS59" s="132"/>
    </row>
    <row r="60" spans="3:97" ht="5.15" customHeight="1">
      <c r="C60" s="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253"/>
      <c r="AJ60" s="241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241"/>
      <c r="BZ60" s="32"/>
      <c r="CA60" s="32"/>
      <c r="CB60" s="32"/>
      <c r="CC60" s="9"/>
      <c r="CD60" s="9"/>
      <c r="CE60" s="9"/>
      <c r="CG60" s="126"/>
      <c r="CH60" s="126"/>
      <c r="CI60" s="126"/>
      <c r="CK60" s="126"/>
      <c r="CM60" s="9"/>
      <c r="CN60" s="126"/>
      <c r="CS60" s="132"/>
    </row>
    <row r="61" spans="3:97">
      <c r="C61" s="5" t="s">
        <v>235</v>
      </c>
      <c r="D61" s="43">
        <f t="shared" ref="D61:AH61" si="169">SUM(D52:D60)</f>
        <v>-11.431950000000001</v>
      </c>
      <c r="E61" s="43">
        <f t="shared" si="169"/>
        <v>-12.183490000000001</v>
      </c>
      <c r="F61" s="43">
        <f t="shared" si="169"/>
        <v>-20.257080000000002</v>
      </c>
      <c r="G61" s="43">
        <f t="shared" si="169"/>
        <v>-17.777809999999999</v>
      </c>
      <c r="H61" s="43">
        <f t="shared" si="169"/>
        <v>-21.491070000000001</v>
      </c>
      <c r="I61" s="43">
        <f t="shared" si="169"/>
        <v>-22.74277</v>
      </c>
      <c r="J61" s="43">
        <f t="shared" si="169"/>
        <v>-17.270220000000002</v>
      </c>
      <c r="K61" s="43">
        <f t="shared" si="169"/>
        <v>-10.681130000000001</v>
      </c>
      <c r="L61" s="43">
        <f t="shared" si="169"/>
        <v>-19.803850000000001</v>
      </c>
      <c r="M61" s="43">
        <f t="shared" si="169"/>
        <v>-15.029690000000002</v>
      </c>
      <c r="N61" s="43">
        <f t="shared" si="169"/>
        <v>-18.253679999999999</v>
      </c>
      <c r="O61" s="43">
        <f t="shared" si="169"/>
        <v>-8.1291700000000002</v>
      </c>
      <c r="P61" s="43">
        <f t="shared" si="169"/>
        <v>-16.665210000000002</v>
      </c>
      <c r="Q61" s="43">
        <f t="shared" si="169"/>
        <v>-16.00356</v>
      </c>
      <c r="R61" s="43">
        <f t="shared" si="169"/>
        <v>-15.94993</v>
      </c>
      <c r="S61" s="43">
        <f t="shared" si="169"/>
        <v>-17.6204</v>
      </c>
      <c r="T61" s="43">
        <f t="shared" si="169"/>
        <v>-25.42191</v>
      </c>
      <c r="U61" s="43">
        <f t="shared" si="169"/>
        <v>-23.16093</v>
      </c>
      <c r="V61" s="43">
        <f t="shared" si="169"/>
        <v>-18.576550000000001</v>
      </c>
      <c r="W61" s="43">
        <f t="shared" si="169"/>
        <v>-24.025169999999999</v>
      </c>
      <c r="X61" s="43">
        <f t="shared" si="169"/>
        <v>-15.142010000000001</v>
      </c>
      <c r="Y61" s="43">
        <f t="shared" si="169"/>
        <v>-24.079980000000003</v>
      </c>
      <c r="Z61" s="43">
        <f t="shared" si="169"/>
        <v>-17.1389</v>
      </c>
      <c r="AA61" s="43">
        <f t="shared" si="169"/>
        <v>-15.820839999999999</v>
      </c>
      <c r="AB61" s="43">
        <f t="shared" si="169"/>
        <v>-20.329860000000004</v>
      </c>
      <c r="AC61" s="43">
        <f t="shared" si="169"/>
        <v>-19.750559999999997</v>
      </c>
      <c r="AD61" s="43">
        <f t="shared" si="169"/>
        <v>-23.727919999999997</v>
      </c>
      <c r="AE61" s="43">
        <f t="shared" si="169"/>
        <v>-26.034210000000002</v>
      </c>
      <c r="AF61" s="43">
        <f t="shared" si="169"/>
        <v>-27.722569999999997</v>
      </c>
      <c r="AG61" s="43">
        <f t="shared" si="169"/>
        <v>-33.832240000000006</v>
      </c>
      <c r="AH61" s="43">
        <f t="shared" si="169"/>
        <v>-27.799849999999999</v>
      </c>
      <c r="AI61" s="388"/>
      <c r="AJ61" s="242"/>
      <c r="AK61" s="43">
        <f t="shared" ref="AK61:BX61" si="170">SUM(AK52:AK60)</f>
        <v>-32.857423961601924</v>
      </c>
      <c r="AL61" s="43">
        <f t="shared" si="170"/>
        <v>-32.857423961601924</v>
      </c>
      <c r="AM61" s="43">
        <f t="shared" si="170"/>
        <v>-23.221363542756198</v>
      </c>
      <c r="AN61" s="43">
        <f t="shared" si="170"/>
        <v>-23.221363542756198</v>
      </c>
      <c r="AO61" s="43">
        <f t="shared" si="170"/>
        <v>-18.403333333333336</v>
      </c>
      <c r="AP61" s="43">
        <f t="shared" si="170"/>
        <v>-18.403333333333336</v>
      </c>
      <c r="AQ61" s="43">
        <f t="shared" si="170"/>
        <v>-20.812348438044769</v>
      </c>
      <c r="AR61" s="43">
        <f t="shared" si="170"/>
        <v>-28.039393752179059</v>
      </c>
      <c r="AS61" s="43">
        <f t="shared" si="170"/>
        <v>-37.675454171024782</v>
      </c>
      <c r="AT61" s="43">
        <f t="shared" si="170"/>
        <v>-30.448408856890492</v>
      </c>
      <c r="AU61" s="43">
        <f t="shared" si="170"/>
        <v>-23.221363542756198</v>
      </c>
      <c r="AV61" s="43">
        <f t="shared" si="170"/>
        <v>-28.039393752179059</v>
      </c>
      <c r="AW61" s="43">
        <f t="shared" si="170"/>
        <v>-34.683991317409813</v>
      </c>
      <c r="AX61" s="43">
        <f t="shared" si="170"/>
        <v>-37.305417648089218</v>
      </c>
      <c r="AY61" s="43">
        <f t="shared" si="170"/>
        <v>-34.683991317409813</v>
      </c>
      <c r="AZ61" s="43">
        <f t="shared" si="170"/>
        <v>-32.062564986730393</v>
      </c>
      <c r="BA61" s="43">
        <f t="shared" si="170"/>
        <v>-26.819712325371572</v>
      </c>
      <c r="BB61" s="43">
        <f t="shared" si="170"/>
        <v>-29.441138656050981</v>
      </c>
      <c r="BC61" s="43">
        <f t="shared" si="170"/>
        <v>-32.062564986730393</v>
      </c>
      <c r="BD61" s="43">
        <f t="shared" si="170"/>
        <v>-32.062564986730393</v>
      </c>
      <c r="BE61" s="43">
        <f t="shared" si="170"/>
        <v>-39.92684397876863</v>
      </c>
      <c r="BF61" s="43">
        <f t="shared" si="170"/>
        <v>-34.683991317409813</v>
      </c>
      <c r="BG61" s="43">
        <f t="shared" si="170"/>
        <v>-32.062564986730393</v>
      </c>
      <c r="BH61" s="43">
        <f t="shared" si="170"/>
        <v>-32.062564986730393</v>
      </c>
      <c r="BI61" s="43">
        <f t="shared" si="170"/>
        <v>-46.930499671185707</v>
      </c>
      <c r="BJ61" s="43">
        <f t="shared" si="170"/>
        <v>-50.356300088417242</v>
      </c>
      <c r="BK61" s="43">
        <f t="shared" si="170"/>
        <v>-46.930499671185707</v>
      </c>
      <c r="BL61" s="43">
        <f t="shared" si="170"/>
        <v>-40.078898836722608</v>
      </c>
      <c r="BM61" s="43">
        <f t="shared" si="170"/>
        <v>-33.227298002259523</v>
      </c>
      <c r="BN61" s="43">
        <f t="shared" si="170"/>
        <v>-36.653098419491073</v>
      </c>
      <c r="BO61" s="43">
        <f t="shared" si="170"/>
        <v>-40.078898836722608</v>
      </c>
      <c r="BP61" s="43">
        <f t="shared" si="170"/>
        <v>-40.078898836722608</v>
      </c>
      <c r="BQ61" s="43">
        <f t="shared" si="170"/>
        <v>-46.930499671185707</v>
      </c>
      <c r="BR61" s="43">
        <f t="shared" si="170"/>
        <v>-46.930499671185707</v>
      </c>
      <c r="BS61" s="43">
        <f t="shared" si="170"/>
        <v>-40.078898836722608</v>
      </c>
      <c r="BT61" s="43">
        <f t="shared" si="170"/>
        <v>-40.078898836722608</v>
      </c>
      <c r="BU61" s="43">
        <f t="shared" si="170"/>
        <v>-46.930499671185707</v>
      </c>
      <c r="BV61" s="43">
        <f t="shared" si="170"/>
        <v>-50.356300088417242</v>
      </c>
      <c r="BW61" s="43">
        <f t="shared" si="170"/>
        <v>-46.930499671185707</v>
      </c>
      <c r="BX61" s="43">
        <f t="shared" si="170"/>
        <v>-40.078898836722608</v>
      </c>
      <c r="BY61" s="242"/>
      <c r="BZ61" s="376">
        <f t="shared" ref="BZ61:CE61" si="171">SUM(BZ52:BZ60)</f>
        <v>-195.05191000000002</v>
      </c>
      <c r="CA61" s="376">
        <f t="shared" si="171"/>
        <v>-229.60539</v>
      </c>
      <c r="CB61" s="376">
        <f t="shared" si="171"/>
        <v>-275.40410999999995</v>
      </c>
      <c r="CC61" s="43">
        <f t="shared" si="171"/>
        <v>-317.20060418845725</v>
      </c>
      <c r="CD61" s="43">
        <f t="shared" si="171"/>
        <v>-397.85791149416173</v>
      </c>
      <c r="CE61" s="43">
        <f t="shared" si="171"/>
        <v>-508.35318937852361</v>
      </c>
      <c r="CF61" s="35"/>
      <c r="CG61" s="127">
        <f>IFERROR(CC61/CC$38,0)</f>
        <v>-0.34996503686182573</v>
      </c>
      <c r="CH61" s="127">
        <f t="shared" ref="CH61" si="172">IFERROR(CD61/CD$38,0)</f>
        <v>-0.22739314525937032</v>
      </c>
      <c r="CI61" s="127">
        <f t="shared" ref="CI61" si="173">IFERROR(CE61/CE$38,0)</f>
        <v>-0.19536444656242866</v>
      </c>
      <c r="CK61" s="127">
        <f>IFERROR(CB61/CB$38,0)</f>
        <v>-0.49104790591163278</v>
      </c>
      <c r="CM61" s="43">
        <f>SUM(CM52:CM60)</f>
        <v>-1717.41579</v>
      </c>
      <c r="CN61" s="127">
        <f t="shared" ref="CN61" si="174">IFERROR(CM61/CM$38,0)</f>
        <v>-0.24348644205764489</v>
      </c>
      <c r="CO61" s="35"/>
      <c r="CP61" s="132" t="s">
        <v>411</v>
      </c>
      <c r="CQ61" s="132"/>
      <c r="CR61" s="132"/>
      <c r="CS61" s="132"/>
    </row>
    <row r="62" spans="3:97"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386"/>
      <c r="AJ62" s="105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105"/>
      <c r="BZ62" s="32"/>
      <c r="CA62" s="32"/>
      <c r="CB62" s="32"/>
      <c r="CC62" s="9"/>
      <c r="CD62" s="9"/>
      <c r="CE62" s="9"/>
      <c r="CG62" s="126"/>
      <c r="CH62" s="126"/>
      <c r="CI62" s="126"/>
      <c r="CK62" s="126"/>
      <c r="CM62" s="9"/>
      <c r="CN62" s="126"/>
      <c r="CS62" s="132"/>
    </row>
    <row r="63" spans="3:97">
      <c r="C63" s="6" t="s">
        <v>72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386"/>
      <c r="AJ63" s="105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105"/>
      <c r="BZ63" s="32"/>
      <c r="CA63" s="32"/>
      <c r="CB63" s="32"/>
      <c r="CC63" s="9"/>
      <c r="CD63" s="9"/>
      <c r="CE63" s="9"/>
      <c r="CG63" s="126"/>
      <c r="CH63" s="126"/>
      <c r="CI63" s="126"/>
      <c r="CK63" s="126"/>
      <c r="CM63" s="9"/>
      <c r="CN63" s="126"/>
      <c r="CS63" s="132"/>
    </row>
    <row r="64" spans="3:97">
      <c r="C64" s="4" t="s">
        <v>138</v>
      </c>
      <c r="D64" s="14">
        <f>-SUMIFS('P&amp;L'!C:C,'P&amp;L'!$A:$A,$C64)/1000</f>
        <v>-0.215</v>
      </c>
      <c r="E64" s="14">
        <f>-SUMIFS('P&amp;L'!D:D,'P&amp;L'!$A:$A,$C64)/1000</f>
        <v>-0.76500000000000001</v>
      </c>
      <c r="F64" s="14">
        <f>-SUMIFS('P&amp;L'!E:E,'P&amp;L'!$A:$A,$C64)/1000</f>
        <v>-1.2362500000000001</v>
      </c>
      <c r="G64" s="14">
        <f>-SUMIFS('P&amp;L'!F:F,'P&amp;L'!$A:$A,$C64)/1000</f>
        <v>-1.7827200000000001</v>
      </c>
      <c r="H64" s="14">
        <f>-SUMIFS('P&amp;L'!G:G,'P&amp;L'!$A:$A,$C64)/1000</f>
        <v>-0.31052999999999997</v>
      </c>
      <c r="I64" s="14">
        <f>-SUMIFS('P&amp;L'!H:H,'P&amp;L'!$A:$A,$C64)/1000</f>
        <v>-1.66</v>
      </c>
      <c r="J64" s="14">
        <f>-SUMIFS('P&amp;L'!I:I,'P&amp;L'!$A:$A,$C64)/1000</f>
        <v>-6.2149999999999999</v>
      </c>
      <c r="K64" s="14">
        <f>-SUMIFS('P&amp;L'!J:J,'P&amp;L'!$A:$A,$C64)/1000</f>
        <v>-0.215</v>
      </c>
      <c r="L64" s="14">
        <f>-SUMIFS('P&amp;L'!K:K,'P&amp;L'!$A:$A,$C64)/1000</f>
        <v>-3.2825000000000002</v>
      </c>
      <c r="M64" s="14">
        <f>-SUMIFS('P&amp;L'!L:L,'P&amp;L'!$A:$A,$C64)/1000</f>
        <v>-1.4375</v>
      </c>
      <c r="N64" s="14">
        <f>-SUMIFS('P&amp;L'!M:M,'P&amp;L'!$A:$A,$C64)/1000</f>
        <v>-0.06</v>
      </c>
      <c r="O64" s="14">
        <f>-SUMIFS('P&amp;L'!N:N,'P&amp;L'!$A:$A,$C64)/1000</f>
        <v>-0.73969000000000007</v>
      </c>
      <c r="P64" s="14">
        <f>-SUMIFS('P&amp;L'!O:O,'P&amp;L'!$A:$A,$C64)/1000</f>
        <v>-5.1778000000000004</v>
      </c>
      <c r="Q64" s="14">
        <f>-SUMIFS('P&amp;L'!P:P,'P&amp;L'!$A:$A,$C64)/1000</f>
        <v>-0.82486000000000004</v>
      </c>
      <c r="R64" s="14">
        <f>-SUMIFS('P&amp;L'!Q:Q,'P&amp;L'!$A:$A,$C64)/1000</f>
        <v>-5.45871</v>
      </c>
      <c r="S64" s="14">
        <f>-SUMIFS('P&amp;L'!R:R,'P&amp;L'!$A:$A,$C64)/1000</f>
        <v>-3.38727</v>
      </c>
      <c r="T64" s="14">
        <f>-SUMIFS('P&amp;L'!S:S,'P&amp;L'!$A:$A,$C64)/1000</f>
        <v>-3.8430599999999999</v>
      </c>
      <c r="U64" s="14">
        <f>-SUMIFS('P&amp;L'!T:T,'P&amp;L'!$A:$A,$C64)/1000</f>
        <v>-3.3080500000000002</v>
      </c>
      <c r="V64" s="14">
        <f>-SUMIFS('P&amp;L'!U:U,'P&amp;L'!$A:$A,$C64)/1000</f>
        <v>-3.0214400000000001</v>
      </c>
      <c r="W64" s="14">
        <f>-SUMIFS('P&amp;L'!V:V,'P&amp;L'!$A:$A,$C64)/1000</f>
        <v>-3.0216500000000002</v>
      </c>
      <c r="X64" s="14">
        <f>-SUMIFS('P&amp;L'!W:W,'P&amp;L'!$A:$A,$C64)/1000</f>
        <v>-3.0164400000000002</v>
      </c>
      <c r="Y64" s="14">
        <f>-SUMIFS('P&amp;L'!X:X,'P&amp;L'!$A:$A,$C64)/1000</f>
        <v>-3.4760200000000001</v>
      </c>
      <c r="Z64" s="14">
        <f>-SUMIFS('P&amp;L'!Y:Y,'P&amp;L'!$A:$A,$C64)/1000</f>
        <v>-3.0640100000000001</v>
      </c>
      <c r="AA64" s="14">
        <f>-SUMIFS('P&amp;L'!Z:Z,'P&amp;L'!$A:$A,$C64)/1000</f>
        <v>-5.2640200000000004</v>
      </c>
      <c r="AB64" s="14">
        <f>-SUMIFS('P&amp;L'!AA:AA,'P&amp;L'!$A:$A,$C64)/1000</f>
        <v>-0.85562000000000005</v>
      </c>
      <c r="AC64" s="14">
        <f>-SUMIFS('P&amp;L'!AB:AB,'P&amp;L'!$A:$A,$C64)/1000</f>
        <v>0</v>
      </c>
      <c r="AD64" s="14">
        <f>-SUMIFS('P&amp;L'!AC:AC,'P&amp;L'!$A:$A,$C64)/1000</f>
        <v>-2.95</v>
      </c>
      <c r="AE64" s="14">
        <f>-SUMIFS('P&amp;L'!AD:AD,'P&amp;L'!$A:$A,$C64)/1000</f>
        <v>0</v>
      </c>
      <c r="AF64" s="14">
        <f>-SUMIFS('P&amp;L'!AE:AE,'P&amp;L'!$A:$A,$C64)/1000</f>
        <v>0</v>
      </c>
      <c r="AG64" s="14">
        <f>-SUMIFS('P&amp;L'!AF:AF,'P&amp;L'!$A:$A,$C64)/1000</f>
        <v>-0.29905000000000004</v>
      </c>
      <c r="AH64" s="14">
        <f>-SUMIFS('P&amp;L'!AG:AG,'P&amp;L'!$A:$A,$C64)/1000</f>
        <v>0</v>
      </c>
      <c r="AI64" s="253"/>
      <c r="AJ64" s="241"/>
      <c r="AK64" s="32">
        <f t="shared" ref="AK64:AT65" si="175">SUMIFS($CC64:$CE64,$CC$1:$CE$1,AK$3)/12</f>
        <v>-5.560022916666667</v>
      </c>
      <c r="AL64" s="32">
        <f t="shared" si="175"/>
        <v>-5.560022916666667</v>
      </c>
      <c r="AM64" s="32">
        <f t="shared" si="175"/>
        <v>-5.560022916666667</v>
      </c>
      <c r="AN64" s="32">
        <f t="shared" si="175"/>
        <v>-5.560022916666667</v>
      </c>
      <c r="AO64" s="32">
        <f t="shared" si="175"/>
        <v>-5.560022916666667</v>
      </c>
      <c r="AP64" s="32">
        <f t="shared" si="175"/>
        <v>-5.560022916666667</v>
      </c>
      <c r="AQ64" s="32">
        <f t="shared" si="175"/>
        <v>-5.560022916666667</v>
      </c>
      <c r="AR64" s="32">
        <f t="shared" si="175"/>
        <v>-5.560022916666667</v>
      </c>
      <c r="AS64" s="32">
        <f t="shared" si="175"/>
        <v>-5.560022916666667</v>
      </c>
      <c r="AT64" s="32">
        <f t="shared" si="175"/>
        <v>-5.560022916666667</v>
      </c>
      <c r="AU64" s="32">
        <f t="shared" ref="AU64:BD65" si="176">SUMIFS($CC64:$CE64,$CC$1:$CE$1,AU$3)/12</f>
        <v>-5.560022916666667</v>
      </c>
      <c r="AV64" s="32">
        <f t="shared" si="176"/>
        <v>-5.560022916666667</v>
      </c>
      <c r="AW64" s="32">
        <f t="shared" si="176"/>
        <v>-5.8380240625000006</v>
      </c>
      <c r="AX64" s="32">
        <f t="shared" si="176"/>
        <v>-5.8380240625000006</v>
      </c>
      <c r="AY64" s="32">
        <f t="shared" si="176"/>
        <v>-5.8380240625000006</v>
      </c>
      <c r="AZ64" s="32">
        <f t="shared" si="176"/>
        <v>-5.8380240625000006</v>
      </c>
      <c r="BA64" s="32">
        <f t="shared" si="176"/>
        <v>-5.8380240625000006</v>
      </c>
      <c r="BB64" s="32">
        <f t="shared" si="176"/>
        <v>-5.8380240625000006</v>
      </c>
      <c r="BC64" s="32">
        <f t="shared" si="176"/>
        <v>-5.8380240625000006</v>
      </c>
      <c r="BD64" s="32">
        <f t="shared" si="176"/>
        <v>-5.8380240625000006</v>
      </c>
      <c r="BE64" s="32">
        <f t="shared" ref="BE64:BN65" si="177">SUMIFS($CC64:$CE64,$CC$1:$CE$1,BE$3)/12</f>
        <v>-5.8380240625000006</v>
      </c>
      <c r="BF64" s="32">
        <f t="shared" si="177"/>
        <v>-5.8380240625000006</v>
      </c>
      <c r="BG64" s="32">
        <f t="shared" si="177"/>
        <v>-5.8380240625000006</v>
      </c>
      <c r="BH64" s="32">
        <f t="shared" si="177"/>
        <v>-5.8380240625000006</v>
      </c>
      <c r="BI64" s="32">
        <f t="shared" si="177"/>
        <v>-6.1299252656250012</v>
      </c>
      <c r="BJ64" s="32">
        <f t="shared" si="177"/>
        <v>-6.1299252656250012</v>
      </c>
      <c r="BK64" s="32">
        <f t="shared" si="177"/>
        <v>-6.1299252656250012</v>
      </c>
      <c r="BL64" s="32">
        <f t="shared" si="177"/>
        <v>-6.1299252656250012</v>
      </c>
      <c r="BM64" s="32">
        <f t="shared" si="177"/>
        <v>-6.1299252656250012</v>
      </c>
      <c r="BN64" s="32">
        <f t="shared" si="177"/>
        <v>-6.1299252656250012</v>
      </c>
      <c r="BO64" s="32">
        <f t="shared" ref="BO64:BT65" si="178">SUMIFS($CC64:$CE64,$CC$1:$CE$1,BO$3)/12</f>
        <v>-6.1299252656250012</v>
      </c>
      <c r="BP64" s="32">
        <f t="shared" si="178"/>
        <v>-6.1299252656250012</v>
      </c>
      <c r="BQ64" s="32">
        <f t="shared" si="178"/>
        <v>-6.1299252656250012</v>
      </c>
      <c r="BR64" s="32">
        <f t="shared" si="178"/>
        <v>-6.1299252656250012</v>
      </c>
      <c r="BS64" s="32">
        <f t="shared" si="178"/>
        <v>-6.1299252656250012</v>
      </c>
      <c r="BT64" s="273">
        <f t="shared" si="178"/>
        <v>-6.1299252656250012</v>
      </c>
      <c r="BU64" s="32">
        <f t="shared" ref="BU64:BU78" si="179">BI64</f>
        <v>-6.1299252656250012</v>
      </c>
      <c r="BV64" s="32">
        <f t="shared" ref="BV64:BV78" si="180">BJ64</f>
        <v>-6.1299252656250012</v>
      </c>
      <c r="BW64" s="32">
        <f t="shared" ref="BW64:BW78" si="181">BK64</f>
        <v>-6.1299252656250012</v>
      </c>
      <c r="BX64" s="32">
        <f t="shared" ref="BX64:BX78" si="182">BL64</f>
        <v>-6.1299252656250012</v>
      </c>
      <c r="BY64" s="241"/>
      <c r="BZ64" s="32">
        <f t="shared" ref="BZ64:CA78" si="183">SUMIFS($D64:$AJ64,$D$1:$AJ$1,BZ$9)</f>
        <v>-17.91919</v>
      </c>
      <c r="CA64" s="32">
        <f t="shared" si="183"/>
        <v>-42.863330000000012</v>
      </c>
      <c r="CB64" s="32">
        <f t="shared" ref="CB64:CB78" si="184">SUMIFS($D64:$AJ64,$D$3:$AJ$3,"LTM")</f>
        <v>-21.946810000000003</v>
      </c>
      <c r="CC64" s="55">
        <f>CM64/2</f>
        <v>-66.720275000000001</v>
      </c>
      <c r="CD64" s="55">
        <f>CC64*(1+CH64)</f>
        <v>-70.056288750000007</v>
      </c>
      <c r="CE64" s="55">
        <f>CD64*(1+CI64)</f>
        <v>-73.559103187500014</v>
      </c>
      <c r="CG64" s="391">
        <v>0</v>
      </c>
      <c r="CH64" s="391">
        <v>0.05</v>
      </c>
      <c r="CI64" s="391">
        <v>0.05</v>
      </c>
      <c r="CK64" s="62"/>
      <c r="CM64" s="14">
        <f>-SUMIFS('FY25 By Venue Financials'!$N:$N,'FY25 By Venue Financials'!$A:$A,$C64)</f>
        <v>-133.44055</v>
      </c>
      <c r="CN64" s="62">
        <f>IFERROR(CM64/CM$38,0)</f>
        <v>-1.8918519868572577E-2</v>
      </c>
      <c r="CP64" s="112" t="s">
        <v>1209</v>
      </c>
      <c r="CQ64" s="112" t="s">
        <v>486</v>
      </c>
      <c r="CS64" s="132"/>
    </row>
    <row r="65" spans="3:97">
      <c r="C65" s="4" t="s">
        <v>145</v>
      </c>
      <c r="D65" s="14">
        <f>-SUMIFS('P&amp;L'!C:C,'P&amp;L'!$A:$A,$C65)/1000</f>
        <v>-24.08154</v>
      </c>
      <c r="E65" s="14">
        <f>-SUMIFS('P&amp;L'!D:D,'P&amp;L'!$A:$A,$C65)/1000</f>
        <v>-8.9859899999999993</v>
      </c>
      <c r="F65" s="14">
        <f>-SUMIFS('P&amp;L'!E:E,'P&amp;L'!$A:$A,$C65)/1000</f>
        <v>-11.155250000000001</v>
      </c>
      <c r="G65" s="14">
        <f>-SUMIFS('P&amp;L'!F:F,'P&amp;L'!$A:$A,$C65)/1000</f>
        <v>-13.01789</v>
      </c>
      <c r="H65" s="14">
        <f>-SUMIFS('P&amp;L'!G:G,'P&amp;L'!$A:$A,$C65)/1000</f>
        <v>-2.62663</v>
      </c>
      <c r="I65" s="14">
        <f>-SUMIFS('P&amp;L'!H:H,'P&amp;L'!$A:$A,$C65)/1000</f>
        <v>-2.9662899999999999</v>
      </c>
      <c r="J65" s="14">
        <f>-SUMIFS('P&amp;L'!I:I,'P&amp;L'!$A:$A,$C65)/1000</f>
        <v>-6.7299600000000002</v>
      </c>
      <c r="K65" s="14">
        <f>-SUMIFS('P&amp;L'!J:J,'P&amp;L'!$A:$A,$C65)/1000</f>
        <v>-21.184800000000003</v>
      </c>
      <c r="L65" s="14">
        <f>-SUMIFS('P&amp;L'!K:K,'P&amp;L'!$A:$A,$C65)/1000</f>
        <v>-19.670629999999996</v>
      </c>
      <c r="M65" s="14">
        <f>-SUMIFS('P&amp;L'!L:L,'P&amp;L'!$A:$A,$C65)/1000</f>
        <v>-7.5710500000000005</v>
      </c>
      <c r="N65" s="14">
        <f>-SUMIFS('P&amp;L'!M:M,'P&amp;L'!$A:$A,$C65)/1000</f>
        <v>-6.5169899999999998</v>
      </c>
      <c r="O65" s="14">
        <f>-SUMIFS('P&amp;L'!N:N,'P&amp;L'!$A:$A,$C65)/1000</f>
        <v>-3.1677400000000007</v>
      </c>
      <c r="P65" s="14">
        <f>-SUMIFS('P&amp;L'!O:O,'P&amp;L'!$A:$A,$C65)/1000</f>
        <v>-4.4621300000000002</v>
      </c>
      <c r="Q65" s="14">
        <f>-SUMIFS('P&amp;L'!P:P,'P&amp;L'!$A:$A,$C65)/1000</f>
        <v>-2.9776899999999995</v>
      </c>
      <c r="R65" s="14">
        <f>-SUMIFS('P&amp;L'!Q:Q,'P&amp;L'!$A:$A,$C65)/1000</f>
        <v>-10.954130000000001</v>
      </c>
      <c r="S65" s="14">
        <f>-SUMIFS('P&amp;L'!R:R,'P&amp;L'!$A:$A,$C65)/1000</f>
        <v>-7.2987900000000003</v>
      </c>
      <c r="T65" s="14">
        <f>-SUMIFS('P&amp;L'!S:S,'P&amp;L'!$A:$A,$C65)/1000</f>
        <v>-11.85417</v>
      </c>
      <c r="U65" s="14">
        <f>-SUMIFS('P&amp;L'!T:T,'P&amp;L'!$A:$A,$C65)/1000</f>
        <v>-5.3518600000000003</v>
      </c>
      <c r="V65" s="14">
        <f>-SUMIFS('P&amp;L'!U:U,'P&amp;L'!$A:$A,$C65)/1000</f>
        <v>-12.680289999999999</v>
      </c>
      <c r="W65" s="14">
        <f>-SUMIFS('P&amp;L'!V:V,'P&amp;L'!$A:$A,$C65)/1000</f>
        <v>-6.42021</v>
      </c>
      <c r="X65" s="14">
        <f>-SUMIFS('P&amp;L'!W:W,'P&amp;L'!$A:$A,$C65)/1000</f>
        <v>-2.4289899999999998</v>
      </c>
      <c r="Y65" s="14">
        <f>-SUMIFS('P&amp;L'!X:X,'P&amp;L'!$A:$A,$C65)/1000</f>
        <v>-3.2614999999999998</v>
      </c>
      <c r="Z65" s="14">
        <f>-SUMIFS('P&amp;L'!Y:Y,'P&amp;L'!$A:$A,$C65)/1000</f>
        <v>-10.65582</v>
      </c>
      <c r="AA65" s="14">
        <f>-SUMIFS('P&amp;L'!Z:Z,'P&amp;L'!$A:$A,$C65)/1000</f>
        <v>-16.943570000000001</v>
      </c>
      <c r="AB65" s="14">
        <f>-SUMIFS('P&amp;L'!AA:AA,'P&amp;L'!$A:$A,$C65)/1000</f>
        <v>-6.4799300000000004</v>
      </c>
      <c r="AC65" s="14">
        <f>-SUMIFS('P&amp;L'!AB:AB,'P&amp;L'!$A:$A,$C65)/1000</f>
        <v>-12.024610000000001</v>
      </c>
      <c r="AD65" s="14">
        <f>-SUMIFS('P&amp;L'!AC:AC,'P&amp;L'!$A:$A,$C65)/1000</f>
        <v>-4.6337600000000005</v>
      </c>
      <c r="AE65" s="14">
        <f>-SUMIFS('P&amp;L'!AD:AD,'P&amp;L'!$A:$A,$C65)/1000</f>
        <v>2.5675100000000004</v>
      </c>
      <c r="AF65" s="14">
        <f>-SUMIFS('P&amp;L'!AE:AE,'P&amp;L'!$A:$A,$C65)/1000</f>
        <v>-1.9365000000000001</v>
      </c>
      <c r="AG65" s="14">
        <f>-SUMIFS('P&amp;L'!AF:AF,'P&amp;L'!$A:$A,$C65)/1000</f>
        <v>-6.2334300000000002</v>
      </c>
      <c r="AH65" s="14">
        <f>-SUMIFS('P&amp;L'!AG:AG,'P&amp;L'!$A:$A,$C65)/1000</f>
        <v>-4.6047399999999996</v>
      </c>
      <c r="AI65" s="253"/>
      <c r="AJ65" s="241"/>
      <c r="AK65" s="32">
        <f t="shared" si="175"/>
        <v>-6.2440641025641028</v>
      </c>
      <c r="AL65" s="32">
        <f t="shared" si="175"/>
        <v>-6.2440641025641028</v>
      </c>
      <c r="AM65" s="32">
        <f t="shared" si="175"/>
        <v>-6.2440641025641028</v>
      </c>
      <c r="AN65" s="32">
        <f t="shared" si="175"/>
        <v>-6.2440641025641028</v>
      </c>
      <c r="AO65" s="32">
        <f t="shared" si="175"/>
        <v>-6.2440641025641028</v>
      </c>
      <c r="AP65" s="32">
        <f t="shared" si="175"/>
        <v>-6.2440641025641028</v>
      </c>
      <c r="AQ65" s="32">
        <f t="shared" si="175"/>
        <v>-6.2440641025641028</v>
      </c>
      <c r="AR65" s="32">
        <f t="shared" si="175"/>
        <v>-6.2440641025641028</v>
      </c>
      <c r="AS65" s="32">
        <f t="shared" si="175"/>
        <v>-6.2440641025641028</v>
      </c>
      <c r="AT65" s="32">
        <f t="shared" si="175"/>
        <v>-6.2440641025641028</v>
      </c>
      <c r="AU65" s="32">
        <f t="shared" si="176"/>
        <v>-6.2440641025641028</v>
      </c>
      <c r="AV65" s="32">
        <f t="shared" si="176"/>
        <v>-6.2440641025641028</v>
      </c>
      <c r="AW65" s="32">
        <f t="shared" si="176"/>
        <v>-10.146604166666668</v>
      </c>
      <c r="AX65" s="32">
        <f t="shared" si="176"/>
        <v>-10.146604166666668</v>
      </c>
      <c r="AY65" s="32">
        <f t="shared" si="176"/>
        <v>-10.146604166666668</v>
      </c>
      <c r="AZ65" s="32">
        <f t="shared" si="176"/>
        <v>-10.146604166666668</v>
      </c>
      <c r="BA65" s="32">
        <f t="shared" si="176"/>
        <v>-10.146604166666668</v>
      </c>
      <c r="BB65" s="32">
        <f t="shared" si="176"/>
        <v>-10.146604166666668</v>
      </c>
      <c r="BC65" s="32">
        <f t="shared" si="176"/>
        <v>-10.146604166666668</v>
      </c>
      <c r="BD65" s="32">
        <f t="shared" si="176"/>
        <v>-10.146604166666668</v>
      </c>
      <c r="BE65" s="32">
        <f t="shared" si="177"/>
        <v>-10.146604166666668</v>
      </c>
      <c r="BF65" s="32">
        <f t="shared" si="177"/>
        <v>-10.146604166666668</v>
      </c>
      <c r="BG65" s="32">
        <f t="shared" si="177"/>
        <v>-10.146604166666668</v>
      </c>
      <c r="BH65" s="32">
        <f t="shared" si="177"/>
        <v>-10.146604166666668</v>
      </c>
      <c r="BI65" s="32">
        <f t="shared" si="177"/>
        <v>-12.488128205128206</v>
      </c>
      <c r="BJ65" s="32">
        <f t="shared" si="177"/>
        <v>-12.488128205128206</v>
      </c>
      <c r="BK65" s="32">
        <f t="shared" si="177"/>
        <v>-12.488128205128206</v>
      </c>
      <c r="BL65" s="32">
        <f t="shared" si="177"/>
        <v>-12.488128205128206</v>
      </c>
      <c r="BM65" s="32">
        <f t="shared" si="177"/>
        <v>-12.488128205128206</v>
      </c>
      <c r="BN65" s="32">
        <f t="shared" si="177"/>
        <v>-12.488128205128206</v>
      </c>
      <c r="BO65" s="32">
        <f t="shared" si="178"/>
        <v>-12.488128205128206</v>
      </c>
      <c r="BP65" s="32">
        <f t="shared" si="178"/>
        <v>-12.488128205128206</v>
      </c>
      <c r="BQ65" s="32">
        <f t="shared" si="178"/>
        <v>-12.488128205128206</v>
      </c>
      <c r="BR65" s="32">
        <f t="shared" si="178"/>
        <v>-12.488128205128206</v>
      </c>
      <c r="BS65" s="32">
        <f t="shared" si="178"/>
        <v>-12.488128205128206</v>
      </c>
      <c r="BT65" s="273">
        <f t="shared" si="178"/>
        <v>-12.488128205128206</v>
      </c>
      <c r="BU65" s="32">
        <f t="shared" si="179"/>
        <v>-12.488128205128206</v>
      </c>
      <c r="BV65" s="32">
        <f t="shared" si="180"/>
        <v>-12.488128205128206</v>
      </c>
      <c r="BW65" s="32">
        <f t="shared" si="181"/>
        <v>-12.488128205128206</v>
      </c>
      <c r="BX65" s="32">
        <f t="shared" si="182"/>
        <v>-12.488128205128206</v>
      </c>
      <c r="BY65" s="241"/>
      <c r="BZ65" s="32">
        <f t="shared" si="183"/>
        <v>-127.67476000000001</v>
      </c>
      <c r="CA65" s="32">
        <f t="shared" si="183"/>
        <v>-95.289150000000006</v>
      </c>
      <c r="CB65" s="32">
        <f t="shared" si="184"/>
        <v>-73.055550000000011</v>
      </c>
      <c r="CC65" s="9">
        <f>CG65*CC$23</f>
        <v>-74.928769230769234</v>
      </c>
      <c r="CD65" s="9">
        <f t="shared" ref="CD65:CE65" si="185">CH65*CD$23</f>
        <v>-121.75925000000002</v>
      </c>
      <c r="CE65" s="9">
        <f t="shared" si="185"/>
        <v>-149.85753846153847</v>
      </c>
      <c r="CG65" s="138">
        <f t="shared" ref="CG65:CG66" si="186">$CK65</f>
        <v>-1.873219230769231</v>
      </c>
      <c r="CH65" s="138">
        <f t="shared" ref="CH65:CI66" si="187">$CK65</f>
        <v>-1.873219230769231</v>
      </c>
      <c r="CI65" s="138">
        <f t="shared" si="187"/>
        <v>-1.873219230769231</v>
      </c>
      <c r="CK65" s="52">
        <f>IFERROR(CB65/CK$23,0)</f>
        <v>-1.873219230769231</v>
      </c>
      <c r="CM65" s="14">
        <f>-SUMIFS('FY25 By Venue Financials'!$N:$N,'FY25 By Venue Financials'!$A:$A,$C65)</f>
        <v>-79.475799999999992</v>
      </c>
      <c r="CN65" s="52">
        <f>CM65/CM$23</f>
        <v>-0.32439102040816326</v>
      </c>
      <c r="CP65" s="112" t="s">
        <v>243</v>
      </c>
      <c r="CQ65" s="112" t="s">
        <v>486</v>
      </c>
      <c r="CS65" s="132"/>
    </row>
    <row r="66" spans="3:97">
      <c r="C66" s="4" t="s">
        <v>151</v>
      </c>
      <c r="D66" s="14">
        <f>-SUMIFS('P&amp;L'!C:C,'P&amp;L'!$A:$A,$C66)/1000</f>
        <v>-4.3143000000000002</v>
      </c>
      <c r="E66" s="14">
        <f>-SUMIFS('P&amp;L'!D:D,'P&amp;L'!$A:$A,$C66)/1000</f>
        <v>-3.7411999999999996</v>
      </c>
      <c r="F66" s="14">
        <f>-SUMIFS('P&amp;L'!E:E,'P&amp;L'!$A:$A,$C66)/1000</f>
        <v>-3.67048</v>
      </c>
      <c r="G66" s="14">
        <f>-SUMIFS('P&amp;L'!F:F,'P&amp;L'!$A:$A,$C66)/1000</f>
        <v>-2.7603400000000002</v>
      </c>
      <c r="H66" s="14">
        <f>-SUMIFS('P&amp;L'!G:G,'P&amp;L'!$A:$A,$C66)/1000</f>
        <v>-2.8458399999999999</v>
      </c>
      <c r="I66" s="14">
        <f>-SUMIFS('P&amp;L'!H:H,'P&amp;L'!$A:$A,$C66)/1000</f>
        <v>-3.5226299999999999</v>
      </c>
      <c r="J66" s="14">
        <f>-SUMIFS('P&amp;L'!I:I,'P&amp;L'!$A:$A,$C66)/1000</f>
        <v>-4.3943700000000003</v>
      </c>
      <c r="K66" s="14">
        <f>-SUMIFS('P&amp;L'!J:J,'P&amp;L'!$A:$A,$C66)/1000</f>
        <v>-4.8631700000000002</v>
      </c>
      <c r="L66" s="14">
        <f>-SUMIFS('P&amp;L'!K:K,'P&amp;L'!$A:$A,$C66)/1000</f>
        <v>-3.85886</v>
      </c>
      <c r="M66" s="14">
        <f>-SUMIFS('P&amp;L'!L:L,'P&amp;L'!$A:$A,$C66)/1000</f>
        <v>-5.4242700000000008</v>
      </c>
      <c r="N66" s="14">
        <f>-SUMIFS('P&amp;L'!M:M,'P&amp;L'!$A:$A,$C66)/1000</f>
        <v>-0.75307000000000002</v>
      </c>
      <c r="O66" s="14">
        <f>-SUMIFS('P&amp;L'!N:N,'P&amp;L'!$A:$A,$C66)/1000</f>
        <v>-2.9140799999999998</v>
      </c>
      <c r="P66" s="14">
        <f>-SUMIFS('P&amp;L'!O:O,'P&amp;L'!$A:$A,$C66)/1000</f>
        <v>-2.86137</v>
      </c>
      <c r="Q66" s="14">
        <f>-SUMIFS('P&amp;L'!P:P,'P&amp;L'!$A:$A,$C66)/1000</f>
        <v>-3.2422900000000001</v>
      </c>
      <c r="R66" s="14">
        <f>-SUMIFS('P&amp;L'!Q:Q,'P&amp;L'!$A:$A,$C66)/1000</f>
        <v>-4.5230699999999997</v>
      </c>
      <c r="S66" s="14">
        <f>-SUMIFS('P&amp;L'!R:R,'P&amp;L'!$A:$A,$C66)/1000</f>
        <v>-5.3103699999999998</v>
      </c>
      <c r="T66" s="14">
        <f>-SUMIFS('P&amp;L'!S:S,'P&amp;L'!$A:$A,$C66)/1000</f>
        <v>-1.7664900000000001</v>
      </c>
      <c r="U66" s="14">
        <f>-SUMIFS('P&amp;L'!T:T,'P&amp;L'!$A:$A,$C66)/1000</f>
        <v>-4.4890100000000004</v>
      </c>
      <c r="V66" s="14">
        <f>-SUMIFS('P&amp;L'!U:U,'P&amp;L'!$A:$A,$C66)/1000</f>
        <v>-3.62304</v>
      </c>
      <c r="W66" s="14">
        <f>-SUMIFS('P&amp;L'!V:V,'P&amp;L'!$A:$A,$C66)/1000</f>
        <v>-3.7775100000000004</v>
      </c>
      <c r="X66" s="14">
        <f>-SUMIFS('P&amp;L'!W:W,'P&amp;L'!$A:$A,$C66)/1000</f>
        <v>-3.9213800000000001</v>
      </c>
      <c r="Y66" s="14">
        <f>-SUMIFS('P&amp;L'!X:X,'P&amp;L'!$A:$A,$C66)/1000</f>
        <v>-3.1007600000000002</v>
      </c>
      <c r="Z66" s="14">
        <f>-SUMIFS('P&amp;L'!Y:Y,'P&amp;L'!$A:$A,$C66)/1000</f>
        <v>-2.8533600000000003</v>
      </c>
      <c r="AA66" s="14">
        <f>-SUMIFS('P&amp;L'!Z:Z,'P&amp;L'!$A:$A,$C66)/1000</f>
        <v>-3.4518200000000001</v>
      </c>
      <c r="AB66" s="14">
        <f>-SUMIFS('P&amp;L'!AA:AA,'P&amp;L'!$A:$A,$C66)/1000</f>
        <v>-2.7538400000000003</v>
      </c>
      <c r="AC66" s="14">
        <f>-SUMIFS('P&amp;L'!AB:AB,'P&amp;L'!$A:$A,$C66)/1000</f>
        <v>-2.6404899999999998</v>
      </c>
      <c r="AD66" s="14">
        <f>-SUMIFS('P&amp;L'!AC:AC,'P&amp;L'!$A:$A,$C66)/1000</f>
        <v>-3.0867100000000001</v>
      </c>
      <c r="AE66" s="14">
        <f>-SUMIFS('P&amp;L'!AD:AD,'P&amp;L'!$A:$A,$C66)/1000</f>
        <v>-2.39174</v>
      </c>
      <c r="AF66" s="14">
        <f>-SUMIFS('P&amp;L'!AE:AE,'P&amp;L'!$A:$A,$C66)/1000</f>
        <v>-2.64114</v>
      </c>
      <c r="AG66" s="14">
        <f>-SUMIFS('P&amp;L'!AF:AF,'P&amp;L'!$A:$A,$C66)/1000</f>
        <v>-2.6136999999999997</v>
      </c>
      <c r="AH66" s="14">
        <f>-SUMIFS('P&amp;L'!AG:AG,'P&amp;L'!$A:$A,$C66)/1000</f>
        <v>-5.2922000000000002</v>
      </c>
      <c r="AI66" s="253"/>
      <c r="AJ66" s="241"/>
      <c r="AK66" s="32">
        <f t="shared" ref="AK66:BT66" si="188">SUMIFS($CC66:$CE66,$CC$1:$CE$1,AK$3)*AK$24</f>
        <v>-5.9268692307692303</v>
      </c>
      <c r="AL66" s="32">
        <f t="shared" si="188"/>
        <v>-5.9268692307692303</v>
      </c>
      <c r="AM66" s="32">
        <f t="shared" si="188"/>
        <v>-1.9756230769230769</v>
      </c>
      <c r="AN66" s="32">
        <f t="shared" si="188"/>
        <v>-1.9756230769230769</v>
      </c>
      <c r="AO66" s="32">
        <f t="shared" si="188"/>
        <v>0</v>
      </c>
      <c r="AP66" s="32">
        <f t="shared" si="188"/>
        <v>0</v>
      </c>
      <c r="AQ66" s="32">
        <f t="shared" si="188"/>
        <v>-0.98781153846153846</v>
      </c>
      <c r="AR66" s="32">
        <f t="shared" si="188"/>
        <v>-3.9512461538461539</v>
      </c>
      <c r="AS66" s="32">
        <f t="shared" si="188"/>
        <v>-7.9024923076923077</v>
      </c>
      <c r="AT66" s="32">
        <f t="shared" si="188"/>
        <v>-4.9390576923076921</v>
      </c>
      <c r="AU66" s="32">
        <f t="shared" si="188"/>
        <v>-1.9756230769230769</v>
      </c>
      <c r="AV66" s="32">
        <f t="shared" si="188"/>
        <v>-3.9512461538461539</v>
      </c>
      <c r="AW66" s="32">
        <f t="shared" si="188"/>
        <v>-5.9268692307692312</v>
      </c>
      <c r="AX66" s="32">
        <f t="shared" si="188"/>
        <v>-6.9146807692307704</v>
      </c>
      <c r="AY66" s="32">
        <f t="shared" si="188"/>
        <v>-5.9268692307692312</v>
      </c>
      <c r="AZ66" s="32">
        <f t="shared" si="188"/>
        <v>-4.939057692307693</v>
      </c>
      <c r="BA66" s="32">
        <f t="shared" si="188"/>
        <v>-2.9634346153846156</v>
      </c>
      <c r="BB66" s="32">
        <f t="shared" si="188"/>
        <v>-3.9512461538461543</v>
      </c>
      <c r="BC66" s="32">
        <f t="shared" si="188"/>
        <v>-4.939057692307693</v>
      </c>
      <c r="BD66" s="32">
        <f t="shared" si="188"/>
        <v>-4.939057692307693</v>
      </c>
      <c r="BE66" s="32">
        <f t="shared" si="188"/>
        <v>-7.9024923076923086</v>
      </c>
      <c r="BF66" s="32">
        <f t="shared" si="188"/>
        <v>-5.9268692307692312</v>
      </c>
      <c r="BG66" s="32">
        <f t="shared" si="188"/>
        <v>-4.939057692307693</v>
      </c>
      <c r="BH66" s="32">
        <f t="shared" si="188"/>
        <v>-4.939057692307693</v>
      </c>
      <c r="BI66" s="32">
        <f t="shared" si="188"/>
        <v>-7.9024923076923077</v>
      </c>
      <c r="BJ66" s="32">
        <f t="shared" si="188"/>
        <v>-8.8903038461538468</v>
      </c>
      <c r="BK66" s="32">
        <f t="shared" si="188"/>
        <v>-7.9024923076923077</v>
      </c>
      <c r="BL66" s="32">
        <f t="shared" si="188"/>
        <v>-5.9268692307692303</v>
      </c>
      <c r="BM66" s="32">
        <f t="shared" si="188"/>
        <v>-3.9512461538461539</v>
      </c>
      <c r="BN66" s="32">
        <f t="shared" si="188"/>
        <v>-4.9390576923076921</v>
      </c>
      <c r="BO66" s="32">
        <f t="shared" si="188"/>
        <v>-5.9268692307692303</v>
      </c>
      <c r="BP66" s="32">
        <f t="shared" si="188"/>
        <v>-5.9268692307692303</v>
      </c>
      <c r="BQ66" s="32">
        <f t="shared" si="188"/>
        <v>-7.9024923076923077</v>
      </c>
      <c r="BR66" s="32">
        <f t="shared" si="188"/>
        <v>-7.9024923076923077</v>
      </c>
      <c r="BS66" s="32">
        <f t="shared" si="188"/>
        <v>-5.9268692307692303</v>
      </c>
      <c r="BT66" s="273">
        <f t="shared" si="188"/>
        <v>-5.9268692307692303</v>
      </c>
      <c r="BU66" s="32">
        <f t="shared" si="179"/>
        <v>-7.9024923076923077</v>
      </c>
      <c r="BV66" s="32">
        <f t="shared" si="180"/>
        <v>-8.8903038461538468</v>
      </c>
      <c r="BW66" s="32">
        <f t="shared" si="181"/>
        <v>-7.9024923076923077</v>
      </c>
      <c r="BX66" s="32">
        <f t="shared" si="182"/>
        <v>-5.9268692307692303</v>
      </c>
      <c r="BY66" s="241"/>
      <c r="BZ66" s="32">
        <f t="shared" si="183"/>
        <v>-43.062609999999992</v>
      </c>
      <c r="CA66" s="32">
        <f t="shared" si="183"/>
        <v>-42.920470000000002</v>
      </c>
      <c r="CB66" s="32">
        <f t="shared" si="184"/>
        <v>-38.524650000000001</v>
      </c>
      <c r="CC66" s="9">
        <f>CG66*CC$23</f>
        <v>-39.512461538461537</v>
      </c>
      <c r="CD66" s="9">
        <f t="shared" ref="CD66" si="189">CH66*CD$23</f>
        <v>-64.207750000000004</v>
      </c>
      <c r="CE66" s="9">
        <f t="shared" ref="CE66" si="190">CI66*CE$23</f>
        <v>-79.024923076923073</v>
      </c>
      <c r="CG66" s="138">
        <f t="shared" si="186"/>
        <v>-0.98781153846153846</v>
      </c>
      <c r="CH66" s="138">
        <f t="shared" si="187"/>
        <v>-0.98781153846153846</v>
      </c>
      <c r="CI66" s="138">
        <f t="shared" si="187"/>
        <v>-0.98781153846153846</v>
      </c>
      <c r="CK66" s="52">
        <f>IFERROR(CB66/CK$23,0)</f>
        <v>-0.98781153846153846</v>
      </c>
      <c r="CM66" s="14">
        <f>-SUMIFS('FY25 By Venue Financials'!$N:$N,'FY25 By Venue Financials'!$A:$A,$C66)</f>
        <v>-114.89324000000001</v>
      </c>
      <c r="CN66" s="52">
        <f>CM66/CM$23</f>
        <v>-0.46895200000000004</v>
      </c>
      <c r="CP66" s="112" t="s">
        <v>243</v>
      </c>
      <c r="CQ66" s="112" t="s">
        <v>283</v>
      </c>
      <c r="CS66" s="132"/>
    </row>
    <row r="67" spans="3:97">
      <c r="C67" s="4" t="s">
        <v>156</v>
      </c>
      <c r="D67" s="14">
        <f>-SUMIFS('P&amp;L'!C:C,'P&amp;L'!$A:$A,$C67)/1000</f>
        <v>-0.50576999999999994</v>
      </c>
      <c r="E67" s="14">
        <f>-SUMIFS('P&amp;L'!D:D,'P&amp;L'!$A:$A,$C67)/1000</f>
        <v>-0.98900999999999994</v>
      </c>
      <c r="F67" s="14">
        <f>-SUMIFS('P&amp;L'!E:E,'P&amp;L'!$A:$A,$C67)/1000</f>
        <v>-2.2583299999999999</v>
      </c>
      <c r="G67" s="14">
        <f>-SUMIFS('P&amp;L'!F:F,'P&amp;L'!$A:$A,$C67)/1000</f>
        <v>-0.80603000000000002</v>
      </c>
      <c r="H67" s="14">
        <f>-SUMIFS('P&amp;L'!G:G,'P&amp;L'!$A:$A,$C67)/1000</f>
        <v>-0.16303000000000001</v>
      </c>
      <c r="I67" s="14">
        <f>-SUMIFS('P&amp;L'!H:H,'P&amp;L'!$A:$A,$C67)/1000</f>
        <v>0</v>
      </c>
      <c r="J67" s="14">
        <f>-SUMIFS('P&amp;L'!I:I,'P&amp;L'!$A:$A,$C67)/1000</f>
        <v>-6.88E-2</v>
      </c>
      <c r="K67" s="14">
        <f>-SUMIFS('P&amp;L'!J:J,'P&amp;L'!$A:$A,$C67)/1000</f>
        <v>-5.0000000000000001E-3</v>
      </c>
      <c r="L67" s="14">
        <f>-SUMIFS('P&amp;L'!K:K,'P&amp;L'!$A:$A,$C67)/1000</f>
        <v>-0.18791999999999998</v>
      </c>
      <c r="M67" s="14">
        <f>-SUMIFS('P&amp;L'!L:L,'P&amp;L'!$A:$A,$C67)/1000</f>
        <v>-7.986E-2</v>
      </c>
      <c r="N67" s="14">
        <f>-SUMIFS('P&amp;L'!M:M,'P&amp;L'!$A:$A,$C67)/1000</f>
        <v>-1.9690000000000003E-2</v>
      </c>
      <c r="O67" s="14">
        <f>-SUMIFS('P&amp;L'!N:N,'P&amp;L'!$A:$A,$C67)/1000</f>
        <v>-0.45347999999999999</v>
      </c>
      <c r="P67" s="14">
        <f>-SUMIFS('P&amp;L'!O:O,'P&amp;L'!$A:$A,$C67)/1000</f>
        <v>-0.26662999999999998</v>
      </c>
      <c r="Q67" s="14">
        <f>-SUMIFS('P&amp;L'!P:P,'P&amp;L'!$A:$A,$C67)/1000</f>
        <v>-0.11663999999999999</v>
      </c>
      <c r="R67" s="14">
        <f>-SUMIFS('P&amp;L'!Q:Q,'P&amp;L'!$A:$A,$C67)/1000</f>
        <v>0</v>
      </c>
      <c r="S67" s="14">
        <f>-SUMIFS('P&amp;L'!R:R,'P&amp;L'!$A:$A,$C67)/1000</f>
        <v>0</v>
      </c>
      <c r="T67" s="14">
        <f>-SUMIFS('P&amp;L'!S:S,'P&amp;L'!$A:$A,$C67)/1000</f>
        <v>0</v>
      </c>
      <c r="U67" s="14">
        <f>-SUMIFS('P&amp;L'!T:T,'P&amp;L'!$A:$A,$C67)/1000</f>
        <v>-0.12802000000000002</v>
      </c>
      <c r="V67" s="14">
        <f>-SUMIFS('P&amp;L'!U:U,'P&amp;L'!$A:$A,$C67)/1000</f>
        <v>0</v>
      </c>
      <c r="W67" s="14">
        <f>-SUMIFS('P&amp;L'!V:V,'P&amp;L'!$A:$A,$C67)/1000</f>
        <v>0</v>
      </c>
      <c r="X67" s="14">
        <f>-SUMIFS('P&amp;L'!W:W,'P&amp;L'!$A:$A,$C67)/1000</f>
        <v>0</v>
      </c>
      <c r="Y67" s="14">
        <f>-SUMIFS('P&amp;L'!X:X,'P&amp;L'!$A:$A,$C67)/1000</f>
        <v>0</v>
      </c>
      <c r="Z67" s="14">
        <f>-SUMIFS('P&amp;L'!Y:Y,'P&amp;L'!$A:$A,$C67)/1000</f>
        <v>0</v>
      </c>
      <c r="AA67" s="14">
        <f>-SUMIFS('P&amp;L'!Z:Z,'P&amp;L'!$A:$A,$C67)/1000</f>
        <v>-0.17999000000000001</v>
      </c>
      <c r="AB67" s="14">
        <f>-SUMIFS('P&amp;L'!AA:AA,'P&amp;L'!$A:$A,$C67)/1000</f>
        <v>-0.31798000000000004</v>
      </c>
      <c r="AC67" s="14">
        <f>-SUMIFS('P&amp;L'!AB:AB,'P&amp;L'!$A:$A,$C67)/1000</f>
        <v>-0.14102999999999999</v>
      </c>
      <c r="AD67" s="14">
        <f>-SUMIFS('P&amp;L'!AC:AC,'P&amp;L'!$A:$A,$C67)/1000</f>
        <v>-0.17168</v>
      </c>
      <c r="AE67" s="14">
        <f>-SUMIFS('P&amp;L'!AD:AD,'P&amp;L'!$A:$A,$C67)/1000</f>
        <v>0</v>
      </c>
      <c r="AF67" s="14">
        <f>-SUMIFS('P&amp;L'!AE:AE,'P&amp;L'!$A:$A,$C67)/1000</f>
        <v>0</v>
      </c>
      <c r="AG67" s="14">
        <f>-SUMIFS('P&amp;L'!AF:AF,'P&amp;L'!$A:$A,$C67)/1000</f>
        <v>0</v>
      </c>
      <c r="AH67" s="14">
        <f>-SUMIFS('P&amp;L'!AG:AG,'P&amp;L'!$A:$A,$C67)/1000</f>
        <v>-9.4980000000000009E-2</v>
      </c>
      <c r="AI67" s="253"/>
      <c r="AJ67" s="241"/>
      <c r="AK67" s="32">
        <f t="shared" ref="AK67:AT78" si="191">SUMIFS($CC67:$CE67,$CC$1:$CE$1,AK$3)/12</f>
        <v>-0.52124110619056718</v>
      </c>
      <c r="AL67" s="32">
        <f t="shared" si="191"/>
        <v>-0.52124110619056718</v>
      </c>
      <c r="AM67" s="32">
        <f t="shared" si="191"/>
        <v>-0.52124110619056718</v>
      </c>
      <c r="AN67" s="32">
        <f t="shared" si="191"/>
        <v>-0.52124110619056718</v>
      </c>
      <c r="AO67" s="32">
        <f t="shared" si="191"/>
        <v>-0.52124110619056718</v>
      </c>
      <c r="AP67" s="32">
        <f t="shared" si="191"/>
        <v>-0.52124110619056718</v>
      </c>
      <c r="AQ67" s="32">
        <f t="shared" si="191"/>
        <v>-0.52124110619056718</v>
      </c>
      <c r="AR67" s="32">
        <f t="shared" si="191"/>
        <v>-0.52124110619056718</v>
      </c>
      <c r="AS67" s="32">
        <f t="shared" si="191"/>
        <v>-0.52124110619056718</v>
      </c>
      <c r="AT67" s="32">
        <f t="shared" si="191"/>
        <v>-0.52124110619056718</v>
      </c>
      <c r="AU67" s="32">
        <f t="shared" ref="AU67:BD78" si="192">SUMIFS($CC67:$CE67,$CC$1:$CE$1,AU$3)/12</f>
        <v>-0.52124110619056718</v>
      </c>
      <c r="AV67" s="32">
        <f t="shared" si="192"/>
        <v>-0.52124110619056718</v>
      </c>
      <c r="AW67" s="32">
        <f t="shared" si="192"/>
        <v>-1.0061898687311841</v>
      </c>
      <c r="AX67" s="32">
        <f t="shared" si="192"/>
        <v>-1.0061898687311841</v>
      </c>
      <c r="AY67" s="32">
        <f t="shared" si="192"/>
        <v>-1.0061898687311841</v>
      </c>
      <c r="AZ67" s="32">
        <f t="shared" si="192"/>
        <v>-1.0061898687311841</v>
      </c>
      <c r="BA67" s="32">
        <f t="shared" si="192"/>
        <v>-1.0061898687311841</v>
      </c>
      <c r="BB67" s="32">
        <f t="shared" si="192"/>
        <v>-1.0061898687311841</v>
      </c>
      <c r="BC67" s="32">
        <f t="shared" si="192"/>
        <v>-1.0061898687311841</v>
      </c>
      <c r="BD67" s="32">
        <f t="shared" si="192"/>
        <v>-1.0061898687311841</v>
      </c>
      <c r="BE67" s="32">
        <f t="shared" ref="BE67:BN78" si="193">SUMIFS($CC67:$CE67,$CC$1:$CE$1,BE$3)/12</f>
        <v>-1.0061898687311841</v>
      </c>
      <c r="BF67" s="32">
        <f t="shared" si="193"/>
        <v>-1.0061898687311841</v>
      </c>
      <c r="BG67" s="32">
        <f t="shared" si="193"/>
        <v>-1.0061898687311841</v>
      </c>
      <c r="BH67" s="32">
        <f t="shared" si="193"/>
        <v>-1.0061898687311841</v>
      </c>
      <c r="BI67" s="32">
        <f t="shared" si="193"/>
        <v>-1.4964056235469096</v>
      </c>
      <c r="BJ67" s="32">
        <f t="shared" si="193"/>
        <v>-1.4964056235469096</v>
      </c>
      <c r="BK67" s="32">
        <f t="shared" si="193"/>
        <v>-1.4964056235469096</v>
      </c>
      <c r="BL67" s="32">
        <f t="shared" si="193"/>
        <v>-1.4964056235469096</v>
      </c>
      <c r="BM67" s="32">
        <f t="shared" si="193"/>
        <v>-1.4964056235469096</v>
      </c>
      <c r="BN67" s="32">
        <f t="shared" si="193"/>
        <v>-1.4964056235469096</v>
      </c>
      <c r="BO67" s="32">
        <f t="shared" ref="BO67:BT78" si="194">SUMIFS($CC67:$CE67,$CC$1:$CE$1,BO$3)/12</f>
        <v>-1.4964056235469096</v>
      </c>
      <c r="BP67" s="32">
        <f t="shared" si="194"/>
        <v>-1.4964056235469096</v>
      </c>
      <c r="BQ67" s="32">
        <f t="shared" si="194"/>
        <v>-1.4964056235469096</v>
      </c>
      <c r="BR67" s="32">
        <f t="shared" si="194"/>
        <v>-1.4964056235469096</v>
      </c>
      <c r="BS67" s="32">
        <f t="shared" si="194"/>
        <v>-1.4964056235469096</v>
      </c>
      <c r="BT67" s="273">
        <f t="shared" si="194"/>
        <v>-1.4964056235469096</v>
      </c>
      <c r="BU67" s="32">
        <f t="shared" si="179"/>
        <v>-1.4964056235469096</v>
      </c>
      <c r="BV67" s="32">
        <f t="shared" si="180"/>
        <v>-1.4964056235469096</v>
      </c>
      <c r="BW67" s="32">
        <f t="shared" si="181"/>
        <v>-1.4964056235469096</v>
      </c>
      <c r="BX67" s="32">
        <f t="shared" si="182"/>
        <v>-1.4964056235469096</v>
      </c>
      <c r="BY67" s="241"/>
      <c r="BZ67" s="32">
        <f t="shared" si="183"/>
        <v>-5.5369200000000003</v>
      </c>
      <c r="CA67" s="32">
        <f t="shared" si="183"/>
        <v>-0.69128000000000001</v>
      </c>
      <c r="CB67" s="32">
        <f t="shared" si="184"/>
        <v>-0.90566000000000013</v>
      </c>
      <c r="CC67" s="9">
        <f t="shared" ref="CC67:CC78" si="195">CC$38*CG67</f>
        <v>-6.2548932742868066</v>
      </c>
      <c r="CD67" s="9">
        <f t="shared" ref="CD67:CD78" si="196">CD$38*CH67</f>
        <v>-12.074278424774208</v>
      </c>
      <c r="CE67" s="9">
        <f t="shared" ref="CE67:CE78" si="197">CE$38*CI67</f>
        <v>-17.956867482562917</v>
      </c>
      <c r="CG67" s="129">
        <f t="shared" ref="CG67:CI76" si="198">$CN67</f>
        <v>-6.9009766261416989E-3</v>
      </c>
      <c r="CH67" s="129">
        <f t="shared" si="198"/>
        <v>-6.9009766261416989E-3</v>
      </c>
      <c r="CI67" s="129">
        <f t="shared" si="198"/>
        <v>-6.9009766261416989E-3</v>
      </c>
      <c r="CK67" s="62">
        <f>IFERROR(CB67/CB$38,0)</f>
        <v>-1.6147995992795078E-3</v>
      </c>
      <c r="CM67" s="14">
        <f>-SUMIFS('FY25 By Venue Financials'!$N:$N,'FY25 By Venue Financials'!$A:$A,$C67)</f>
        <v>-48.675590000000007</v>
      </c>
      <c r="CN67" s="62">
        <f>IFERROR(CM67/CM$38,0)</f>
        <v>-6.9009766261416989E-3</v>
      </c>
      <c r="CP67" s="112" t="s">
        <v>411</v>
      </c>
      <c r="CQ67" s="112" t="s">
        <v>486</v>
      </c>
      <c r="CS67" s="132"/>
    </row>
    <row r="68" spans="3:97">
      <c r="C68" s="4" t="s">
        <v>159</v>
      </c>
      <c r="D68" s="14">
        <f>-SUMIFS('P&amp;L'!C:C,'P&amp;L'!$A:$A,$C68)/1000</f>
        <v>-0.25090000000000001</v>
      </c>
      <c r="E68" s="14">
        <f>-SUMIFS('P&amp;L'!D:D,'P&amp;L'!$A:$A,$C68)/1000</f>
        <v>-0.17361000000000001</v>
      </c>
      <c r="F68" s="14">
        <f>-SUMIFS('P&amp;L'!E:E,'P&amp;L'!$A:$A,$C68)/1000</f>
        <v>-1.1950000000000001</v>
      </c>
      <c r="G68" s="14">
        <f>-SUMIFS('P&amp;L'!F:F,'P&amp;L'!$A:$A,$C68)/1000</f>
        <v>-0.37748999999999999</v>
      </c>
      <c r="H68" s="14">
        <f>-SUMIFS('P&amp;L'!G:G,'P&amp;L'!$A:$A,$C68)/1000</f>
        <v>-0.25190000000000001</v>
      </c>
      <c r="I68" s="14">
        <f>-SUMIFS('P&amp;L'!H:H,'P&amp;L'!$A:$A,$C68)/1000</f>
        <v>-0.38469999999999999</v>
      </c>
      <c r="J68" s="14">
        <f>-SUMIFS('P&amp;L'!I:I,'P&amp;L'!$A:$A,$C68)/1000</f>
        <v>-0.18681999999999999</v>
      </c>
      <c r="K68" s="14">
        <f>-SUMIFS('P&amp;L'!J:J,'P&amp;L'!$A:$A,$C68)/1000</f>
        <v>-2.6120399999999999</v>
      </c>
      <c r="L68" s="14">
        <f>-SUMIFS('P&amp;L'!K:K,'P&amp;L'!$A:$A,$C68)/1000</f>
        <v>-0.52725</v>
      </c>
      <c r="M68" s="14">
        <f>-SUMIFS('P&amp;L'!L:L,'P&amp;L'!$A:$A,$C68)/1000</f>
        <v>-1.19323</v>
      </c>
      <c r="N68" s="14">
        <f>-SUMIFS('P&amp;L'!M:M,'P&amp;L'!$A:$A,$C68)/1000</f>
        <v>-1.0730999999999999</v>
      </c>
      <c r="O68" s="14">
        <f>-SUMIFS('P&amp;L'!N:N,'P&amp;L'!$A:$A,$C68)/1000</f>
        <v>-8.2013999999999996</v>
      </c>
      <c r="P68" s="14">
        <f>-SUMIFS('P&amp;L'!O:O,'P&amp;L'!$A:$A,$C68)/1000</f>
        <v>-0.24642</v>
      </c>
      <c r="Q68" s="14">
        <f>-SUMIFS('P&amp;L'!P:P,'P&amp;L'!$A:$A,$C68)/1000</f>
        <v>-0.83755999999999997</v>
      </c>
      <c r="R68" s="14">
        <f>-SUMIFS('P&amp;L'!Q:Q,'P&amp;L'!$A:$A,$C68)/1000</f>
        <v>-1.47705</v>
      </c>
      <c r="S68" s="14">
        <f>-SUMIFS('P&amp;L'!R:R,'P&amp;L'!$A:$A,$C68)/1000</f>
        <v>-0.39637</v>
      </c>
      <c r="T68" s="14">
        <f>-SUMIFS('P&amp;L'!S:S,'P&amp;L'!$A:$A,$C68)/1000</f>
        <v>-0.42069000000000006</v>
      </c>
      <c r="U68" s="14">
        <f>-SUMIFS('P&amp;L'!T:T,'P&amp;L'!$A:$A,$C68)/1000</f>
        <v>-0.50200999999999996</v>
      </c>
      <c r="V68" s="14">
        <f>-SUMIFS('P&amp;L'!U:U,'P&amp;L'!$A:$A,$C68)/1000</f>
        <v>-0.39173000000000002</v>
      </c>
      <c r="W68" s="14">
        <f>-SUMIFS('P&amp;L'!V:V,'P&amp;L'!$A:$A,$C68)/1000</f>
        <v>-0.28337000000000001</v>
      </c>
      <c r="X68" s="14">
        <f>-SUMIFS('P&amp;L'!W:W,'P&amp;L'!$A:$A,$C68)/1000</f>
        <v>-0.19037999999999999</v>
      </c>
      <c r="Y68" s="14">
        <f>-SUMIFS('P&amp;L'!X:X,'P&amp;L'!$A:$A,$C68)/1000</f>
        <v>-7.687999999999999E-2</v>
      </c>
      <c r="Z68" s="14">
        <f>-SUMIFS('P&amp;L'!Y:Y,'P&amp;L'!$A:$A,$C68)/1000</f>
        <v>-0.30016999999999999</v>
      </c>
      <c r="AA68" s="14">
        <f>-SUMIFS('P&amp;L'!Z:Z,'P&amp;L'!$A:$A,$C68)/1000</f>
        <v>-0.28169</v>
      </c>
      <c r="AB68" s="14">
        <f>-SUMIFS('P&amp;L'!AA:AA,'P&amp;L'!$A:$A,$C68)/1000</f>
        <v>-1.28668</v>
      </c>
      <c r="AC68" s="14">
        <f>-SUMIFS('P&amp;L'!AB:AB,'P&amp;L'!$A:$A,$C68)/1000</f>
        <v>-1.1258800000000002</v>
      </c>
      <c r="AD68" s="14">
        <f>-SUMIFS('P&amp;L'!AC:AC,'P&amp;L'!$A:$A,$C68)/1000</f>
        <v>-2.3134200000000003</v>
      </c>
      <c r="AE68" s="14">
        <f>-SUMIFS('P&amp;L'!AD:AD,'P&amp;L'!$A:$A,$C68)/1000</f>
        <v>-0.21717999999999998</v>
      </c>
      <c r="AF68" s="14">
        <f>-SUMIFS('P&amp;L'!AE:AE,'P&amp;L'!$A:$A,$C68)/1000</f>
        <v>-0.70244000000000006</v>
      </c>
      <c r="AG68" s="14">
        <f>-SUMIFS('P&amp;L'!AF:AF,'P&amp;L'!$A:$A,$C68)/1000</f>
        <v>-0.21718000000000001</v>
      </c>
      <c r="AH68" s="14">
        <f>-SUMIFS('P&amp;L'!AG:AG,'P&amp;L'!$A:$A,$C68)/1000</f>
        <v>-0.13</v>
      </c>
      <c r="AI68" s="253"/>
      <c r="AJ68" s="241"/>
      <c r="AK68" s="32">
        <f t="shared" si="191"/>
        <v>-7.984867199369379E-2</v>
      </c>
      <c r="AL68" s="32">
        <f t="shared" si="191"/>
        <v>-7.984867199369379E-2</v>
      </c>
      <c r="AM68" s="32">
        <f t="shared" si="191"/>
        <v>-7.984867199369379E-2</v>
      </c>
      <c r="AN68" s="32">
        <f t="shared" si="191"/>
        <v>-7.984867199369379E-2</v>
      </c>
      <c r="AO68" s="32">
        <f t="shared" si="191"/>
        <v>-7.984867199369379E-2</v>
      </c>
      <c r="AP68" s="32">
        <f t="shared" si="191"/>
        <v>-7.984867199369379E-2</v>
      </c>
      <c r="AQ68" s="32">
        <f t="shared" si="191"/>
        <v>-7.984867199369379E-2</v>
      </c>
      <c r="AR68" s="32">
        <f t="shared" si="191"/>
        <v>-7.984867199369379E-2</v>
      </c>
      <c r="AS68" s="32">
        <f t="shared" si="191"/>
        <v>-7.984867199369379E-2</v>
      </c>
      <c r="AT68" s="32">
        <f t="shared" si="191"/>
        <v>-7.984867199369379E-2</v>
      </c>
      <c r="AU68" s="32">
        <f t="shared" si="192"/>
        <v>-7.984867199369379E-2</v>
      </c>
      <c r="AV68" s="32">
        <f t="shared" si="192"/>
        <v>-7.984867199369379E-2</v>
      </c>
      <c r="AW68" s="32">
        <f t="shared" si="192"/>
        <v>-0.15413773748365986</v>
      </c>
      <c r="AX68" s="32">
        <f t="shared" si="192"/>
        <v>-0.15413773748365986</v>
      </c>
      <c r="AY68" s="32">
        <f t="shared" si="192"/>
        <v>-0.15413773748365986</v>
      </c>
      <c r="AZ68" s="32">
        <f t="shared" si="192"/>
        <v>-0.15413773748365986</v>
      </c>
      <c r="BA68" s="32">
        <f t="shared" si="192"/>
        <v>-0.15413773748365986</v>
      </c>
      <c r="BB68" s="32">
        <f t="shared" si="192"/>
        <v>-0.15413773748365986</v>
      </c>
      <c r="BC68" s="32">
        <f t="shared" si="192"/>
        <v>-0.15413773748365986</v>
      </c>
      <c r="BD68" s="32">
        <f t="shared" si="192"/>
        <v>-0.15413773748365986</v>
      </c>
      <c r="BE68" s="32">
        <f t="shared" si="193"/>
        <v>-0.15413773748365986</v>
      </c>
      <c r="BF68" s="32">
        <f t="shared" si="193"/>
        <v>-0.15413773748365986</v>
      </c>
      <c r="BG68" s="32">
        <f t="shared" si="193"/>
        <v>-0.15413773748365986</v>
      </c>
      <c r="BH68" s="32">
        <f t="shared" si="193"/>
        <v>-0.15413773748365986</v>
      </c>
      <c r="BI68" s="32">
        <f t="shared" si="193"/>
        <v>-0.22923365096311413</v>
      </c>
      <c r="BJ68" s="32">
        <f t="shared" si="193"/>
        <v>-0.22923365096311413</v>
      </c>
      <c r="BK68" s="32">
        <f t="shared" si="193"/>
        <v>-0.22923365096311413</v>
      </c>
      <c r="BL68" s="32">
        <f t="shared" si="193"/>
        <v>-0.22923365096311413</v>
      </c>
      <c r="BM68" s="32">
        <f t="shared" si="193"/>
        <v>-0.22923365096311413</v>
      </c>
      <c r="BN68" s="32">
        <f t="shared" si="193"/>
        <v>-0.22923365096311413</v>
      </c>
      <c r="BO68" s="32">
        <f t="shared" si="194"/>
        <v>-0.22923365096311413</v>
      </c>
      <c r="BP68" s="32">
        <f t="shared" si="194"/>
        <v>-0.22923365096311413</v>
      </c>
      <c r="BQ68" s="32">
        <f t="shared" si="194"/>
        <v>-0.22923365096311413</v>
      </c>
      <c r="BR68" s="32">
        <f t="shared" si="194"/>
        <v>-0.22923365096311413</v>
      </c>
      <c r="BS68" s="32">
        <f t="shared" si="194"/>
        <v>-0.22923365096311413</v>
      </c>
      <c r="BT68" s="273">
        <f t="shared" si="194"/>
        <v>-0.22923365096311413</v>
      </c>
      <c r="BU68" s="32">
        <f t="shared" si="179"/>
        <v>-0.22923365096311413</v>
      </c>
      <c r="BV68" s="32">
        <f t="shared" si="180"/>
        <v>-0.22923365096311413</v>
      </c>
      <c r="BW68" s="32">
        <f t="shared" si="181"/>
        <v>-0.22923365096311413</v>
      </c>
      <c r="BX68" s="32">
        <f t="shared" si="182"/>
        <v>-0.22923365096311413</v>
      </c>
      <c r="BY68" s="241"/>
      <c r="BZ68" s="32">
        <f t="shared" si="183"/>
        <v>-16.427439999999997</v>
      </c>
      <c r="CA68" s="32">
        <f t="shared" si="183"/>
        <v>-5.4043199999999993</v>
      </c>
      <c r="CB68" s="32">
        <f t="shared" si="184"/>
        <v>-7.1252700000000004</v>
      </c>
      <c r="CC68" s="9">
        <f t="shared" si="195"/>
        <v>-0.95818406392432542</v>
      </c>
      <c r="CD68" s="9">
        <f t="shared" si="196"/>
        <v>-1.8496528498039182</v>
      </c>
      <c r="CE68" s="9">
        <f t="shared" si="197"/>
        <v>-2.7508038115573696</v>
      </c>
      <c r="CG68" s="129">
        <f t="shared" si="198"/>
        <v>-1.0571572589201676E-3</v>
      </c>
      <c r="CH68" s="129">
        <f t="shared" si="198"/>
        <v>-1.0571572589201676E-3</v>
      </c>
      <c r="CI68" s="129">
        <f t="shared" si="198"/>
        <v>-1.0571572589201676E-3</v>
      </c>
      <c r="CK68" s="62">
        <f>IFERROR(CB68/CB$38,0)</f>
        <v>-1.2704417928094756E-2</v>
      </c>
      <c r="CM68" s="14">
        <f>-SUMIFS('FY25 By Venue Financials'!$N:$N,'FY25 By Venue Financials'!$A:$A,$C68)</f>
        <v>-7.4565900000000003</v>
      </c>
      <c r="CN68" s="62">
        <f>IFERROR(CM68/CM$38,0)</f>
        <v>-1.0571572589201676E-3</v>
      </c>
      <c r="CP68" s="112" t="s">
        <v>411</v>
      </c>
      <c r="CQ68" s="112" t="s">
        <v>486</v>
      </c>
      <c r="CS68" s="132"/>
    </row>
    <row r="69" spans="3:97">
      <c r="C69" s="4" t="s">
        <v>164</v>
      </c>
      <c r="D69" s="14">
        <f>-SUMIFS('P&amp;L'!C:C,'P&amp;L'!$A:$A,$C69)/1000</f>
        <v>-0.26554</v>
      </c>
      <c r="E69" s="14">
        <f>-SUMIFS('P&amp;L'!D:D,'P&amp;L'!$A:$A,$C69)/1000</f>
        <v>-2.1508400000000001</v>
      </c>
      <c r="F69" s="14">
        <f>-SUMIFS('P&amp;L'!E:E,'P&amp;L'!$A:$A,$C69)/1000</f>
        <v>-0.64376999999999995</v>
      </c>
      <c r="G69" s="14">
        <f>-SUMIFS('P&amp;L'!F:F,'P&amp;L'!$A:$A,$C69)/1000</f>
        <v>-0.61103999999999992</v>
      </c>
      <c r="H69" s="14">
        <f>-SUMIFS('P&amp;L'!G:G,'P&amp;L'!$A:$A,$C69)/1000</f>
        <v>-0.54609000000000008</v>
      </c>
      <c r="I69" s="14">
        <f>-SUMIFS('P&amp;L'!H:H,'P&amp;L'!$A:$A,$C69)/1000</f>
        <v>-1.0462100000000001</v>
      </c>
      <c r="J69" s="14">
        <f>-SUMIFS('P&amp;L'!I:I,'P&amp;L'!$A:$A,$C69)/1000</f>
        <v>-0.39597000000000004</v>
      </c>
      <c r="K69" s="14">
        <f>-SUMIFS('P&amp;L'!J:J,'P&amp;L'!$A:$A,$C69)/1000</f>
        <v>0</v>
      </c>
      <c r="L69" s="14">
        <f>-SUMIFS('P&amp;L'!K:K,'P&amp;L'!$A:$A,$C69)/1000</f>
        <v>0</v>
      </c>
      <c r="M69" s="14">
        <f>-SUMIFS('P&amp;L'!L:L,'P&amp;L'!$A:$A,$C69)/1000</f>
        <v>0</v>
      </c>
      <c r="N69" s="14">
        <f>-SUMIFS('P&amp;L'!M:M,'P&amp;L'!$A:$A,$C69)/1000</f>
        <v>0</v>
      </c>
      <c r="O69" s="14">
        <f>-SUMIFS('P&amp;L'!N:N,'P&amp;L'!$A:$A,$C69)/1000</f>
        <v>0</v>
      </c>
      <c r="P69" s="14">
        <f>-SUMIFS('P&amp;L'!O:O,'P&amp;L'!$A:$A,$C69)/1000</f>
        <v>-1.9559900000000001</v>
      </c>
      <c r="Q69" s="14">
        <f>-SUMIFS('P&amp;L'!P:P,'P&amp;L'!$A:$A,$C69)/1000</f>
        <v>0</v>
      </c>
      <c r="R69" s="14">
        <f>-SUMIFS('P&amp;L'!Q:Q,'P&amp;L'!$A:$A,$C69)/1000</f>
        <v>0</v>
      </c>
      <c r="S69" s="14">
        <f>-SUMIFS('P&amp;L'!R:R,'P&amp;L'!$A:$A,$C69)/1000</f>
        <v>0</v>
      </c>
      <c r="T69" s="14">
        <f>-SUMIFS('P&amp;L'!S:S,'P&amp;L'!$A:$A,$C69)/1000</f>
        <v>0</v>
      </c>
      <c r="U69" s="14">
        <f>-SUMIFS('P&amp;L'!T:T,'P&amp;L'!$A:$A,$C69)/1000</f>
        <v>0</v>
      </c>
      <c r="V69" s="14">
        <f>-SUMIFS('P&amp;L'!U:U,'P&amp;L'!$A:$A,$C69)/1000</f>
        <v>0</v>
      </c>
      <c r="W69" s="14">
        <f>-SUMIFS('P&amp;L'!V:V,'P&amp;L'!$A:$A,$C69)/1000</f>
        <v>0</v>
      </c>
      <c r="X69" s="14">
        <f>-SUMIFS('P&amp;L'!W:W,'P&amp;L'!$A:$A,$C69)/1000</f>
        <v>-1.7199</v>
      </c>
      <c r="Y69" s="14">
        <f>-SUMIFS('P&amp;L'!X:X,'P&amp;L'!$A:$A,$C69)/1000</f>
        <v>0</v>
      </c>
      <c r="Z69" s="14">
        <f>-SUMIFS('P&amp;L'!Y:Y,'P&amp;L'!$A:$A,$C69)/1000</f>
        <v>0</v>
      </c>
      <c r="AA69" s="14">
        <f>-SUMIFS('P&amp;L'!Z:Z,'P&amp;L'!$A:$A,$C69)/1000</f>
        <v>0</v>
      </c>
      <c r="AB69" s="14">
        <f>-SUMIFS('P&amp;L'!AA:AA,'P&amp;L'!$A:$A,$C69)/1000</f>
        <v>0</v>
      </c>
      <c r="AC69" s="14">
        <f>-SUMIFS('P&amp;L'!AB:AB,'P&amp;L'!$A:$A,$C69)/1000</f>
        <v>0</v>
      </c>
      <c r="AD69" s="14">
        <f>-SUMIFS('P&amp;L'!AC:AC,'P&amp;L'!$A:$A,$C69)/1000</f>
        <v>0</v>
      </c>
      <c r="AE69" s="14">
        <f>-SUMIFS('P&amp;L'!AD:AD,'P&amp;L'!$A:$A,$C69)/1000</f>
        <v>-2.044E-2</v>
      </c>
      <c r="AF69" s="14">
        <f>-SUMIFS('P&amp;L'!AE:AE,'P&amp;L'!$A:$A,$C69)/1000</f>
        <v>0</v>
      </c>
      <c r="AG69" s="14">
        <f>-SUMIFS('P&amp;L'!AF:AF,'P&amp;L'!$A:$A,$C69)/1000</f>
        <v>0</v>
      </c>
      <c r="AH69" s="14">
        <f>-SUMIFS('P&amp;L'!AG:AG,'P&amp;L'!$A:$A,$C69)/1000</f>
        <v>-2.6550400000000001</v>
      </c>
      <c r="AI69" s="253"/>
      <c r="AJ69" s="241"/>
      <c r="AK69" s="32">
        <f t="shared" si="191"/>
        <v>-2.550179350160087E-2</v>
      </c>
      <c r="AL69" s="32">
        <f t="shared" si="191"/>
        <v>-2.550179350160087E-2</v>
      </c>
      <c r="AM69" s="32">
        <f t="shared" si="191"/>
        <v>-2.550179350160087E-2</v>
      </c>
      <c r="AN69" s="32">
        <f t="shared" si="191"/>
        <v>-2.550179350160087E-2</v>
      </c>
      <c r="AO69" s="32">
        <f t="shared" si="191"/>
        <v>-2.550179350160087E-2</v>
      </c>
      <c r="AP69" s="32">
        <f t="shared" si="191"/>
        <v>-2.550179350160087E-2</v>
      </c>
      <c r="AQ69" s="32">
        <f t="shared" si="191"/>
        <v>-2.550179350160087E-2</v>
      </c>
      <c r="AR69" s="32">
        <f t="shared" si="191"/>
        <v>-2.550179350160087E-2</v>
      </c>
      <c r="AS69" s="32">
        <f t="shared" si="191"/>
        <v>-2.550179350160087E-2</v>
      </c>
      <c r="AT69" s="32">
        <f t="shared" si="191"/>
        <v>-2.550179350160087E-2</v>
      </c>
      <c r="AU69" s="32">
        <f t="shared" si="192"/>
        <v>-2.550179350160087E-2</v>
      </c>
      <c r="AV69" s="32">
        <f t="shared" si="192"/>
        <v>-2.550179350160087E-2</v>
      </c>
      <c r="AW69" s="32">
        <f t="shared" si="192"/>
        <v>-4.9227979050455589E-2</v>
      </c>
      <c r="AX69" s="32">
        <f t="shared" si="192"/>
        <v>-4.9227979050455589E-2</v>
      </c>
      <c r="AY69" s="32">
        <f t="shared" si="192"/>
        <v>-4.9227979050455589E-2</v>
      </c>
      <c r="AZ69" s="32">
        <f t="shared" si="192"/>
        <v>-4.9227979050455589E-2</v>
      </c>
      <c r="BA69" s="32">
        <f t="shared" si="192"/>
        <v>-4.9227979050455589E-2</v>
      </c>
      <c r="BB69" s="32">
        <f t="shared" si="192"/>
        <v>-4.9227979050455589E-2</v>
      </c>
      <c r="BC69" s="32">
        <f t="shared" si="192"/>
        <v>-4.9227979050455589E-2</v>
      </c>
      <c r="BD69" s="32">
        <f t="shared" si="192"/>
        <v>-4.9227979050455589E-2</v>
      </c>
      <c r="BE69" s="32">
        <f t="shared" si="193"/>
        <v>-4.9227979050455589E-2</v>
      </c>
      <c r="BF69" s="32">
        <f t="shared" si="193"/>
        <v>-4.9227979050455589E-2</v>
      </c>
      <c r="BG69" s="32">
        <f t="shared" si="193"/>
        <v>-4.9227979050455589E-2</v>
      </c>
      <c r="BH69" s="32">
        <f t="shared" si="193"/>
        <v>-4.9227979050455589E-2</v>
      </c>
      <c r="BI69" s="32">
        <f t="shared" si="193"/>
        <v>-7.3211852927761611E-2</v>
      </c>
      <c r="BJ69" s="32">
        <f t="shared" si="193"/>
        <v>-7.3211852927761611E-2</v>
      </c>
      <c r="BK69" s="32">
        <f t="shared" si="193"/>
        <v>-7.3211852927761611E-2</v>
      </c>
      <c r="BL69" s="32">
        <f t="shared" si="193"/>
        <v>-7.3211852927761611E-2</v>
      </c>
      <c r="BM69" s="32">
        <f t="shared" si="193"/>
        <v>-7.3211852927761611E-2</v>
      </c>
      <c r="BN69" s="32">
        <f t="shared" si="193"/>
        <v>-7.3211852927761611E-2</v>
      </c>
      <c r="BO69" s="32">
        <f t="shared" si="194"/>
        <v>-7.3211852927761611E-2</v>
      </c>
      <c r="BP69" s="32">
        <f t="shared" si="194"/>
        <v>-7.3211852927761611E-2</v>
      </c>
      <c r="BQ69" s="32">
        <f t="shared" si="194"/>
        <v>-7.3211852927761611E-2</v>
      </c>
      <c r="BR69" s="32">
        <f t="shared" si="194"/>
        <v>-7.3211852927761611E-2</v>
      </c>
      <c r="BS69" s="32">
        <f t="shared" si="194"/>
        <v>-7.3211852927761611E-2</v>
      </c>
      <c r="BT69" s="273">
        <f t="shared" si="194"/>
        <v>-7.3211852927761611E-2</v>
      </c>
      <c r="BU69" s="32">
        <f t="shared" si="179"/>
        <v>-7.3211852927761611E-2</v>
      </c>
      <c r="BV69" s="32">
        <f t="shared" si="180"/>
        <v>-7.3211852927761611E-2</v>
      </c>
      <c r="BW69" s="32">
        <f t="shared" si="181"/>
        <v>-7.3211852927761611E-2</v>
      </c>
      <c r="BX69" s="32">
        <f t="shared" si="182"/>
        <v>-7.3211852927761611E-2</v>
      </c>
      <c r="BY69" s="241"/>
      <c r="BZ69" s="32">
        <f t="shared" si="183"/>
        <v>-5.659460000000001</v>
      </c>
      <c r="CA69" s="32">
        <f t="shared" si="183"/>
        <v>-3.6758899999999999</v>
      </c>
      <c r="CB69" s="32">
        <f t="shared" si="184"/>
        <v>-4.3953800000000003</v>
      </c>
      <c r="CC69" s="9">
        <f t="shared" si="195"/>
        <v>-0.30602152201921046</v>
      </c>
      <c r="CD69" s="9">
        <f t="shared" si="196"/>
        <v>-0.59073574860546707</v>
      </c>
      <c r="CE69" s="9">
        <f t="shared" si="197"/>
        <v>-0.87854223513313934</v>
      </c>
      <c r="CG69" s="129">
        <f t="shared" si="198"/>
        <v>-3.3763123972593677E-4</v>
      </c>
      <c r="CH69" s="129">
        <f t="shared" si="198"/>
        <v>-3.3763123972593677E-4</v>
      </c>
      <c r="CI69" s="129">
        <f t="shared" si="198"/>
        <v>-3.3763123972593677E-4</v>
      </c>
      <c r="CK69" s="62">
        <f>IFERROR(CB69/CB$38,0)</f>
        <v>-7.8370004887939864E-3</v>
      </c>
      <c r="CM69" s="14">
        <f>-SUMIFS('FY25 By Venue Financials'!$N:$N,'FY25 By Venue Financials'!$A:$A,$C69)</f>
        <v>-2.3814600000000001</v>
      </c>
      <c r="CN69" s="62">
        <f>IFERROR(CM69/CM$38,0)</f>
        <v>-3.3763123972593677E-4</v>
      </c>
      <c r="CP69" s="112" t="s">
        <v>411</v>
      </c>
      <c r="CQ69" s="112" t="s">
        <v>486</v>
      </c>
      <c r="CS69" s="132"/>
    </row>
    <row r="70" spans="3:97">
      <c r="C70" s="4" t="s">
        <v>170</v>
      </c>
      <c r="D70" s="14">
        <f>-SUMIFS('P&amp;L'!C:C,'P&amp;L'!$A:$A,$C70)/1000</f>
        <v>0</v>
      </c>
      <c r="E70" s="14">
        <f>-SUMIFS('P&amp;L'!D:D,'P&amp;L'!$A:$A,$C70)/1000</f>
        <v>0</v>
      </c>
      <c r="F70" s="14">
        <f>-SUMIFS('P&amp;L'!E:E,'P&amp;L'!$A:$A,$C70)/1000</f>
        <v>0</v>
      </c>
      <c r="G70" s="14">
        <f>-SUMIFS('P&amp;L'!F:F,'P&amp;L'!$A:$A,$C70)/1000</f>
        <v>0</v>
      </c>
      <c r="H70" s="14">
        <f>-SUMIFS('P&amp;L'!G:G,'P&amp;L'!$A:$A,$C70)/1000</f>
        <v>0</v>
      </c>
      <c r="I70" s="14">
        <f>-SUMIFS('P&amp;L'!H:H,'P&amp;L'!$A:$A,$C70)/1000</f>
        <v>0</v>
      </c>
      <c r="J70" s="14">
        <f>-SUMIFS('P&amp;L'!I:I,'P&amp;L'!$A:$A,$C70)/1000</f>
        <v>0</v>
      </c>
      <c r="K70" s="14">
        <f>-SUMIFS('P&amp;L'!J:J,'P&amp;L'!$A:$A,$C70)/1000</f>
        <v>0</v>
      </c>
      <c r="L70" s="14">
        <f>-SUMIFS('P&amp;L'!K:K,'P&amp;L'!$A:$A,$C70)/1000</f>
        <v>0</v>
      </c>
      <c r="M70" s="14">
        <f>-SUMIFS('P&amp;L'!L:L,'P&amp;L'!$A:$A,$C70)/1000</f>
        <v>0</v>
      </c>
      <c r="N70" s="14">
        <f>-SUMIFS('P&amp;L'!M:M,'P&amp;L'!$A:$A,$C70)/1000</f>
        <v>0</v>
      </c>
      <c r="O70" s="14">
        <f>-SUMIFS('P&amp;L'!N:N,'P&amp;L'!$A:$A,$C70)/1000</f>
        <v>0</v>
      </c>
      <c r="P70" s="14">
        <f>-SUMIFS('P&amp;L'!O:O,'P&amp;L'!$A:$A,$C70)/1000</f>
        <v>0</v>
      </c>
      <c r="Q70" s="14">
        <f>-SUMIFS('P&amp;L'!P:P,'P&amp;L'!$A:$A,$C70)/1000</f>
        <v>0</v>
      </c>
      <c r="R70" s="14">
        <f>-SUMIFS('P&amp;L'!Q:Q,'P&amp;L'!$A:$A,$C70)/1000</f>
        <v>0</v>
      </c>
      <c r="S70" s="14">
        <f>-SUMIFS('P&amp;L'!R:R,'P&amp;L'!$A:$A,$C70)/1000</f>
        <v>0</v>
      </c>
      <c r="T70" s="14">
        <f>-SUMIFS('P&amp;L'!S:S,'P&amp;L'!$A:$A,$C70)/1000</f>
        <v>0</v>
      </c>
      <c r="U70" s="14">
        <f>-SUMIFS('P&amp;L'!T:T,'P&amp;L'!$A:$A,$C70)/1000</f>
        <v>0</v>
      </c>
      <c r="V70" s="14">
        <f>-SUMIFS('P&amp;L'!U:U,'P&amp;L'!$A:$A,$C70)/1000</f>
        <v>0</v>
      </c>
      <c r="W70" s="14">
        <f>-SUMIFS('P&amp;L'!V:V,'P&amp;L'!$A:$A,$C70)/1000</f>
        <v>0</v>
      </c>
      <c r="X70" s="14">
        <f>-SUMIFS('P&amp;L'!W:W,'P&amp;L'!$A:$A,$C70)/1000</f>
        <v>0</v>
      </c>
      <c r="Y70" s="14">
        <f>-SUMIFS('P&amp;L'!X:X,'P&amp;L'!$A:$A,$C70)/1000</f>
        <v>0</v>
      </c>
      <c r="Z70" s="14">
        <f>-SUMIFS('P&amp;L'!Y:Y,'P&amp;L'!$A:$A,$C70)/1000</f>
        <v>0</v>
      </c>
      <c r="AA70" s="14">
        <f>-SUMIFS('P&amp;L'!Z:Z,'P&amp;L'!$A:$A,$C70)/1000</f>
        <v>0</v>
      </c>
      <c r="AB70" s="14">
        <f>-SUMIFS('P&amp;L'!AA:AA,'P&amp;L'!$A:$A,$C70)/1000</f>
        <v>0</v>
      </c>
      <c r="AC70" s="14">
        <f>-SUMIFS('P&amp;L'!AB:AB,'P&amp;L'!$A:$A,$C70)/1000</f>
        <v>0</v>
      </c>
      <c r="AD70" s="14">
        <f>-SUMIFS('P&amp;L'!AC:AC,'P&amp;L'!$A:$A,$C70)/1000</f>
        <v>0</v>
      </c>
      <c r="AE70" s="14">
        <f>-SUMIFS('P&amp;L'!AD:AD,'P&amp;L'!$A:$A,$C70)/1000</f>
        <v>0</v>
      </c>
      <c r="AF70" s="14">
        <f>-SUMIFS('P&amp;L'!AE:AE,'P&amp;L'!$A:$A,$C70)/1000</f>
        <v>0</v>
      </c>
      <c r="AG70" s="14">
        <f>-SUMIFS('P&amp;L'!AF:AF,'P&amp;L'!$A:$A,$C70)/1000</f>
        <v>0</v>
      </c>
      <c r="AH70" s="14">
        <f>-SUMIFS('P&amp;L'!AG:AG,'P&amp;L'!$A:$A,$C70)/1000</f>
        <v>0</v>
      </c>
      <c r="AI70" s="253"/>
      <c r="AJ70" s="241"/>
      <c r="AK70" s="32">
        <f t="shared" si="191"/>
        <v>-2.1159937164245174E-3</v>
      </c>
      <c r="AL70" s="32">
        <f t="shared" si="191"/>
        <v>-2.1159937164245174E-3</v>
      </c>
      <c r="AM70" s="32">
        <f t="shared" si="191"/>
        <v>-2.1159937164245174E-3</v>
      </c>
      <c r="AN70" s="32">
        <f t="shared" si="191"/>
        <v>-2.1159937164245174E-3</v>
      </c>
      <c r="AO70" s="32">
        <f t="shared" si="191"/>
        <v>-2.1159937164245174E-3</v>
      </c>
      <c r="AP70" s="32">
        <f t="shared" si="191"/>
        <v>-2.1159937164245174E-3</v>
      </c>
      <c r="AQ70" s="32">
        <f t="shared" si="191"/>
        <v>-2.1159937164245174E-3</v>
      </c>
      <c r="AR70" s="32">
        <f t="shared" si="191"/>
        <v>-2.1159937164245174E-3</v>
      </c>
      <c r="AS70" s="32">
        <f t="shared" si="191"/>
        <v>-2.1159937164245174E-3</v>
      </c>
      <c r="AT70" s="32">
        <f t="shared" si="191"/>
        <v>-2.1159937164245174E-3</v>
      </c>
      <c r="AU70" s="32">
        <f t="shared" si="192"/>
        <v>-2.1159937164245174E-3</v>
      </c>
      <c r="AV70" s="32">
        <f t="shared" si="192"/>
        <v>-2.1159937164245174E-3</v>
      </c>
      <c r="AW70" s="32">
        <f t="shared" si="192"/>
        <v>-4.0846575883575721E-3</v>
      </c>
      <c r="AX70" s="32">
        <f t="shared" si="192"/>
        <v>-4.0846575883575721E-3</v>
      </c>
      <c r="AY70" s="32">
        <f t="shared" si="192"/>
        <v>-4.0846575883575721E-3</v>
      </c>
      <c r="AZ70" s="32">
        <f t="shared" si="192"/>
        <v>-4.0846575883575721E-3</v>
      </c>
      <c r="BA70" s="32">
        <f t="shared" si="192"/>
        <v>-4.0846575883575721E-3</v>
      </c>
      <c r="BB70" s="32">
        <f t="shared" si="192"/>
        <v>-4.0846575883575721E-3</v>
      </c>
      <c r="BC70" s="32">
        <f t="shared" si="192"/>
        <v>-4.0846575883575721E-3</v>
      </c>
      <c r="BD70" s="32">
        <f t="shared" si="192"/>
        <v>-4.0846575883575721E-3</v>
      </c>
      <c r="BE70" s="32">
        <f t="shared" si="193"/>
        <v>-4.0846575883575721E-3</v>
      </c>
      <c r="BF70" s="32">
        <f t="shared" si="193"/>
        <v>-4.0846575883575721E-3</v>
      </c>
      <c r="BG70" s="32">
        <f t="shared" si="193"/>
        <v>-4.0846575883575721E-3</v>
      </c>
      <c r="BH70" s="32">
        <f t="shared" si="193"/>
        <v>-4.0846575883575721E-3</v>
      </c>
      <c r="BI70" s="32">
        <f t="shared" si="193"/>
        <v>-6.0747029715072648E-3</v>
      </c>
      <c r="BJ70" s="32">
        <f t="shared" si="193"/>
        <v>-6.0747029715072648E-3</v>
      </c>
      <c r="BK70" s="32">
        <f t="shared" si="193"/>
        <v>-6.0747029715072648E-3</v>
      </c>
      <c r="BL70" s="32">
        <f t="shared" si="193"/>
        <v>-6.0747029715072648E-3</v>
      </c>
      <c r="BM70" s="32">
        <f t="shared" si="193"/>
        <v>-6.0747029715072648E-3</v>
      </c>
      <c r="BN70" s="32">
        <f t="shared" si="193"/>
        <v>-6.0747029715072648E-3</v>
      </c>
      <c r="BO70" s="32">
        <f t="shared" si="194"/>
        <v>-6.0747029715072648E-3</v>
      </c>
      <c r="BP70" s="32">
        <f t="shared" si="194"/>
        <v>-6.0747029715072648E-3</v>
      </c>
      <c r="BQ70" s="32">
        <f t="shared" si="194"/>
        <v>-6.0747029715072648E-3</v>
      </c>
      <c r="BR70" s="32">
        <f t="shared" si="194"/>
        <v>-6.0747029715072648E-3</v>
      </c>
      <c r="BS70" s="32">
        <f t="shared" si="194"/>
        <v>-6.0747029715072648E-3</v>
      </c>
      <c r="BT70" s="273">
        <f t="shared" si="194"/>
        <v>-6.0747029715072648E-3</v>
      </c>
      <c r="BU70" s="32">
        <f t="shared" si="179"/>
        <v>-6.0747029715072648E-3</v>
      </c>
      <c r="BV70" s="32">
        <f t="shared" si="180"/>
        <v>-6.0747029715072648E-3</v>
      </c>
      <c r="BW70" s="32">
        <f t="shared" si="181"/>
        <v>-6.0747029715072648E-3</v>
      </c>
      <c r="BX70" s="32">
        <f t="shared" si="182"/>
        <v>-6.0747029715072648E-3</v>
      </c>
      <c r="BY70" s="241"/>
      <c r="BZ70" s="32">
        <f t="shared" si="183"/>
        <v>0</v>
      </c>
      <c r="CA70" s="32">
        <f t="shared" si="183"/>
        <v>0</v>
      </c>
      <c r="CB70" s="32">
        <f t="shared" si="184"/>
        <v>0</v>
      </c>
      <c r="CC70" s="9">
        <f t="shared" si="195"/>
        <v>-2.5391924597094207E-2</v>
      </c>
      <c r="CD70" s="9">
        <f t="shared" si="196"/>
        <v>-4.9015891060290862E-2</v>
      </c>
      <c r="CE70" s="9">
        <f t="shared" si="197"/>
        <v>-7.2896435658087178E-2</v>
      </c>
      <c r="CG70" s="129">
        <f t="shared" si="198"/>
        <v>-2.8014719109220853E-5</v>
      </c>
      <c r="CH70" s="129">
        <f t="shared" si="198"/>
        <v>-2.8014719109220853E-5</v>
      </c>
      <c r="CI70" s="129">
        <f t="shared" si="198"/>
        <v>-2.8014719109220853E-5</v>
      </c>
      <c r="CK70" s="62">
        <f>IFERROR(CB70/CB$38,0)</f>
        <v>0</v>
      </c>
      <c r="CM70" s="14">
        <f>-SUMIFS('FY25 By Venue Financials'!$N:$N,'FY25 By Venue Financials'!$A:$A,$C70)</f>
        <v>-0.1976</v>
      </c>
      <c r="CN70" s="62">
        <f>IFERROR(CM70/CM$38,0)</f>
        <v>-2.8014719109220853E-5</v>
      </c>
      <c r="CP70" s="112" t="s">
        <v>411</v>
      </c>
      <c r="CQ70" s="112" t="s">
        <v>486</v>
      </c>
      <c r="CS70" s="132"/>
    </row>
    <row r="71" spans="3:97">
      <c r="C71" s="4" t="s">
        <v>175</v>
      </c>
      <c r="D71" s="14">
        <f>-SUMIFS('P&amp;L'!C:C,'P&amp;L'!$A:$A,$C71)/1000</f>
        <v>-7.2150000000000006E-2</v>
      </c>
      <c r="E71" s="14">
        <f>-SUMIFS('P&amp;L'!D:D,'P&amp;L'!$A:$A,$C71)/1000</f>
        <v>0</v>
      </c>
      <c r="F71" s="14">
        <f>-SUMIFS('P&amp;L'!E:E,'P&amp;L'!$A:$A,$C71)/1000</f>
        <v>0</v>
      </c>
      <c r="G71" s="14">
        <f>-SUMIFS('P&amp;L'!F:F,'P&amp;L'!$A:$A,$C71)/1000</f>
        <v>0</v>
      </c>
      <c r="H71" s="14">
        <f>-SUMIFS('P&amp;L'!G:G,'P&amp;L'!$A:$A,$C71)/1000</f>
        <v>0</v>
      </c>
      <c r="I71" s="14">
        <f>-SUMIFS('P&amp;L'!H:H,'P&amp;L'!$A:$A,$C71)/1000</f>
        <v>0</v>
      </c>
      <c r="J71" s="14">
        <f>-SUMIFS('P&amp;L'!I:I,'P&amp;L'!$A:$A,$C71)/1000</f>
        <v>0</v>
      </c>
      <c r="K71" s="14">
        <f>-SUMIFS('P&amp;L'!J:J,'P&amp;L'!$A:$A,$C71)/1000</f>
        <v>0</v>
      </c>
      <c r="L71" s="14">
        <f>-SUMIFS('P&amp;L'!K:K,'P&amp;L'!$A:$A,$C71)/1000</f>
        <v>-5.6000000000000001E-2</v>
      </c>
      <c r="M71" s="14">
        <f>-SUMIFS('P&amp;L'!L:L,'P&amp;L'!$A:$A,$C71)/1000</f>
        <v>-9.8514099999999996</v>
      </c>
      <c r="N71" s="14">
        <f>-SUMIFS('P&amp;L'!M:M,'P&amp;L'!$A:$A,$C71)/1000</f>
        <v>0</v>
      </c>
      <c r="O71" s="14">
        <f>-SUMIFS('P&amp;L'!N:N,'P&amp;L'!$A:$A,$C71)/1000</f>
        <v>0</v>
      </c>
      <c r="P71" s="14">
        <f>-SUMIFS('P&amp;L'!O:O,'P&amp;L'!$A:$A,$C71)/1000</f>
        <v>0</v>
      </c>
      <c r="Q71" s="14">
        <f>-SUMIFS('P&amp;L'!P:P,'P&amp;L'!$A:$A,$C71)/1000</f>
        <v>0</v>
      </c>
      <c r="R71" s="14">
        <f>-SUMIFS('P&amp;L'!Q:Q,'P&amp;L'!$A:$A,$C71)/1000</f>
        <v>0</v>
      </c>
      <c r="S71" s="14">
        <f>-SUMIFS('P&amp;L'!R:R,'P&amp;L'!$A:$A,$C71)/1000</f>
        <v>0</v>
      </c>
      <c r="T71" s="14">
        <f>-SUMIFS('P&amp;L'!S:S,'P&amp;L'!$A:$A,$C71)/1000</f>
        <v>0</v>
      </c>
      <c r="U71" s="14">
        <f>-SUMIFS('P&amp;L'!T:T,'P&amp;L'!$A:$A,$C71)/1000</f>
        <v>0</v>
      </c>
      <c r="V71" s="14">
        <f>-SUMIFS('P&amp;L'!U:U,'P&amp;L'!$A:$A,$C71)/1000</f>
        <v>0</v>
      </c>
      <c r="W71" s="14">
        <f>-SUMIFS('P&amp;L'!V:V,'P&amp;L'!$A:$A,$C71)/1000</f>
        <v>0</v>
      </c>
      <c r="X71" s="14">
        <f>-SUMIFS('P&amp;L'!W:W,'P&amp;L'!$A:$A,$C71)/1000</f>
        <v>0</v>
      </c>
      <c r="Y71" s="14">
        <f>-SUMIFS('P&amp;L'!X:X,'P&amp;L'!$A:$A,$C71)/1000</f>
        <v>-29.068770000000001</v>
      </c>
      <c r="Z71" s="14">
        <f>-SUMIFS('P&amp;L'!Y:Y,'P&amp;L'!$A:$A,$C71)/1000</f>
        <v>0</v>
      </c>
      <c r="AA71" s="14">
        <f>-SUMIFS('P&amp;L'!Z:Z,'P&amp;L'!$A:$A,$C71)/1000</f>
        <v>0</v>
      </c>
      <c r="AB71" s="14">
        <f>-SUMIFS('P&amp;L'!AA:AA,'P&amp;L'!$A:$A,$C71)/1000</f>
        <v>-5.21347</v>
      </c>
      <c r="AC71" s="14">
        <f>-SUMIFS('P&amp;L'!AB:AB,'P&amp;L'!$A:$A,$C71)/1000</f>
        <v>-2.5986500000000001</v>
      </c>
      <c r="AD71" s="14">
        <f>-SUMIFS('P&amp;L'!AC:AC,'P&amp;L'!$A:$A,$C71)/1000</f>
        <v>-2.5986500000000001</v>
      </c>
      <c r="AE71" s="14">
        <f>-SUMIFS('P&amp;L'!AD:AD,'P&amp;L'!$A:$A,$C71)/1000</f>
        <v>-2.5986500000000001</v>
      </c>
      <c r="AF71" s="14">
        <f>-SUMIFS('P&amp;L'!AE:AE,'P&amp;L'!$A:$A,$C71)/1000</f>
        <v>-2.5986500000000001</v>
      </c>
      <c r="AG71" s="14">
        <f>-SUMIFS('P&amp;L'!AF:AF,'P&amp;L'!$A:$A,$C71)/1000</f>
        <v>-2.5986500000000001</v>
      </c>
      <c r="AH71" s="14">
        <f>-SUMIFS('P&amp;L'!AG:AG,'P&amp;L'!$A:$A,$C71)/1000</f>
        <v>0</v>
      </c>
      <c r="AI71" s="253"/>
      <c r="AJ71" s="241"/>
      <c r="AK71" s="32">
        <f t="shared" si="191"/>
        <v>-2.9166666666666665</v>
      </c>
      <c r="AL71" s="32">
        <f t="shared" si="191"/>
        <v>-2.9166666666666665</v>
      </c>
      <c r="AM71" s="32">
        <f t="shared" si="191"/>
        <v>-2.9166666666666665</v>
      </c>
      <c r="AN71" s="32">
        <f t="shared" si="191"/>
        <v>-2.9166666666666665</v>
      </c>
      <c r="AO71" s="32">
        <f t="shared" si="191"/>
        <v>-2.9166666666666665</v>
      </c>
      <c r="AP71" s="32">
        <f t="shared" si="191"/>
        <v>-2.9166666666666665</v>
      </c>
      <c r="AQ71" s="32">
        <f t="shared" si="191"/>
        <v>-2.9166666666666665</v>
      </c>
      <c r="AR71" s="32">
        <f t="shared" si="191"/>
        <v>-2.9166666666666665</v>
      </c>
      <c r="AS71" s="32">
        <f t="shared" si="191"/>
        <v>-2.9166666666666665</v>
      </c>
      <c r="AT71" s="32">
        <f t="shared" si="191"/>
        <v>-2.9166666666666665</v>
      </c>
      <c r="AU71" s="32">
        <f t="shared" si="192"/>
        <v>-2.9166666666666665</v>
      </c>
      <c r="AV71" s="32">
        <f t="shared" si="192"/>
        <v>-2.9166666666666665</v>
      </c>
      <c r="AW71" s="32">
        <f t="shared" si="192"/>
        <v>-2.9166666666666665</v>
      </c>
      <c r="AX71" s="32">
        <f t="shared" si="192"/>
        <v>-2.9166666666666665</v>
      </c>
      <c r="AY71" s="32">
        <f t="shared" si="192"/>
        <v>-2.9166666666666665</v>
      </c>
      <c r="AZ71" s="32">
        <f t="shared" si="192"/>
        <v>-2.9166666666666665</v>
      </c>
      <c r="BA71" s="32">
        <f t="shared" si="192"/>
        <v>-2.9166666666666665</v>
      </c>
      <c r="BB71" s="32">
        <f t="shared" si="192"/>
        <v>-2.9166666666666665</v>
      </c>
      <c r="BC71" s="32">
        <f t="shared" si="192"/>
        <v>-2.9166666666666665</v>
      </c>
      <c r="BD71" s="32">
        <f t="shared" si="192"/>
        <v>-2.9166666666666665</v>
      </c>
      <c r="BE71" s="32">
        <f t="shared" si="193"/>
        <v>-2.9166666666666665</v>
      </c>
      <c r="BF71" s="32">
        <f t="shared" si="193"/>
        <v>-2.9166666666666665</v>
      </c>
      <c r="BG71" s="32">
        <f t="shared" si="193"/>
        <v>-2.9166666666666665</v>
      </c>
      <c r="BH71" s="32">
        <f t="shared" si="193"/>
        <v>-2.9166666666666665</v>
      </c>
      <c r="BI71" s="32">
        <f t="shared" si="193"/>
        <v>-2.9166666666666665</v>
      </c>
      <c r="BJ71" s="32">
        <f t="shared" si="193"/>
        <v>-2.9166666666666665</v>
      </c>
      <c r="BK71" s="32">
        <f t="shared" si="193"/>
        <v>-2.9166666666666665</v>
      </c>
      <c r="BL71" s="32">
        <f t="shared" si="193"/>
        <v>-2.9166666666666665</v>
      </c>
      <c r="BM71" s="32">
        <f t="shared" si="193"/>
        <v>-2.9166666666666665</v>
      </c>
      <c r="BN71" s="32">
        <f t="shared" si="193"/>
        <v>-2.9166666666666665</v>
      </c>
      <c r="BO71" s="32">
        <f t="shared" si="194"/>
        <v>-2.9166666666666665</v>
      </c>
      <c r="BP71" s="32">
        <f t="shared" si="194"/>
        <v>-2.9166666666666665</v>
      </c>
      <c r="BQ71" s="32">
        <f t="shared" si="194"/>
        <v>-2.9166666666666665</v>
      </c>
      <c r="BR71" s="32">
        <f t="shared" si="194"/>
        <v>-2.9166666666666665</v>
      </c>
      <c r="BS71" s="32">
        <f t="shared" si="194"/>
        <v>-2.9166666666666665</v>
      </c>
      <c r="BT71" s="273">
        <f t="shared" si="194"/>
        <v>-2.9166666666666665</v>
      </c>
      <c r="BU71" s="32">
        <f t="shared" si="179"/>
        <v>-2.9166666666666665</v>
      </c>
      <c r="BV71" s="32">
        <f t="shared" si="180"/>
        <v>-2.9166666666666665</v>
      </c>
      <c r="BW71" s="32">
        <f t="shared" si="181"/>
        <v>-2.9166666666666665</v>
      </c>
      <c r="BX71" s="32">
        <f t="shared" si="182"/>
        <v>-2.9166666666666665</v>
      </c>
      <c r="BY71" s="241"/>
      <c r="BZ71" s="32">
        <f t="shared" si="183"/>
        <v>-9.9795599999999993</v>
      </c>
      <c r="CA71" s="32">
        <f t="shared" si="183"/>
        <v>-29.068770000000001</v>
      </c>
      <c r="CB71" s="32">
        <f t="shared" si="184"/>
        <v>-47.275489999999998</v>
      </c>
      <c r="CC71" s="55">
        <v>-35</v>
      </c>
      <c r="CD71" s="55">
        <v>-35</v>
      </c>
      <c r="CE71" s="55">
        <v>-35</v>
      </c>
      <c r="CG71" s="129"/>
      <c r="CH71" s="129"/>
      <c r="CI71" s="129"/>
      <c r="CK71" s="32">
        <f>CB71</f>
        <v>-47.275489999999998</v>
      </c>
      <c r="CM71" s="14">
        <f>-SUMIFS('FY25 By Venue Financials'!$N:$N,'FY25 By Venue Financials'!$A:$A,$C71)</f>
        <v>-62.515450000000001</v>
      </c>
      <c r="CN71" s="62">
        <f>IFERROR(CM71/CM$38,0)</f>
        <v>-8.863121314456178E-3</v>
      </c>
      <c r="CP71" s="112" t="s">
        <v>446</v>
      </c>
      <c r="CQ71" s="112" t="s">
        <v>486</v>
      </c>
      <c r="CR71" s="124" t="s">
        <v>1205</v>
      </c>
      <c r="CS71" s="132"/>
    </row>
    <row r="72" spans="3:97">
      <c r="C72" s="4" t="s">
        <v>178</v>
      </c>
      <c r="D72" s="14">
        <f>-SUMIFS('P&amp;L'!C:C,'P&amp;L'!$A:$A,$C72)/1000</f>
        <v>-2.2350000000000002E-2</v>
      </c>
      <c r="E72" s="14">
        <f>-SUMIFS('P&amp;L'!D:D,'P&amp;L'!$A:$A,$C72)/1000</f>
        <v>-0.53</v>
      </c>
      <c r="F72" s="14">
        <f>-SUMIFS('P&amp;L'!E:E,'P&amp;L'!$A:$A,$C72)/1000</f>
        <v>0</v>
      </c>
      <c r="G72" s="14">
        <f>-SUMIFS('P&amp;L'!F:F,'P&amp;L'!$A:$A,$C72)/1000</f>
        <v>-3.5000000000000003E-2</v>
      </c>
      <c r="H72" s="14">
        <f>-SUMIFS('P&amp;L'!G:G,'P&amp;L'!$A:$A,$C72)/1000</f>
        <v>0</v>
      </c>
      <c r="I72" s="14">
        <f>-SUMIFS('P&amp;L'!H:H,'P&amp;L'!$A:$A,$C72)/1000</f>
        <v>0.53</v>
      </c>
      <c r="J72" s="14">
        <f>-SUMIFS('P&amp;L'!I:I,'P&amp;L'!$A:$A,$C72)/1000</f>
        <v>-1.58504</v>
      </c>
      <c r="K72" s="14">
        <f>-SUMIFS('P&amp;L'!J:J,'P&amp;L'!$A:$A,$C72)/1000</f>
        <v>0</v>
      </c>
      <c r="L72" s="14">
        <f>-SUMIFS('P&amp;L'!K:K,'P&amp;L'!$A:$A,$C72)/1000</f>
        <v>0</v>
      </c>
      <c r="M72" s="14">
        <f>-SUMIFS('P&amp;L'!L:L,'P&amp;L'!$A:$A,$C72)/1000</f>
        <v>0</v>
      </c>
      <c r="N72" s="14">
        <f>-SUMIFS('P&amp;L'!M:M,'P&amp;L'!$A:$A,$C72)/1000</f>
        <v>0</v>
      </c>
      <c r="O72" s="14">
        <f>-SUMIFS('P&amp;L'!N:N,'P&amp;L'!$A:$A,$C72)/1000</f>
        <v>0</v>
      </c>
      <c r="P72" s="14">
        <f>-SUMIFS('P&amp;L'!O:O,'P&amp;L'!$A:$A,$C72)/1000</f>
        <v>0</v>
      </c>
      <c r="Q72" s="14">
        <f>-SUMIFS('P&amp;L'!P:P,'P&amp;L'!$A:$A,$C72)/1000</f>
        <v>0</v>
      </c>
      <c r="R72" s="14">
        <f>-SUMIFS('P&amp;L'!Q:Q,'P&amp;L'!$A:$A,$C72)/1000</f>
        <v>0</v>
      </c>
      <c r="S72" s="14">
        <f>-SUMIFS('P&amp;L'!R:R,'P&amp;L'!$A:$A,$C72)/1000</f>
        <v>0</v>
      </c>
      <c r="T72" s="14">
        <f>-SUMIFS('P&amp;L'!S:S,'P&amp;L'!$A:$A,$C72)/1000</f>
        <v>0</v>
      </c>
      <c r="U72" s="14">
        <f>-SUMIFS('P&amp;L'!T:T,'P&amp;L'!$A:$A,$C72)/1000</f>
        <v>0</v>
      </c>
      <c r="V72" s="14">
        <f>-SUMIFS('P&amp;L'!U:U,'P&amp;L'!$A:$A,$C72)/1000</f>
        <v>0</v>
      </c>
      <c r="W72" s="14">
        <f>-SUMIFS('P&amp;L'!V:V,'P&amp;L'!$A:$A,$C72)/1000</f>
        <v>0</v>
      </c>
      <c r="X72" s="14">
        <f>-SUMIFS('P&amp;L'!W:W,'P&amp;L'!$A:$A,$C72)/1000</f>
        <v>0</v>
      </c>
      <c r="Y72" s="14">
        <f>-SUMIFS('P&amp;L'!X:X,'P&amp;L'!$A:$A,$C72)/1000</f>
        <v>0</v>
      </c>
      <c r="Z72" s="14">
        <f>-SUMIFS('P&amp;L'!Y:Y,'P&amp;L'!$A:$A,$C72)/1000</f>
        <v>0</v>
      </c>
      <c r="AA72" s="14">
        <f>-SUMIFS('P&amp;L'!Z:Z,'P&amp;L'!$A:$A,$C72)/1000</f>
        <v>0</v>
      </c>
      <c r="AB72" s="14">
        <f>-SUMIFS('P&amp;L'!AA:AA,'P&amp;L'!$A:$A,$C72)/1000</f>
        <v>0</v>
      </c>
      <c r="AC72" s="14">
        <f>-SUMIFS('P&amp;L'!AB:AB,'P&amp;L'!$A:$A,$C72)/1000</f>
        <v>0</v>
      </c>
      <c r="AD72" s="14">
        <f>-SUMIFS('P&amp;L'!AC:AC,'P&amp;L'!$A:$A,$C72)/1000</f>
        <v>-4.3369999999999999E-2</v>
      </c>
      <c r="AE72" s="14">
        <f>-SUMIFS('P&amp;L'!AD:AD,'P&amp;L'!$A:$A,$C72)/1000</f>
        <v>0</v>
      </c>
      <c r="AF72" s="14">
        <f>-SUMIFS('P&amp;L'!AE:AE,'P&amp;L'!$A:$A,$C72)/1000</f>
        <v>0</v>
      </c>
      <c r="AG72" s="14">
        <f>-SUMIFS('P&amp;L'!AF:AF,'P&amp;L'!$A:$A,$C72)/1000</f>
        <v>-4.6200000000000005E-2</v>
      </c>
      <c r="AH72" s="14">
        <f>-SUMIFS('P&amp;L'!AG:AG,'P&amp;L'!$A:$A,$C72)/1000</f>
        <v>0</v>
      </c>
      <c r="AI72" s="253"/>
      <c r="AJ72" s="241"/>
      <c r="AK72" s="32">
        <f t="shared" si="191"/>
        <v>-2.2905524895593152E-2</v>
      </c>
      <c r="AL72" s="32">
        <f t="shared" si="191"/>
        <v>-2.2905524895593152E-2</v>
      </c>
      <c r="AM72" s="32">
        <f t="shared" si="191"/>
        <v>-2.2905524895593152E-2</v>
      </c>
      <c r="AN72" s="32">
        <f t="shared" si="191"/>
        <v>-2.2905524895593152E-2</v>
      </c>
      <c r="AO72" s="32">
        <f t="shared" si="191"/>
        <v>-2.2905524895593152E-2</v>
      </c>
      <c r="AP72" s="32">
        <f t="shared" si="191"/>
        <v>-2.2905524895593152E-2</v>
      </c>
      <c r="AQ72" s="32">
        <f t="shared" si="191"/>
        <v>-2.2905524895593152E-2</v>
      </c>
      <c r="AR72" s="32">
        <f t="shared" si="191"/>
        <v>-2.2905524895593152E-2</v>
      </c>
      <c r="AS72" s="32">
        <f t="shared" si="191"/>
        <v>-2.2905524895593152E-2</v>
      </c>
      <c r="AT72" s="32">
        <f t="shared" si="191"/>
        <v>-2.2905524895593152E-2</v>
      </c>
      <c r="AU72" s="32">
        <f t="shared" si="192"/>
        <v>-2.2905524895593152E-2</v>
      </c>
      <c r="AV72" s="32">
        <f t="shared" si="192"/>
        <v>-2.2905524895593152E-2</v>
      </c>
      <c r="AW72" s="32">
        <f t="shared" si="192"/>
        <v>-4.4216211680530006E-2</v>
      </c>
      <c r="AX72" s="32">
        <f t="shared" si="192"/>
        <v>-4.4216211680530006E-2</v>
      </c>
      <c r="AY72" s="32">
        <f t="shared" si="192"/>
        <v>-4.4216211680530006E-2</v>
      </c>
      <c r="AZ72" s="32">
        <f t="shared" si="192"/>
        <v>-4.4216211680530006E-2</v>
      </c>
      <c r="BA72" s="32">
        <f t="shared" si="192"/>
        <v>-4.4216211680530006E-2</v>
      </c>
      <c r="BB72" s="32">
        <f t="shared" si="192"/>
        <v>-4.4216211680530006E-2</v>
      </c>
      <c r="BC72" s="32">
        <f t="shared" si="192"/>
        <v>-4.4216211680530006E-2</v>
      </c>
      <c r="BD72" s="32">
        <f t="shared" si="192"/>
        <v>-4.4216211680530006E-2</v>
      </c>
      <c r="BE72" s="32">
        <f t="shared" si="193"/>
        <v>-4.4216211680530006E-2</v>
      </c>
      <c r="BF72" s="32">
        <f t="shared" si="193"/>
        <v>-4.4216211680530006E-2</v>
      </c>
      <c r="BG72" s="32">
        <f t="shared" si="193"/>
        <v>-4.4216211680530006E-2</v>
      </c>
      <c r="BH72" s="32">
        <f t="shared" si="193"/>
        <v>-4.4216211680530006E-2</v>
      </c>
      <c r="BI72" s="32">
        <f t="shared" si="193"/>
        <v>-6.5758352242326693E-2</v>
      </c>
      <c r="BJ72" s="32">
        <f t="shared" si="193"/>
        <v>-6.5758352242326693E-2</v>
      </c>
      <c r="BK72" s="32">
        <f t="shared" si="193"/>
        <v>-6.5758352242326693E-2</v>
      </c>
      <c r="BL72" s="32">
        <f t="shared" si="193"/>
        <v>-6.5758352242326693E-2</v>
      </c>
      <c r="BM72" s="32">
        <f t="shared" si="193"/>
        <v>-6.5758352242326693E-2</v>
      </c>
      <c r="BN72" s="32">
        <f t="shared" si="193"/>
        <v>-6.5758352242326693E-2</v>
      </c>
      <c r="BO72" s="32">
        <f t="shared" si="194"/>
        <v>-6.5758352242326693E-2</v>
      </c>
      <c r="BP72" s="32">
        <f t="shared" si="194"/>
        <v>-6.5758352242326693E-2</v>
      </c>
      <c r="BQ72" s="32">
        <f t="shared" si="194"/>
        <v>-6.5758352242326693E-2</v>
      </c>
      <c r="BR72" s="32">
        <f t="shared" si="194"/>
        <v>-6.5758352242326693E-2</v>
      </c>
      <c r="BS72" s="32">
        <f t="shared" si="194"/>
        <v>-6.5758352242326693E-2</v>
      </c>
      <c r="BT72" s="273">
        <f t="shared" si="194"/>
        <v>-6.5758352242326693E-2</v>
      </c>
      <c r="BU72" s="32">
        <f t="shared" si="179"/>
        <v>-6.5758352242326693E-2</v>
      </c>
      <c r="BV72" s="32">
        <f t="shared" si="180"/>
        <v>-6.5758352242326693E-2</v>
      </c>
      <c r="BW72" s="32">
        <f t="shared" si="181"/>
        <v>-6.5758352242326693E-2</v>
      </c>
      <c r="BX72" s="32">
        <f t="shared" si="182"/>
        <v>-6.5758352242326693E-2</v>
      </c>
      <c r="BY72" s="241"/>
      <c r="BZ72" s="32">
        <f t="shared" si="183"/>
        <v>-1.64239</v>
      </c>
      <c r="CA72" s="32">
        <f t="shared" si="183"/>
        <v>0</v>
      </c>
      <c r="CB72" s="32">
        <f t="shared" si="184"/>
        <v>-8.9570000000000011E-2</v>
      </c>
      <c r="CC72" s="9">
        <f t="shared" si="195"/>
        <v>-0.27486629874711782</v>
      </c>
      <c r="CD72" s="9">
        <f t="shared" si="196"/>
        <v>-0.5305945401663601</v>
      </c>
      <c r="CE72" s="9">
        <f t="shared" si="197"/>
        <v>-0.78910022690792025</v>
      </c>
      <c r="CG72" s="129">
        <f t="shared" si="198"/>
        <v>-3.0325791660837294E-4</v>
      </c>
      <c r="CH72" s="129">
        <f t="shared" si="198"/>
        <v>-3.0325791660837294E-4</v>
      </c>
      <c r="CI72" s="129">
        <f t="shared" si="198"/>
        <v>-3.0325791660837294E-4</v>
      </c>
      <c r="CK72" s="62">
        <f t="shared" ref="CK72:CK78" si="199">IFERROR(CB72/CB$38,0)</f>
        <v>-1.5970408332869455E-4</v>
      </c>
      <c r="CM72" s="14">
        <f>-SUMIFS('FY25 By Venue Financials'!$N:$N,'FY25 By Venue Financials'!$A:$A,$C72)</f>
        <v>-2.1390099999999999</v>
      </c>
      <c r="CN72" s="62">
        <f t="shared" ref="CN72:CN80" si="200">IFERROR(CM72/CM$38,0)</f>
        <v>-3.0325791660837294E-4</v>
      </c>
      <c r="CP72" s="112" t="s">
        <v>411</v>
      </c>
      <c r="CQ72" s="112" t="s">
        <v>486</v>
      </c>
      <c r="CS72" s="132"/>
    </row>
    <row r="73" spans="3:97">
      <c r="C73" s="4" t="s">
        <v>181</v>
      </c>
      <c r="D73" s="14">
        <f>-SUMIFS('P&amp;L'!C:C,'P&amp;L'!$A:$A,$C73)/1000</f>
        <v>0</v>
      </c>
      <c r="E73" s="14">
        <f>-SUMIFS('P&amp;L'!D:D,'P&amp;L'!$A:$A,$C73)/1000</f>
        <v>0</v>
      </c>
      <c r="F73" s="14">
        <f>-SUMIFS('P&amp;L'!E:E,'P&amp;L'!$A:$A,$C73)/1000</f>
        <v>0</v>
      </c>
      <c r="G73" s="14">
        <f>-SUMIFS('P&amp;L'!F:F,'P&amp;L'!$A:$A,$C73)/1000</f>
        <v>0</v>
      </c>
      <c r="H73" s="14">
        <f>-SUMIFS('P&amp;L'!G:G,'P&amp;L'!$A:$A,$C73)/1000</f>
        <v>0</v>
      </c>
      <c r="I73" s="14">
        <f>-SUMIFS('P&amp;L'!H:H,'P&amp;L'!$A:$A,$C73)/1000</f>
        <v>-0.53</v>
      </c>
      <c r="J73" s="14">
        <f>-SUMIFS('P&amp;L'!I:I,'P&amp;L'!$A:$A,$C73)/1000</f>
        <v>-3.5070000000000001</v>
      </c>
      <c r="K73" s="14">
        <f>-SUMIFS('P&amp;L'!J:J,'P&amp;L'!$A:$A,$C73)/1000</f>
        <v>-1.1000000000000001</v>
      </c>
      <c r="L73" s="14">
        <f>-SUMIFS('P&amp;L'!K:K,'P&amp;L'!$A:$A,$C73)/1000</f>
        <v>0</v>
      </c>
      <c r="M73" s="14">
        <f>-SUMIFS('P&amp;L'!L:L,'P&amp;L'!$A:$A,$C73)/1000</f>
        <v>0</v>
      </c>
      <c r="N73" s="14">
        <f>-SUMIFS('P&amp;L'!M:M,'P&amp;L'!$A:$A,$C73)/1000</f>
        <v>0</v>
      </c>
      <c r="O73" s="14">
        <f>-SUMIFS('P&amp;L'!N:N,'P&amp;L'!$A:$A,$C73)/1000</f>
        <v>-4.75</v>
      </c>
      <c r="P73" s="14">
        <f>-SUMIFS('P&amp;L'!O:O,'P&amp;L'!$A:$A,$C73)/1000</f>
        <v>-0.314</v>
      </c>
      <c r="Q73" s="14">
        <f>-SUMIFS('P&amp;L'!P:P,'P&amp;L'!$A:$A,$C73)/1000</f>
        <v>0</v>
      </c>
      <c r="R73" s="14">
        <f>-SUMIFS('P&amp;L'!Q:Q,'P&amp;L'!$A:$A,$C73)/1000</f>
        <v>-0.1</v>
      </c>
      <c r="S73" s="14">
        <f>-SUMIFS('P&amp;L'!R:R,'P&amp;L'!$A:$A,$C73)/1000</f>
        <v>-1.2749999999999999</v>
      </c>
      <c r="T73" s="14">
        <f>-SUMIFS('P&amp;L'!S:S,'P&amp;L'!$A:$A,$C73)/1000</f>
        <v>0</v>
      </c>
      <c r="U73" s="14">
        <f>-SUMIFS('P&amp;L'!T:T,'P&amp;L'!$A:$A,$C73)/1000</f>
        <v>0</v>
      </c>
      <c r="V73" s="14">
        <f>-SUMIFS('P&amp;L'!U:U,'P&amp;L'!$A:$A,$C73)/1000</f>
        <v>0</v>
      </c>
      <c r="W73" s="14">
        <f>-SUMIFS('P&amp;L'!V:V,'P&amp;L'!$A:$A,$C73)/1000</f>
        <v>0</v>
      </c>
      <c r="X73" s="14">
        <f>-SUMIFS('P&amp;L'!W:W,'P&amp;L'!$A:$A,$C73)/1000</f>
        <v>0</v>
      </c>
      <c r="Y73" s="14">
        <f>-SUMIFS('P&amp;L'!X:X,'P&amp;L'!$A:$A,$C73)/1000</f>
        <v>0</v>
      </c>
      <c r="Z73" s="14">
        <f>-SUMIFS('P&amp;L'!Y:Y,'P&amp;L'!$A:$A,$C73)/1000</f>
        <v>0</v>
      </c>
      <c r="AA73" s="14">
        <f>-SUMIFS('P&amp;L'!Z:Z,'P&amp;L'!$A:$A,$C73)/1000</f>
        <v>0</v>
      </c>
      <c r="AB73" s="14">
        <f>-SUMIFS('P&amp;L'!AA:AA,'P&amp;L'!$A:$A,$C73)/1000</f>
        <v>0</v>
      </c>
      <c r="AC73" s="14">
        <f>-SUMIFS('P&amp;L'!AB:AB,'P&amp;L'!$A:$A,$C73)/1000</f>
        <v>0</v>
      </c>
      <c r="AD73" s="14">
        <f>-SUMIFS('P&amp;L'!AC:AC,'P&amp;L'!$A:$A,$C73)/1000</f>
        <v>0</v>
      </c>
      <c r="AE73" s="14">
        <f>-SUMIFS('P&amp;L'!AD:AD,'P&amp;L'!$A:$A,$C73)/1000</f>
        <v>-1.2749999999999999</v>
      </c>
      <c r="AF73" s="14">
        <f>-SUMIFS('P&amp;L'!AE:AE,'P&amp;L'!$A:$A,$C73)/1000</f>
        <v>0</v>
      </c>
      <c r="AG73" s="14">
        <f>-SUMIFS('P&amp;L'!AF:AF,'P&amp;L'!$A:$A,$C73)/1000</f>
        <v>0</v>
      </c>
      <c r="AH73" s="14">
        <f>-SUMIFS('P&amp;L'!AG:AG,'P&amp;L'!$A:$A,$C73)/1000</f>
        <v>0</v>
      </c>
      <c r="AI73" s="253"/>
      <c r="AJ73" s="241"/>
      <c r="AK73" s="32">
        <f t="shared" si="191"/>
        <v>-1.6069772927579027E-2</v>
      </c>
      <c r="AL73" s="32">
        <f t="shared" si="191"/>
        <v>-1.6069772927579027E-2</v>
      </c>
      <c r="AM73" s="32">
        <f t="shared" si="191"/>
        <v>-1.6069772927579027E-2</v>
      </c>
      <c r="AN73" s="32">
        <f t="shared" si="191"/>
        <v>-1.6069772927579027E-2</v>
      </c>
      <c r="AO73" s="32">
        <f t="shared" si="191"/>
        <v>-1.6069772927579027E-2</v>
      </c>
      <c r="AP73" s="32">
        <f t="shared" si="191"/>
        <v>-1.6069772927579027E-2</v>
      </c>
      <c r="AQ73" s="32">
        <f t="shared" si="191"/>
        <v>-1.6069772927579027E-2</v>
      </c>
      <c r="AR73" s="32">
        <f t="shared" si="191"/>
        <v>-1.6069772927579027E-2</v>
      </c>
      <c r="AS73" s="32">
        <f t="shared" si="191"/>
        <v>-1.6069772927579027E-2</v>
      </c>
      <c r="AT73" s="32">
        <f t="shared" si="191"/>
        <v>-1.6069772927579027E-2</v>
      </c>
      <c r="AU73" s="32">
        <f t="shared" si="192"/>
        <v>-1.6069772927579027E-2</v>
      </c>
      <c r="AV73" s="32">
        <f t="shared" si="192"/>
        <v>-1.6069772927579027E-2</v>
      </c>
      <c r="AW73" s="32">
        <f t="shared" si="192"/>
        <v>-3.1020659193039844E-2</v>
      </c>
      <c r="AX73" s="32">
        <f t="shared" si="192"/>
        <v>-3.1020659193039844E-2</v>
      </c>
      <c r="AY73" s="32">
        <f t="shared" si="192"/>
        <v>-3.1020659193039844E-2</v>
      </c>
      <c r="AZ73" s="32">
        <f t="shared" si="192"/>
        <v>-3.1020659193039844E-2</v>
      </c>
      <c r="BA73" s="32">
        <f t="shared" si="192"/>
        <v>-3.1020659193039844E-2</v>
      </c>
      <c r="BB73" s="32">
        <f t="shared" si="192"/>
        <v>-3.1020659193039844E-2</v>
      </c>
      <c r="BC73" s="32">
        <f t="shared" si="192"/>
        <v>-3.1020659193039844E-2</v>
      </c>
      <c r="BD73" s="32">
        <f t="shared" si="192"/>
        <v>-3.1020659193039844E-2</v>
      </c>
      <c r="BE73" s="32">
        <f t="shared" si="193"/>
        <v>-3.1020659193039844E-2</v>
      </c>
      <c r="BF73" s="32">
        <f t="shared" si="193"/>
        <v>-3.1020659193039844E-2</v>
      </c>
      <c r="BG73" s="32">
        <f t="shared" si="193"/>
        <v>-3.1020659193039844E-2</v>
      </c>
      <c r="BH73" s="32">
        <f t="shared" si="193"/>
        <v>-3.1020659193039844E-2</v>
      </c>
      <c r="BI73" s="32">
        <f t="shared" si="193"/>
        <v>-4.6133925917115848E-2</v>
      </c>
      <c r="BJ73" s="32">
        <f t="shared" si="193"/>
        <v>-4.6133925917115848E-2</v>
      </c>
      <c r="BK73" s="32">
        <f t="shared" si="193"/>
        <v>-4.6133925917115848E-2</v>
      </c>
      <c r="BL73" s="32">
        <f t="shared" si="193"/>
        <v>-4.6133925917115848E-2</v>
      </c>
      <c r="BM73" s="32">
        <f t="shared" si="193"/>
        <v>-4.6133925917115848E-2</v>
      </c>
      <c r="BN73" s="32">
        <f t="shared" si="193"/>
        <v>-4.6133925917115848E-2</v>
      </c>
      <c r="BO73" s="32">
        <f t="shared" si="194"/>
        <v>-4.6133925917115848E-2</v>
      </c>
      <c r="BP73" s="32">
        <f t="shared" si="194"/>
        <v>-4.6133925917115848E-2</v>
      </c>
      <c r="BQ73" s="32">
        <f t="shared" si="194"/>
        <v>-4.6133925917115848E-2</v>
      </c>
      <c r="BR73" s="32">
        <f t="shared" si="194"/>
        <v>-4.6133925917115848E-2</v>
      </c>
      <c r="BS73" s="32">
        <f t="shared" si="194"/>
        <v>-4.6133925917115848E-2</v>
      </c>
      <c r="BT73" s="273">
        <f t="shared" si="194"/>
        <v>-4.6133925917115848E-2</v>
      </c>
      <c r="BU73" s="32">
        <f t="shared" si="179"/>
        <v>-4.6133925917115848E-2</v>
      </c>
      <c r="BV73" s="32">
        <f t="shared" si="180"/>
        <v>-4.6133925917115848E-2</v>
      </c>
      <c r="BW73" s="32">
        <f t="shared" si="181"/>
        <v>-4.6133925917115848E-2</v>
      </c>
      <c r="BX73" s="32">
        <f t="shared" si="182"/>
        <v>-4.6133925917115848E-2</v>
      </c>
      <c r="BY73" s="241"/>
      <c r="BZ73" s="32">
        <f t="shared" si="183"/>
        <v>-9.8870000000000005</v>
      </c>
      <c r="CA73" s="32">
        <f t="shared" si="183"/>
        <v>-1.6890000000000001</v>
      </c>
      <c r="CB73" s="32">
        <f t="shared" si="184"/>
        <v>-1.2749999999999999</v>
      </c>
      <c r="CC73" s="9">
        <f t="shared" si="195"/>
        <v>-0.19283727513094834</v>
      </c>
      <c r="CD73" s="9">
        <f t="shared" si="196"/>
        <v>-0.37224791031647814</v>
      </c>
      <c r="CE73" s="9">
        <f t="shared" si="197"/>
        <v>-0.55360711100539017</v>
      </c>
      <c r="CG73" s="129">
        <f t="shared" si="198"/>
        <v>-2.127559128463733E-4</v>
      </c>
      <c r="CH73" s="129">
        <f t="shared" si="198"/>
        <v>-2.127559128463733E-4</v>
      </c>
      <c r="CI73" s="129">
        <f t="shared" si="198"/>
        <v>-2.127559128463733E-4</v>
      </c>
      <c r="CK73" s="62">
        <f t="shared" si="199"/>
        <v>-2.2733360080840182E-3</v>
      </c>
      <c r="CM73" s="14">
        <f>-SUMIFS('FY25 By Venue Financials'!$N:$N,'FY25 By Venue Financials'!$A:$A,$C73)</f>
        <v>-1.5006599999999999</v>
      </c>
      <c r="CN73" s="62">
        <f t="shared" si="200"/>
        <v>-2.127559128463733E-4</v>
      </c>
      <c r="CP73" s="112" t="s">
        <v>411</v>
      </c>
      <c r="CQ73" s="112" t="s">
        <v>486</v>
      </c>
      <c r="CS73" s="132"/>
    </row>
    <row r="74" spans="3:97">
      <c r="C74" s="4" t="s">
        <v>182</v>
      </c>
      <c r="D74" s="14">
        <f>-SUMIFS('P&amp;L'!C:C,'P&amp;L'!$A:$A,$C74)/1000</f>
        <v>0</v>
      </c>
      <c r="E74" s="14">
        <f>-SUMIFS('P&amp;L'!D:D,'P&amp;L'!$A:$A,$C74)/1000</f>
        <v>0</v>
      </c>
      <c r="F74" s="14">
        <f>-SUMIFS('P&amp;L'!E:E,'P&amp;L'!$A:$A,$C74)/1000</f>
        <v>0</v>
      </c>
      <c r="G74" s="14">
        <f>-SUMIFS('P&amp;L'!F:F,'P&amp;L'!$A:$A,$C74)/1000</f>
        <v>0</v>
      </c>
      <c r="H74" s="14">
        <f>-SUMIFS('P&amp;L'!G:G,'P&amp;L'!$A:$A,$C74)/1000</f>
        <v>0</v>
      </c>
      <c r="I74" s="14">
        <f>-SUMIFS('P&amp;L'!H:H,'P&amp;L'!$A:$A,$C74)/1000</f>
        <v>0</v>
      </c>
      <c r="J74" s="14">
        <f>-SUMIFS('P&amp;L'!I:I,'P&amp;L'!$A:$A,$C74)/1000</f>
        <v>0</v>
      </c>
      <c r="K74" s="14">
        <f>-SUMIFS('P&amp;L'!J:J,'P&amp;L'!$A:$A,$C74)/1000</f>
        <v>0</v>
      </c>
      <c r="L74" s="14">
        <f>-SUMIFS('P&amp;L'!K:K,'P&amp;L'!$A:$A,$C74)/1000</f>
        <v>0</v>
      </c>
      <c r="M74" s="14">
        <f>-SUMIFS('P&amp;L'!L:L,'P&amp;L'!$A:$A,$C74)/1000</f>
        <v>0</v>
      </c>
      <c r="N74" s="14">
        <f>-SUMIFS('P&amp;L'!M:M,'P&amp;L'!$A:$A,$C74)/1000</f>
        <v>0</v>
      </c>
      <c r="O74" s="14">
        <f>-SUMIFS('P&amp;L'!N:N,'P&amp;L'!$A:$A,$C74)/1000</f>
        <v>0</v>
      </c>
      <c r="P74" s="14">
        <f>-SUMIFS('P&amp;L'!O:O,'P&amp;L'!$A:$A,$C74)/1000</f>
        <v>0</v>
      </c>
      <c r="Q74" s="14">
        <f>-SUMIFS('P&amp;L'!P:P,'P&amp;L'!$A:$A,$C74)/1000</f>
        <v>0</v>
      </c>
      <c r="R74" s="14">
        <f>-SUMIFS('P&amp;L'!Q:Q,'P&amp;L'!$A:$A,$C74)/1000</f>
        <v>0</v>
      </c>
      <c r="S74" s="14">
        <f>-SUMIFS('P&amp;L'!R:R,'P&amp;L'!$A:$A,$C74)/1000</f>
        <v>0</v>
      </c>
      <c r="T74" s="14">
        <f>-SUMIFS('P&amp;L'!S:S,'P&amp;L'!$A:$A,$C74)/1000</f>
        <v>0</v>
      </c>
      <c r="U74" s="14">
        <f>-SUMIFS('P&amp;L'!T:T,'P&amp;L'!$A:$A,$C74)/1000</f>
        <v>0</v>
      </c>
      <c r="V74" s="14">
        <f>-SUMIFS('P&amp;L'!U:U,'P&amp;L'!$A:$A,$C74)/1000</f>
        <v>0</v>
      </c>
      <c r="W74" s="14">
        <f>-SUMIFS('P&amp;L'!V:V,'P&amp;L'!$A:$A,$C74)/1000</f>
        <v>0</v>
      </c>
      <c r="X74" s="14">
        <f>-SUMIFS('P&amp;L'!W:W,'P&amp;L'!$A:$A,$C74)/1000</f>
        <v>0</v>
      </c>
      <c r="Y74" s="14">
        <f>-SUMIFS('P&amp;L'!X:X,'P&amp;L'!$A:$A,$C74)/1000</f>
        <v>0</v>
      </c>
      <c r="Z74" s="14">
        <f>-SUMIFS('P&amp;L'!Y:Y,'P&amp;L'!$A:$A,$C74)/1000</f>
        <v>0</v>
      </c>
      <c r="AA74" s="14">
        <f>-SUMIFS('P&amp;L'!Z:Z,'P&amp;L'!$A:$A,$C74)/1000</f>
        <v>0</v>
      </c>
      <c r="AB74" s="14">
        <f>-SUMIFS('P&amp;L'!AA:AA,'P&amp;L'!$A:$A,$C74)/1000</f>
        <v>0</v>
      </c>
      <c r="AC74" s="14">
        <f>-SUMIFS('P&amp;L'!AB:AB,'P&amp;L'!$A:$A,$C74)/1000</f>
        <v>0</v>
      </c>
      <c r="AD74" s="14">
        <f>-SUMIFS('P&amp;L'!AC:AC,'P&amp;L'!$A:$A,$C74)/1000</f>
        <v>0</v>
      </c>
      <c r="AE74" s="14">
        <f>-SUMIFS('P&amp;L'!AD:AD,'P&amp;L'!$A:$A,$C74)/1000</f>
        <v>0</v>
      </c>
      <c r="AF74" s="14">
        <f>-SUMIFS('P&amp;L'!AE:AE,'P&amp;L'!$A:$A,$C74)/1000</f>
        <v>0</v>
      </c>
      <c r="AG74" s="14">
        <f>-SUMIFS('P&amp;L'!AF:AF,'P&amp;L'!$A:$A,$C74)/1000</f>
        <v>0</v>
      </c>
      <c r="AH74" s="14">
        <f>-SUMIFS('P&amp;L'!AG:AG,'P&amp;L'!$A:$A,$C74)/1000</f>
        <v>0</v>
      </c>
      <c r="AI74" s="253"/>
      <c r="AJ74" s="241"/>
      <c r="AK74" s="32">
        <f t="shared" si="191"/>
        <v>0</v>
      </c>
      <c r="AL74" s="32">
        <f t="shared" si="191"/>
        <v>0</v>
      </c>
      <c r="AM74" s="32">
        <f t="shared" si="191"/>
        <v>0</v>
      </c>
      <c r="AN74" s="32">
        <f t="shared" si="191"/>
        <v>0</v>
      </c>
      <c r="AO74" s="32">
        <f t="shared" si="191"/>
        <v>0</v>
      </c>
      <c r="AP74" s="32">
        <f t="shared" si="191"/>
        <v>0</v>
      </c>
      <c r="AQ74" s="32">
        <f t="shared" si="191"/>
        <v>0</v>
      </c>
      <c r="AR74" s="32">
        <f t="shared" si="191"/>
        <v>0</v>
      </c>
      <c r="AS74" s="32">
        <f t="shared" si="191"/>
        <v>0</v>
      </c>
      <c r="AT74" s="32">
        <f t="shared" si="191"/>
        <v>0</v>
      </c>
      <c r="AU74" s="32">
        <f t="shared" si="192"/>
        <v>0</v>
      </c>
      <c r="AV74" s="32">
        <f t="shared" si="192"/>
        <v>0</v>
      </c>
      <c r="AW74" s="32">
        <f t="shared" si="192"/>
        <v>0</v>
      </c>
      <c r="AX74" s="32">
        <f t="shared" si="192"/>
        <v>0</v>
      </c>
      <c r="AY74" s="32">
        <f t="shared" si="192"/>
        <v>0</v>
      </c>
      <c r="AZ74" s="32">
        <f t="shared" si="192"/>
        <v>0</v>
      </c>
      <c r="BA74" s="32">
        <f t="shared" si="192"/>
        <v>0</v>
      </c>
      <c r="BB74" s="32">
        <f t="shared" si="192"/>
        <v>0</v>
      </c>
      <c r="BC74" s="32">
        <f t="shared" si="192"/>
        <v>0</v>
      </c>
      <c r="BD74" s="32">
        <f t="shared" si="192"/>
        <v>0</v>
      </c>
      <c r="BE74" s="32">
        <f t="shared" si="193"/>
        <v>0</v>
      </c>
      <c r="BF74" s="32">
        <f t="shared" si="193"/>
        <v>0</v>
      </c>
      <c r="BG74" s="32">
        <f t="shared" si="193"/>
        <v>0</v>
      </c>
      <c r="BH74" s="32">
        <f t="shared" si="193"/>
        <v>0</v>
      </c>
      <c r="BI74" s="32">
        <f t="shared" si="193"/>
        <v>0</v>
      </c>
      <c r="BJ74" s="32">
        <f t="shared" si="193"/>
        <v>0</v>
      </c>
      <c r="BK74" s="32">
        <f t="shared" si="193"/>
        <v>0</v>
      </c>
      <c r="BL74" s="32">
        <f t="shared" si="193"/>
        <v>0</v>
      </c>
      <c r="BM74" s="32">
        <f t="shared" si="193"/>
        <v>0</v>
      </c>
      <c r="BN74" s="32">
        <f t="shared" si="193"/>
        <v>0</v>
      </c>
      <c r="BO74" s="32">
        <f t="shared" si="194"/>
        <v>0</v>
      </c>
      <c r="BP74" s="32">
        <f t="shared" si="194"/>
        <v>0</v>
      </c>
      <c r="BQ74" s="32">
        <f t="shared" si="194"/>
        <v>0</v>
      </c>
      <c r="BR74" s="32">
        <f t="shared" si="194"/>
        <v>0</v>
      </c>
      <c r="BS74" s="32">
        <f t="shared" si="194"/>
        <v>0</v>
      </c>
      <c r="BT74" s="273">
        <f t="shared" si="194"/>
        <v>0</v>
      </c>
      <c r="BU74" s="32">
        <f t="shared" si="179"/>
        <v>0</v>
      </c>
      <c r="BV74" s="32">
        <f t="shared" si="180"/>
        <v>0</v>
      </c>
      <c r="BW74" s="32">
        <f t="shared" si="181"/>
        <v>0</v>
      </c>
      <c r="BX74" s="32">
        <f t="shared" si="182"/>
        <v>0</v>
      </c>
      <c r="BY74" s="241"/>
      <c r="BZ74" s="32">
        <f t="shared" si="183"/>
        <v>0</v>
      </c>
      <c r="CA74" s="32">
        <f t="shared" si="183"/>
        <v>0</v>
      </c>
      <c r="CB74" s="32">
        <f t="shared" si="184"/>
        <v>0</v>
      </c>
      <c r="CC74" s="9">
        <f t="shared" si="195"/>
        <v>0</v>
      </c>
      <c r="CD74" s="9">
        <f t="shared" si="196"/>
        <v>0</v>
      </c>
      <c r="CE74" s="9">
        <f t="shared" si="197"/>
        <v>0</v>
      </c>
      <c r="CG74" s="129">
        <v>0</v>
      </c>
      <c r="CH74" s="129">
        <v>0</v>
      </c>
      <c r="CI74" s="129">
        <v>0</v>
      </c>
      <c r="CK74" s="62">
        <f t="shared" si="199"/>
        <v>0</v>
      </c>
      <c r="CM74" s="14">
        <f>-SUMIFS('FY25 By Venue Financials'!$N:$N,'FY25 By Venue Financials'!$A:$A,$C74)</f>
        <v>-14.46209</v>
      </c>
      <c r="CN74" s="62">
        <f t="shared" si="200"/>
        <v>-2.0503612807807278E-3</v>
      </c>
      <c r="CP74" s="112" t="s">
        <v>411</v>
      </c>
      <c r="CQ74" s="112" t="s">
        <v>486</v>
      </c>
      <c r="CS74" s="132"/>
    </row>
    <row r="75" spans="3:97">
      <c r="C75" s="4" t="s">
        <v>183</v>
      </c>
      <c r="D75" s="14">
        <f>-SUMIFS('P&amp;L'!C:C,'P&amp;L'!$A:$A,$C75)/1000</f>
        <v>-0.24099999999999999</v>
      </c>
      <c r="E75" s="14">
        <f>-SUMIFS('P&amp;L'!D:D,'P&amp;L'!$A:$A,$C75)/1000</f>
        <v>-8.334950000000001</v>
      </c>
      <c r="F75" s="14">
        <f>-SUMIFS('P&amp;L'!E:E,'P&amp;L'!$A:$A,$C75)/1000</f>
        <v>-0.73399999999999999</v>
      </c>
      <c r="G75" s="14">
        <f>-SUMIFS('P&amp;L'!F:F,'P&amp;L'!$A:$A,$C75)/1000</f>
        <v>-20.013999999999999</v>
      </c>
      <c r="H75" s="14">
        <f>-SUMIFS('P&amp;L'!G:G,'P&amp;L'!$A:$A,$C75)/1000</f>
        <v>-0.75600000000000001</v>
      </c>
      <c r="I75" s="14">
        <f>-SUMIFS('P&amp;L'!H:H,'P&amp;L'!$A:$A,$C75)/1000</f>
        <v>-0.77100000000000002</v>
      </c>
      <c r="J75" s="14">
        <f>-SUMIFS('P&amp;L'!I:I,'P&amp;L'!$A:$A,$C75)/1000</f>
        <v>-0.27200000000000002</v>
      </c>
      <c r="K75" s="14">
        <f>-SUMIFS('P&amp;L'!J:J,'P&amp;L'!$A:$A,$C75)/1000</f>
        <v>-0.25700000000000001</v>
      </c>
      <c r="L75" s="14">
        <f>-SUMIFS('P&amp;L'!K:K,'P&amp;L'!$A:$A,$C75)/1000</f>
        <v>0</v>
      </c>
      <c r="M75" s="14">
        <f>-SUMIFS('P&amp;L'!L:L,'P&amp;L'!$A:$A,$C75)/1000</f>
        <v>0</v>
      </c>
      <c r="N75" s="14">
        <f>-SUMIFS('P&amp;L'!M:M,'P&amp;L'!$A:$A,$C75)/1000</f>
        <v>0</v>
      </c>
      <c r="O75" s="14">
        <f>-SUMIFS('P&amp;L'!N:N,'P&amp;L'!$A:$A,$C75)/1000</f>
        <v>0</v>
      </c>
      <c r="P75" s="14">
        <f>-SUMIFS('P&amp;L'!O:O,'P&amp;L'!$A:$A,$C75)/1000</f>
        <v>-0.84116000000000002</v>
      </c>
      <c r="Q75" s="14">
        <f>-SUMIFS('P&amp;L'!P:P,'P&amp;L'!$A:$A,$C75)/1000</f>
        <v>0</v>
      </c>
      <c r="R75" s="14">
        <f>-SUMIFS('P&amp;L'!Q:Q,'P&amp;L'!$A:$A,$C75)/1000</f>
        <v>0</v>
      </c>
      <c r="S75" s="14">
        <f>-SUMIFS('P&amp;L'!R:R,'P&amp;L'!$A:$A,$C75)/1000</f>
        <v>-2.5541300000000002</v>
      </c>
      <c r="T75" s="14">
        <f>-SUMIFS('P&amp;L'!S:S,'P&amp;L'!$A:$A,$C75)/1000</f>
        <v>-0.34033999999999998</v>
      </c>
      <c r="U75" s="14">
        <f>-SUMIFS('P&amp;L'!T:T,'P&amp;L'!$A:$A,$C75)/1000</f>
        <v>-4.12256</v>
      </c>
      <c r="V75" s="14">
        <f>-SUMIFS('P&amp;L'!U:U,'P&amp;L'!$A:$A,$C75)/1000</f>
        <v>-2.1398299999999999</v>
      </c>
      <c r="W75" s="14">
        <f>-SUMIFS('P&amp;L'!V:V,'P&amp;L'!$A:$A,$C75)/1000</f>
        <v>-5.01783</v>
      </c>
      <c r="X75" s="14">
        <f>-SUMIFS('P&amp;L'!W:W,'P&amp;L'!$A:$A,$C75)/1000</f>
        <v>-2.7127300000000001</v>
      </c>
      <c r="Y75" s="14">
        <f>-SUMIFS('P&amp;L'!X:X,'P&amp;L'!$A:$A,$C75)/1000</f>
        <v>-5.6973599999999998</v>
      </c>
      <c r="Z75" s="14">
        <f>-SUMIFS('P&amp;L'!Y:Y,'P&amp;L'!$A:$A,$C75)/1000</f>
        <v>0</v>
      </c>
      <c r="AA75" s="14">
        <f>-SUMIFS('P&amp;L'!Z:Z,'P&amp;L'!$A:$A,$C75)/1000</f>
        <v>-2.7086799999999998</v>
      </c>
      <c r="AB75" s="14">
        <f>-SUMIFS('P&amp;L'!AA:AA,'P&amp;L'!$A:$A,$C75)/1000</f>
        <v>-6.0356199999999998</v>
      </c>
      <c r="AC75" s="14">
        <f>-SUMIFS('P&amp;L'!AB:AB,'P&amp;L'!$A:$A,$C75)/1000</f>
        <v>-4.5355499999999997</v>
      </c>
      <c r="AD75" s="14">
        <f>-SUMIFS('P&amp;L'!AC:AC,'P&amp;L'!$A:$A,$C75)/1000</f>
        <v>-5.8165500000000003</v>
      </c>
      <c r="AE75" s="14">
        <f>-SUMIFS('P&amp;L'!AD:AD,'P&amp;L'!$A:$A,$C75)/1000</f>
        <v>-5.4103699999999995</v>
      </c>
      <c r="AF75" s="14">
        <f>-SUMIFS('P&amp;L'!AE:AE,'P&amp;L'!$A:$A,$C75)/1000</f>
        <v>-2.9749099999999999</v>
      </c>
      <c r="AG75" s="14">
        <f>-SUMIFS('P&amp;L'!AF:AF,'P&amp;L'!$A:$A,$C75)/1000</f>
        <v>-4.1128200000000001</v>
      </c>
      <c r="AH75" s="14">
        <f>-SUMIFS('P&amp;L'!AG:AG,'P&amp;L'!$A:$A,$C75)/1000</f>
        <v>-1.61782</v>
      </c>
      <c r="AI75" s="253"/>
      <c r="AJ75" s="241"/>
      <c r="AK75" s="32">
        <f t="shared" si="191"/>
        <v>-2.5</v>
      </c>
      <c r="AL75" s="32">
        <f t="shared" si="191"/>
        <v>-2.5</v>
      </c>
      <c r="AM75" s="32">
        <f t="shared" si="191"/>
        <v>-2.5</v>
      </c>
      <c r="AN75" s="32">
        <f t="shared" si="191"/>
        <v>-2.5</v>
      </c>
      <c r="AO75" s="32">
        <f t="shared" si="191"/>
        <v>-2.5</v>
      </c>
      <c r="AP75" s="32">
        <f t="shared" si="191"/>
        <v>-2.5</v>
      </c>
      <c r="AQ75" s="32">
        <f t="shared" si="191"/>
        <v>-2.5</v>
      </c>
      <c r="AR75" s="32">
        <f t="shared" si="191"/>
        <v>-2.5</v>
      </c>
      <c r="AS75" s="32">
        <f t="shared" si="191"/>
        <v>-2.5</v>
      </c>
      <c r="AT75" s="32">
        <f t="shared" si="191"/>
        <v>-2.5</v>
      </c>
      <c r="AU75" s="32">
        <f t="shared" si="192"/>
        <v>-2.5</v>
      </c>
      <c r="AV75" s="32">
        <f t="shared" si="192"/>
        <v>-2.5</v>
      </c>
      <c r="AW75" s="32">
        <f t="shared" si="192"/>
        <v>-2.5</v>
      </c>
      <c r="AX75" s="32">
        <f t="shared" si="192"/>
        <v>-2.5</v>
      </c>
      <c r="AY75" s="32">
        <f t="shared" si="192"/>
        <v>-2.5</v>
      </c>
      <c r="AZ75" s="32">
        <f t="shared" si="192"/>
        <v>-2.5</v>
      </c>
      <c r="BA75" s="32">
        <f t="shared" si="192"/>
        <v>-2.5</v>
      </c>
      <c r="BB75" s="32">
        <f t="shared" si="192"/>
        <v>-2.5</v>
      </c>
      <c r="BC75" s="32">
        <f t="shared" si="192"/>
        <v>-2.5</v>
      </c>
      <c r="BD75" s="32">
        <f t="shared" si="192"/>
        <v>-2.5</v>
      </c>
      <c r="BE75" s="32">
        <f t="shared" si="193"/>
        <v>-2.5</v>
      </c>
      <c r="BF75" s="32">
        <f t="shared" si="193"/>
        <v>-2.5</v>
      </c>
      <c r="BG75" s="32">
        <f t="shared" si="193"/>
        <v>-2.5</v>
      </c>
      <c r="BH75" s="32">
        <f t="shared" si="193"/>
        <v>-2.5</v>
      </c>
      <c r="BI75" s="32">
        <f t="shared" si="193"/>
        <v>-2.5</v>
      </c>
      <c r="BJ75" s="32">
        <f t="shared" si="193"/>
        <v>-2.5</v>
      </c>
      <c r="BK75" s="32">
        <f t="shared" si="193"/>
        <v>-2.5</v>
      </c>
      <c r="BL75" s="32">
        <f t="shared" si="193"/>
        <v>-2.5</v>
      </c>
      <c r="BM75" s="32">
        <f t="shared" si="193"/>
        <v>-2.5</v>
      </c>
      <c r="BN75" s="32">
        <f t="shared" si="193"/>
        <v>-2.5</v>
      </c>
      <c r="BO75" s="32">
        <f t="shared" si="194"/>
        <v>-2.5</v>
      </c>
      <c r="BP75" s="32">
        <f t="shared" si="194"/>
        <v>-2.5</v>
      </c>
      <c r="BQ75" s="32">
        <f t="shared" si="194"/>
        <v>-2.5</v>
      </c>
      <c r="BR75" s="32">
        <f t="shared" si="194"/>
        <v>-2.5</v>
      </c>
      <c r="BS75" s="32">
        <f t="shared" si="194"/>
        <v>-2.5</v>
      </c>
      <c r="BT75" s="273">
        <f t="shared" si="194"/>
        <v>-2.5</v>
      </c>
      <c r="BU75" s="32">
        <f t="shared" si="179"/>
        <v>-2.5</v>
      </c>
      <c r="BV75" s="32">
        <f t="shared" si="180"/>
        <v>-2.5</v>
      </c>
      <c r="BW75" s="32">
        <f t="shared" si="181"/>
        <v>-2.5</v>
      </c>
      <c r="BX75" s="32">
        <f t="shared" si="182"/>
        <v>-2.5</v>
      </c>
      <c r="BY75" s="241"/>
      <c r="BZ75" s="32">
        <f t="shared" si="183"/>
        <v>-31.379950000000001</v>
      </c>
      <c r="CA75" s="32">
        <f t="shared" si="183"/>
        <v>-26.134620000000002</v>
      </c>
      <c r="CB75" s="32">
        <f t="shared" si="184"/>
        <v>-46.640240000000006</v>
      </c>
      <c r="CC75" s="9">
        <f>CG75</f>
        <v>-30</v>
      </c>
      <c r="CD75" s="9">
        <f t="shared" ref="CD75:CE75" si="201">CH75</f>
        <v>-30</v>
      </c>
      <c r="CE75" s="9">
        <f t="shared" si="201"/>
        <v>-30</v>
      </c>
      <c r="CG75" s="249">
        <v>-30</v>
      </c>
      <c r="CH75" s="249">
        <v>-30</v>
      </c>
      <c r="CI75" s="249">
        <v>-30</v>
      </c>
      <c r="CK75" s="62">
        <f t="shared" si="199"/>
        <v>-8.3159950602102406E-2</v>
      </c>
      <c r="CM75" s="14">
        <f>-SUMIFS('FY25 By Venue Financials'!$N:$N,'FY25 By Venue Financials'!$A:$A,$C75)</f>
        <v>-39.179400000000001</v>
      </c>
      <c r="CN75" s="62">
        <f t="shared" si="200"/>
        <v>-5.5546552928532776E-3</v>
      </c>
      <c r="CP75" s="112" t="s">
        <v>411</v>
      </c>
      <c r="CQ75" s="112" t="s">
        <v>486</v>
      </c>
      <c r="CR75" s="124" t="s">
        <v>1194</v>
      </c>
      <c r="CS75" s="132"/>
    </row>
    <row r="76" spans="3:97">
      <c r="C76" s="4" t="s">
        <v>189</v>
      </c>
      <c r="D76" s="14">
        <f>-SUMIFS('P&amp;L'!C:C,'P&amp;L'!$A:$A,$C76)/1000</f>
        <v>-0.43197000000000002</v>
      </c>
      <c r="E76" s="14">
        <f>-SUMIFS('P&amp;L'!D:D,'P&amp;L'!$A:$A,$C76)/1000</f>
        <v>-0.11822000000000001</v>
      </c>
      <c r="F76" s="14">
        <f>-SUMIFS('P&amp;L'!E:E,'P&amp;L'!$A:$A,$C76)/1000</f>
        <v>-2.5700000000000001E-2</v>
      </c>
      <c r="G76" s="14">
        <f>-SUMIFS('P&amp;L'!F:F,'P&amp;L'!$A:$A,$C76)/1000</f>
        <v>-0.40468999999999999</v>
      </c>
      <c r="H76" s="14">
        <f>-SUMIFS('P&amp;L'!G:G,'P&amp;L'!$A:$A,$C76)/1000</f>
        <v>-0.24377000000000001</v>
      </c>
      <c r="I76" s="14">
        <f>-SUMIFS('P&amp;L'!H:H,'P&amp;L'!$A:$A,$C76)/1000</f>
        <v>-2.6280399999999999</v>
      </c>
      <c r="J76" s="14">
        <f>-SUMIFS('P&amp;L'!I:I,'P&amp;L'!$A:$A,$C76)/1000</f>
        <v>-0.98248000000000002</v>
      </c>
      <c r="K76" s="14">
        <f>-SUMIFS('P&amp;L'!J:J,'P&amp;L'!$A:$A,$C76)/1000</f>
        <v>-0.58545000000000003</v>
      </c>
      <c r="L76" s="14">
        <f>-SUMIFS('P&amp;L'!K:K,'P&amp;L'!$A:$A,$C76)/1000</f>
        <v>-0.33234000000000002</v>
      </c>
      <c r="M76" s="14">
        <f>-SUMIFS('P&amp;L'!L:L,'P&amp;L'!$A:$A,$C76)/1000</f>
        <v>-0.36358999999999997</v>
      </c>
      <c r="N76" s="14">
        <f>-SUMIFS('P&amp;L'!M:M,'P&amp;L'!$A:$A,$C76)/1000</f>
        <v>-0.54866999999999999</v>
      </c>
      <c r="O76" s="14">
        <f>-SUMIFS('P&amp;L'!N:N,'P&amp;L'!$A:$A,$C76)/1000</f>
        <v>-0.36566000000000004</v>
      </c>
      <c r="P76" s="14">
        <f>-SUMIFS('P&amp;L'!O:O,'P&amp;L'!$A:$A,$C76)/1000</f>
        <v>-0.45162000000000002</v>
      </c>
      <c r="Q76" s="14">
        <f>-SUMIFS('P&amp;L'!P:P,'P&amp;L'!$A:$A,$C76)/1000</f>
        <v>-0.65022000000000002</v>
      </c>
      <c r="R76" s="14">
        <f>-SUMIFS('P&amp;L'!Q:Q,'P&amp;L'!$A:$A,$C76)/1000</f>
        <v>-0.37831999999999999</v>
      </c>
      <c r="S76" s="14">
        <f>-SUMIFS('P&amp;L'!R:R,'P&amp;L'!$A:$A,$C76)/1000</f>
        <v>-0.45732999999999996</v>
      </c>
      <c r="T76" s="14">
        <f>-SUMIFS('P&amp;L'!S:S,'P&amp;L'!$A:$A,$C76)/1000</f>
        <v>-0.38872000000000001</v>
      </c>
      <c r="U76" s="14">
        <f>-SUMIFS('P&amp;L'!T:T,'P&amp;L'!$A:$A,$C76)/1000</f>
        <v>-0.55157999999999996</v>
      </c>
      <c r="V76" s="14">
        <f>-SUMIFS('P&amp;L'!U:U,'P&amp;L'!$A:$A,$C76)/1000</f>
        <v>-0.98136000000000001</v>
      </c>
      <c r="W76" s="14">
        <f>-SUMIFS('P&amp;L'!V:V,'P&amp;L'!$A:$A,$C76)/1000</f>
        <v>-0.89076</v>
      </c>
      <c r="X76" s="14">
        <f>-SUMIFS('P&amp;L'!W:W,'P&amp;L'!$A:$A,$C76)/1000</f>
        <v>-1.0986599999999997</v>
      </c>
      <c r="Y76" s="14">
        <f>-SUMIFS('P&amp;L'!X:X,'P&amp;L'!$A:$A,$C76)/1000</f>
        <v>-0.55147000000000002</v>
      </c>
      <c r="Z76" s="14">
        <f>-SUMIFS('P&amp;L'!Y:Y,'P&amp;L'!$A:$A,$C76)/1000</f>
        <v>-0.59313000000000005</v>
      </c>
      <c r="AA76" s="14">
        <f>-SUMIFS('P&amp;L'!Z:Z,'P&amp;L'!$A:$A,$C76)/1000</f>
        <v>-0.53603000000000001</v>
      </c>
      <c r="AB76" s="14">
        <f>-SUMIFS('P&amp;L'!AA:AA,'P&amp;L'!$A:$A,$C76)/1000</f>
        <v>-0.70317999999999992</v>
      </c>
      <c r="AC76" s="14">
        <f>-SUMIFS('P&amp;L'!AB:AB,'P&amp;L'!$A:$A,$C76)/1000</f>
        <v>-1.1872199999999999</v>
      </c>
      <c r="AD76" s="14">
        <f>-SUMIFS('P&amp;L'!AC:AC,'P&amp;L'!$A:$A,$C76)/1000</f>
        <v>-0.86026000000000002</v>
      </c>
      <c r="AE76" s="14">
        <f>-SUMIFS('P&amp;L'!AD:AD,'P&amp;L'!$A:$A,$C76)/1000</f>
        <v>-0.70816999999999997</v>
      </c>
      <c r="AF76" s="14">
        <f>-SUMIFS('P&amp;L'!AE:AE,'P&amp;L'!$A:$A,$C76)/1000</f>
        <v>-0.65815000000000001</v>
      </c>
      <c r="AG76" s="14">
        <f>-SUMIFS('P&amp;L'!AF:AF,'P&amp;L'!$A:$A,$C76)/1000</f>
        <v>-0.46112000000000003</v>
      </c>
      <c r="AH76" s="14">
        <f>-SUMIFS('P&amp;L'!AG:AG,'P&amp;L'!$A:$A,$C76)/1000</f>
        <v>-0.62546000000000002</v>
      </c>
      <c r="AI76" s="253"/>
      <c r="AJ76" s="241"/>
      <c r="AK76" s="32">
        <f t="shared" si="191"/>
        <v>-0.57756241242271245</v>
      </c>
      <c r="AL76" s="32">
        <f t="shared" si="191"/>
        <v>-0.57756241242271245</v>
      </c>
      <c r="AM76" s="32">
        <f t="shared" si="191"/>
        <v>-0.57756241242271245</v>
      </c>
      <c r="AN76" s="32">
        <f t="shared" si="191"/>
        <v>-0.57756241242271245</v>
      </c>
      <c r="AO76" s="32">
        <f t="shared" si="191"/>
        <v>-0.57756241242271245</v>
      </c>
      <c r="AP76" s="32">
        <f t="shared" si="191"/>
        <v>-0.57756241242271245</v>
      </c>
      <c r="AQ76" s="32">
        <f t="shared" si="191"/>
        <v>-0.57756241242271245</v>
      </c>
      <c r="AR76" s="32">
        <f t="shared" si="191"/>
        <v>-0.57756241242271245</v>
      </c>
      <c r="AS76" s="32">
        <f t="shared" si="191"/>
        <v>-0.57756241242271245</v>
      </c>
      <c r="AT76" s="32">
        <f t="shared" si="191"/>
        <v>-0.57756241242271245</v>
      </c>
      <c r="AU76" s="32">
        <f t="shared" si="192"/>
        <v>-0.57756241242271245</v>
      </c>
      <c r="AV76" s="32">
        <f t="shared" si="192"/>
        <v>-0.57756241242271245</v>
      </c>
      <c r="AW76" s="32">
        <f t="shared" si="192"/>
        <v>-1.1149110095841319</v>
      </c>
      <c r="AX76" s="32">
        <f t="shared" si="192"/>
        <v>-1.1149110095841319</v>
      </c>
      <c r="AY76" s="32">
        <f t="shared" si="192"/>
        <v>-1.1149110095841319</v>
      </c>
      <c r="AZ76" s="32">
        <f t="shared" si="192"/>
        <v>-1.1149110095841319</v>
      </c>
      <c r="BA76" s="32">
        <f t="shared" si="192"/>
        <v>-1.1149110095841319</v>
      </c>
      <c r="BB76" s="32">
        <f t="shared" si="192"/>
        <v>-1.1149110095841319</v>
      </c>
      <c r="BC76" s="32">
        <f t="shared" si="192"/>
        <v>-1.1149110095841319</v>
      </c>
      <c r="BD76" s="32">
        <f t="shared" si="192"/>
        <v>-1.1149110095841319</v>
      </c>
      <c r="BE76" s="32">
        <f t="shared" si="193"/>
        <v>-1.1149110095841319</v>
      </c>
      <c r="BF76" s="32">
        <f t="shared" si="193"/>
        <v>-1.1149110095841319</v>
      </c>
      <c r="BG76" s="32">
        <f t="shared" si="193"/>
        <v>-1.1149110095841319</v>
      </c>
      <c r="BH76" s="32">
        <f t="shared" si="193"/>
        <v>-1.1149110095841319</v>
      </c>
      <c r="BI76" s="32">
        <f t="shared" si="193"/>
        <v>-1.6580957097092179</v>
      </c>
      <c r="BJ76" s="32">
        <f t="shared" si="193"/>
        <v>-1.6580957097092179</v>
      </c>
      <c r="BK76" s="32">
        <f t="shared" si="193"/>
        <v>-1.6580957097092179</v>
      </c>
      <c r="BL76" s="32">
        <f t="shared" si="193"/>
        <v>-1.6580957097092179</v>
      </c>
      <c r="BM76" s="32">
        <f t="shared" si="193"/>
        <v>-1.6580957097092179</v>
      </c>
      <c r="BN76" s="32">
        <f t="shared" si="193"/>
        <v>-1.6580957097092179</v>
      </c>
      <c r="BO76" s="32">
        <f t="shared" si="194"/>
        <v>-1.6580957097092179</v>
      </c>
      <c r="BP76" s="32">
        <f t="shared" si="194"/>
        <v>-1.6580957097092179</v>
      </c>
      <c r="BQ76" s="32">
        <f t="shared" si="194"/>
        <v>-1.6580957097092179</v>
      </c>
      <c r="BR76" s="32">
        <f t="shared" si="194"/>
        <v>-1.6580957097092179</v>
      </c>
      <c r="BS76" s="32">
        <f t="shared" si="194"/>
        <v>-1.6580957097092179</v>
      </c>
      <c r="BT76" s="273">
        <f t="shared" si="194"/>
        <v>-1.6580957097092179</v>
      </c>
      <c r="BU76" s="32">
        <f t="shared" si="179"/>
        <v>-1.6580957097092179</v>
      </c>
      <c r="BV76" s="32">
        <f t="shared" si="180"/>
        <v>-1.6580957097092179</v>
      </c>
      <c r="BW76" s="32">
        <f t="shared" si="181"/>
        <v>-1.6580957097092179</v>
      </c>
      <c r="BX76" s="32">
        <f t="shared" si="182"/>
        <v>-1.6580957097092179</v>
      </c>
      <c r="BY76" s="241"/>
      <c r="BZ76" s="32">
        <f t="shared" si="183"/>
        <v>-7.0305800000000005</v>
      </c>
      <c r="CA76" s="32">
        <f t="shared" si="183"/>
        <v>-7.5292000000000003</v>
      </c>
      <c r="CB76" s="32">
        <f t="shared" si="184"/>
        <v>-8.8736099999999993</v>
      </c>
      <c r="CC76" s="9">
        <f t="shared" si="195"/>
        <v>-6.9307489490725498</v>
      </c>
      <c r="CD76" s="9">
        <f t="shared" si="196"/>
        <v>-13.378932115009583</v>
      </c>
      <c r="CE76" s="9">
        <f t="shared" si="197"/>
        <v>-19.897148516510615</v>
      </c>
      <c r="CG76" s="129">
        <f t="shared" si="198"/>
        <v>-7.6466431003428016E-3</v>
      </c>
      <c r="CH76" s="129">
        <f t="shared" si="198"/>
        <v>-7.6466431003428016E-3</v>
      </c>
      <c r="CI76" s="129">
        <f t="shared" si="198"/>
        <v>-7.6466431003428016E-3</v>
      </c>
      <c r="CK76" s="62">
        <f t="shared" si="199"/>
        <v>-1.582172324289759E-2</v>
      </c>
      <c r="CM76" s="14">
        <f>-SUMIFS('FY25 By Venue Financials'!$N:$N,'FY25 By Venue Financials'!$A:$A,$C76)</f>
        <v>-53.935099999999998</v>
      </c>
      <c r="CN76" s="62">
        <f t="shared" si="200"/>
        <v>-7.6466431003428016E-3</v>
      </c>
      <c r="CP76" s="112" t="s">
        <v>411</v>
      </c>
      <c r="CQ76" s="112" t="s">
        <v>486</v>
      </c>
      <c r="CS76" s="132"/>
    </row>
    <row r="77" spans="3:97">
      <c r="C77" s="4" t="s">
        <v>326</v>
      </c>
      <c r="D77" s="14">
        <f>-SUMIFS('P&amp;L'!C:C,'P&amp;L'!$A:$A,$C77)/1000</f>
        <v>0</v>
      </c>
      <c r="E77" s="14">
        <f>-SUMIFS('P&amp;L'!D:D,'P&amp;L'!$A:$A,$C77)/1000</f>
        <v>0</v>
      </c>
      <c r="F77" s="14">
        <f>-SUMIFS('P&amp;L'!E:E,'P&amp;L'!$A:$A,$C77)/1000</f>
        <v>0</v>
      </c>
      <c r="G77" s="14">
        <f>-SUMIFS('P&amp;L'!F:F,'P&amp;L'!$A:$A,$C77)/1000</f>
        <v>0</v>
      </c>
      <c r="H77" s="14">
        <f>-SUMIFS('P&amp;L'!G:G,'P&amp;L'!$A:$A,$C77)/1000</f>
        <v>0</v>
      </c>
      <c r="I77" s="14">
        <f>-SUMIFS('P&amp;L'!H:H,'P&amp;L'!$A:$A,$C77)/1000</f>
        <v>0</v>
      </c>
      <c r="J77" s="14">
        <f>-SUMIFS('P&amp;L'!I:I,'P&amp;L'!$A:$A,$C77)/1000</f>
        <v>0</v>
      </c>
      <c r="K77" s="14">
        <f>-SUMIFS('P&amp;L'!J:J,'P&amp;L'!$A:$A,$C77)/1000</f>
        <v>0</v>
      </c>
      <c r="L77" s="14">
        <f>-SUMIFS('P&amp;L'!K:K,'P&amp;L'!$A:$A,$C77)/1000</f>
        <v>0</v>
      </c>
      <c r="M77" s="14">
        <f>-SUMIFS('P&amp;L'!L:L,'P&amp;L'!$A:$A,$C77)/1000</f>
        <v>0</v>
      </c>
      <c r="N77" s="14">
        <f>-SUMIFS('P&amp;L'!M:M,'P&amp;L'!$A:$A,$C77)/1000</f>
        <v>0</v>
      </c>
      <c r="O77" s="14">
        <f>-SUMIFS('P&amp;L'!N:N,'P&amp;L'!$A:$A,$C77)/1000</f>
        <v>0</v>
      </c>
      <c r="P77" s="14">
        <f>-SUMIFS('P&amp;L'!O:O,'P&amp;L'!$A:$A,$C77)/1000</f>
        <v>0</v>
      </c>
      <c r="Q77" s="14">
        <f>-SUMIFS('P&amp;L'!P:P,'P&amp;L'!$A:$A,$C77)/1000</f>
        <v>0</v>
      </c>
      <c r="R77" s="14">
        <f>-SUMIFS('P&amp;L'!Q:Q,'P&amp;L'!$A:$A,$C77)/1000</f>
        <v>0</v>
      </c>
      <c r="S77" s="14">
        <f>-SUMIFS('P&amp;L'!R:R,'P&amp;L'!$A:$A,$C77)/1000</f>
        <v>0</v>
      </c>
      <c r="T77" s="14">
        <f>-SUMIFS('P&amp;L'!S:S,'P&amp;L'!$A:$A,$C77)/1000</f>
        <v>0</v>
      </c>
      <c r="U77" s="14">
        <f>-SUMIFS('P&amp;L'!T:T,'P&amp;L'!$A:$A,$C77)/1000</f>
        <v>0</v>
      </c>
      <c r="V77" s="14">
        <f>-SUMIFS('P&amp;L'!U:U,'P&amp;L'!$A:$A,$C77)/1000</f>
        <v>0</v>
      </c>
      <c r="W77" s="14">
        <f>-SUMIFS('P&amp;L'!V:V,'P&amp;L'!$A:$A,$C77)/1000</f>
        <v>0</v>
      </c>
      <c r="X77" s="14">
        <f>-SUMIFS('P&amp;L'!W:W,'P&amp;L'!$A:$A,$C77)/1000</f>
        <v>0</v>
      </c>
      <c r="Y77" s="14">
        <f>-SUMIFS('P&amp;L'!X:X,'P&amp;L'!$A:$A,$C77)/1000</f>
        <v>0</v>
      </c>
      <c r="Z77" s="14">
        <f>-SUMIFS('P&amp;L'!Y:Y,'P&amp;L'!$A:$A,$C77)/1000</f>
        <v>0</v>
      </c>
      <c r="AA77" s="14">
        <f>-SUMIFS('P&amp;L'!Z:Z,'P&amp;L'!$A:$A,$C77)/1000</f>
        <v>0</v>
      </c>
      <c r="AB77" s="14">
        <f>-SUMIFS('P&amp;L'!AA:AA,'P&amp;L'!$A:$A,$C77)/1000</f>
        <v>0</v>
      </c>
      <c r="AC77" s="14">
        <f>-SUMIFS('P&amp;L'!AB:AB,'P&amp;L'!$A:$A,$C77)/1000</f>
        <v>0</v>
      </c>
      <c r="AD77" s="14">
        <f>-SUMIFS('P&amp;L'!AC:AC,'P&amp;L'!$A:$A,$C77)/1000</f>
        <v>0</v>
      </c>
      <c r="AE77" s="14">
        <f>-SUMIFS('P&amp;L'!AD:AD,'P&amp;L'!$A:$A,$C77)/1000</f>
        <v>0</v>
      </c>
      <c r="AF77" s="14">
        <f>-SUMIFS('P&amp;L'!AE:AE,'P&amp;L'!$A:$A,$C77)/1000</f>
        <v>0</v>
      </c>
      <c r="AG77" s="14">
        <f>-SUMIFS('P&amp;L'!AF:AF,'P&amp;L'!$A:$A,$C77)/1000</f>
        <v>0</v>
      </c>
      <c r="AH77" s="14">
        <f>-SUMIFS('P&amp;L'!AG:AG,'P&amp;L'!$A:$A,$C77)/1000</f>
        <v>0</v>
      </c>
      <c r="AI77" s="253"/>
      <c r="AJ77" s="241"/>
      <c r="AK77" s="32">
        <f t="shared" si="191"/>
        <v>0</v>
      </c>
      <c r="AL77" s="32">
        <f t="shared" si="191"/>
        <v>0</v>
      </c>
      <c r="AM77" s="32">
        <f t="shared" si="191"/>
        <v>0</v>
      </c>
      <c r="AN77" s="32">
        <f t="shared" si="191"/>
        <v>0</v>
      </c>
      <c r="AO77" s="32">
        <f t="shared" si="191"/>
        <v>0</v>
      </c>
      <c r="AP77" s="32">
        <f t="shared" si="191"/>
        <v>0</v>
      </c>
      <c r="AQ77" s="32">
        <f t="shared" si="191"/>
        <v>0</v>
      </c>
      <c r="AR77" s="32">
        <f t="shared" si="191"/>
        <v>0</v>
      </c>
      <c r="AS77" s="32">
        <f t="shared" si="191"/>
        <v>0</v>
      </c>
      <c r="AT77" s="32">
        <f t="shared" si="191"/>
        <v>0</v>
      </c>
      <c r="AU77" s="32">
        <f t="shared" si="192"/>
        <v>0</v>
      </c>
      <c r="AV77" s="32">
        <f t="shared" si="192"/>
        <v>0</v>
      </c>
      <c r="AW77" s="32">
        <f t="shared" si="192"/>
        <v>0</v>
      </c>
      <c r="AX77" s="32">
        <f t="shared" si="192"/>
        <v>0</v>
      </c>
      <c r="AY77" s="32">
        <f t="shared" si="192"/>
        <v>0</v>
      </c>
      <c r="AZ77" s="32">
        <f t="shared" si="192"/>
        <v>0</v>
      </c>
      <c r="BA77" s="32">
        <f t="shared" si="192"/>
        <v>0</v>
      </c>
      <c r="BB77" s="32">
        <f t="shared" si="192"/>
        <v>0</v>
      </c>
      <c r="BC77" s="32">
        <f t="shared" si="192"/>
        <v>0</v>
      </c>
      <c r="BD77" s="32">
        <f t="shared" si="192"/>
        <v>0</v>
      </c>
      <c r="BE77" s="32">
        <f t="shared" si="193"/>
        <v>0</v>
      </c>
      <c r="BF77" s="32">
        <f t="shared" si="193"/>
        <v>0</v>
      </c>
      <c r="BG77" s="32">
        <f t="shared" si="193"/>
        <v>0</v>
      </c>
      <c r="BH77" s="32">
        <f t="shared" si="193"/>
        <v>0</v>
      </c>
      <c r="BI77" s="32">
        <f t="shared" si="193"/>
        <v>0</v>
      </c>
      <c r="BJ77" s="32">
        <f t="shared" si="193"/>
        <v>0</v>
      </c>
      <c r="BK77" s="32">
        <f t="shared" si="193"/>
        <v>0</v>
      </c>
      <c r="BL77" s="32">
        <f t="shared" si="193"/>
        <v>0</v>
      </c>
      <c r="BM77" s="32">
        <f t="shared" si="193"/>
        <v>0</v>
      </c>
      <c r="BN77" s="32">
        <f t="shared" si="193"/>
        <v>0</v>
      </c>
      <c r="BO77" s="32">
        <f t="shared" si="194"/>
        <v>0</v>
      </c>
      <c r="BP77" s="32">
        <f t="shared" si="194"/>
        <v>0</v>
      </c>
      <c r="BQ77" s="32">
        <f t="shared" si="194"/>
        <v>0</v>
      </c>
      <c r="BR77" s="32">
        <f t="shared" si="194"/>
        <v>0</v>
      </c>
      <c r="BS77" s="32">
        <f t="shared" si="194"/>
        <v>0</v>
      </c>
      <c r="BT77" s="273">
        <f t="shared" si="194"/>
        <v>0</v>
      </c>
      <c r="BU77" s="32">
        <f t="shared" si="179"/>
        <v>0</v>
      </c>
      <c r="BV77" s="32">
        <f t="shared" si="180"/>
        <v>0</v>
      </c>
      <c r="BW77" s="32">
        <f t="shared" si="181"/>
        <v>0</v>
      </c>
      <c r="BX77" s="32">
        <f t="shared" si="182"/>
        <v>0</v>
      </c>
      <c r="BY77" s="241"/>
      <c r="BZ77" s="32">
        <f t="shared" si="183"/>
        <v>0</v>
      </c>
      <c r="CA77" s="32">
        <f t="shared" si="183"/>
        <v>0</v>
      </c>
      <c r="CB77" s="32">
        <f t="shared" si="184"/>
        <v>0</v>
      </c>
      <c r="CC77" s="9">
        <f t="shared" si="195"/>
        <v>0</v>
      </c>
      <c r="CD77" s="9">
        <f t="shared" si="196"/>
        <v>0</v>
      </c>
      <c r="CE77" s="9">
        <f t="shared" si="197"/>
        <v>0</v>
      </c>
      <c r="CG77" s="129">
        <v>0</v>
      </c>
      <c r="CH77" s="129">
        <v>0</v>
      </c>
      <c r="CI77" s="129">
        <v>0</v>
      </c>
      <c r="CK77" s="62">
        <f t="shared" si="199"/>
        <v>0</v>
      </c>
      <c r="CM77" s="14">
        <f>-SUMIFS('FY25 By Venue Financials'!$N:$N,'FY25 By Venue Financials'!$A:$A,$C77)</f>
        <v>0</v>
      </c>
      <c r="CN77" s="62">
        <f t="shared" si="200"/>
        <v>0</v>
      </c>
      <c r="CP77" s="112" t="s">
        <v>411</v>
      </c>
      <c r="CQ77" s="112" t="s">
        <v>487</v>
      </c>
      <c r="CS77" s="132"/>
    </row>
    <row r="78" spans="3:97">
      <c r="C78" s="4" t="s">
        <v>203</v>
      </c>
      <c r="D78" s="14">
        <f>-SUMIFS('P&amp;L'!C:C,'P&amp;L'!$A:$A,$C78)/1000</f>
        <v>-0.25</v>
      </c>
      <c r="E78" s="14">
        <f>-SUMIFS('P&amp;L'!D:D,'P&amp;L'!$A:$A,$C78)/1000</f>
        <v>-0.1</v>
      </c>
      <c r="F78" s="14">
        <f>-SUMIFS('P&amp;L'!E:E,'P&amp;L'!$A:$A,$C78)/1000</f>
        <v>-1.0172600000000001</v>
      </c>
      <c r="G78" s="14">
        <f>-SUMIFS('P&amp;L'!F:F,'P&amp;L'!$A:$A,$C78)/1000</f>
        <v>-1.2004300000000001</v>
      </c>
      <c r="H78" s="14">
        <f>-SUMIFS('P&amp;L'!G:G,'P&amp;L'!$A:$A,$C78)/1000</f>
        <v>-0.245</v>
      </c>
      <c r="I78" s="14">
        <f>-SUMIFS('P&amp;L'!H:H,'P&amp;L'!$A:$A,$C78)/1000</f>
        <v>0.45</v>
      </c>
      <c r="J78" s="14">
        <f>-SUMIFS('P&amp;L'!I:I,'P&amp;L'!$A:$A,$C78)/1000</f>
        <v>0</v>
      </c>
      <c r="K78" s="14">
        <f>-SUMIFS('P&amp;L'!J:J,'P&amp;L'!$A:$A,$C78)/1000</f>
        <v>0</v>
      </c>
      <c r="L78" s="14">
        <f>-SUMIFS('P&amp;L'!K:K,'P&amp;L'!$A:$A,$C78)/1000</f>
        <v>0</v>
      </c>
      <c r="M78" s="14">
        <f>-SUMIFS('P&amp;L'!L:L,'P&amp;L'!$A:$A,$C78)/1000</f>
        <v>-0.69177</v>
      </c>
      <c r="N78" s="14">
        <f>-SUMIFS('P&amp;L'!M:M,'P&amp;L'!$A:$A,$C78)/1000</f>
        <v>-0.21331</v>
      </c>
      <c r="O78" s="14">
        <f>-SUMIFS('P&amp;L'!N:N,'P&amp;L'!$A:$A,$C78)/1000</f>
        <v>-1.61646</v>
      </c>
      <c r="P78" s="14">
        <f>-SUMIFS('P&amp;L'!O:O,'P&amp;L'!$A:$A,$C78)/1000</f>
        <v>-0.25</v>
      </c>
      <c r="Q78" s="14">
        <f>-SUMIFS('P&amp;L'!P:P,'P&amp;L'!$A:$A,$C78)/1000</f>
        <v>-0.56220999999999999</v>
      </c>
      <c r="R78" s="14">
        <f>-SUMIFS('P&amp;L'!Q:Q,'P&amp;L'!$A:$A,$C78)/1000</f>
        <v>-0.15628999999999998</v>
      </c>
      <c r="S78" s="14">
        <f>-SUMIFS('P&amp;L'!R:R,'P&amp;L'!$A:$A,$C78)/1000</f>
        <v>-1.4151099999999999</v>
      </c>
      <c r="T78" s="14">
        <f>-SUMIFS('P&amp;L'!S:S,'P&amp;L'!$A:$A,$C78)/1000</f>
        <v>-0.77925999999999995</v>
      </c>
      <c r="U78" s="14">
        <f>-SUMIFS('P&amp;L'!T:T,'P&amp;L'!$A:$A,$C78)/1000</f>
        <v>-0.81670000000000009</v>
      </c>
      <c r="V78" s="14">
        <f>-SUMIFS('P&amp;L'!U:U,'P&amp;L'!$A:$A,$C78)/1000</f>
        <v>-0.31425999999999998</v>
      </c>
      <c r="W78" s="14">
        <f>-SUMIFS('P&amp;L'!V:V,'P&amp;L'!$A:$A,$C78)/1000</f>
        <v>0</v>
      </c>
      <c r="X78" s="14">
        <f>-SUMIFS('P&amp;L'!W:W,'P&amp;L'!$A:$A,$C78)/1000</f>
        <v>-0.79795000000000005</v>
      </c>
      <c r="Y78" s="14">
        <f>-SUMIFS('P&amp;L'!X:X,'P&amp;L'!$A:$A,$C78)/1000</f>
        <v>-0.30862000000000001</v>
      </c>
      <c r="Z78" s="14">
        <f>-SUMIFS('P&amp;L'!Y:Y,'P&amp;L'!$A:$A,$C78)/1000</f>
        <v>0</v>
      </c>
      <c r="AA78" s="14">
        <f>-SUMIFS('P&amp;L'!Z:Z,'P&amp;L'!$A:$A,$C78)/1000</f>
        <v>-2.4500000000000002</v>
      </c>
      <c r="AB78" s="14">
        <f>-SUMIFS('P&amp;L'!AA:AA,'P&amp;L'!$A:$A,$C78)/1000</f>
        <v>-0.06</v>
      </c>
      <c r="AC78" s="14">
        <f>-SUMIFS('P&amp;L'!AB:AB,'P&amp;L'!$A:$A,$C78)/1000</f>
        <v>0</v>
      </c>
      <c r="AD78" s="14">
        <f>-SUMIFS('P&amp;L'!AC:AC,'P&amp;L'!$A:$A,$C78)/1000</f>
        <v>-2.4500000000000002</v>
      </c>
      <c r="AE78" s="14">
        <f>-SUMIFS('P&amp;L'!AD:AD,'P&amp;L'!$A:$A,$C78)/1000</f>
        <v>0</v>
      </c>
      <c r="AF78" s="14">
        <f>-SUMIFS('P&amp;L'!AE:AE,'P&amp;L'!$A:$A,$C78)/1000</f>
        <v>-2.4500000000000002</v>
      </c>
      <c r="AG78" s="14">
        <f>-SUMIFS('P&amp;L'!AF:AF,'P&amp;L'!$A:$A,$C78)/1000</f>
        <v>0</v>
      </c>
      <c r="AH78" s="14">
        <f>-SUMIFS('P&amp;L'!AG:AG,'P&amp;L'!$A:$A,$C78)/1000</f>
        <v>-1.5242</v>
      </c>
      <c r="AI78" s="253"/>
      <c r="AJ78" s="241"/>
      <c r="AK78" s="32">
        <f t="shared" si="191"/>
        <v>-1.3522237718057808</v>
      </c>
      <c r="AL78" s="32">
        <f t="shared" si="191"/>
        <v>-1.3522237718057808</v>
      </c>
      <c r="AM78" s="32">
        <f t="shared" si="191"/>
        <v>-1.3522237718057808</v>
      </c>
      <c r="AN78" s="32">
        <f t="shared" si="191"/>
        <v>-1.3522237718057808</v>
      </c>
      <c r="AO78" s="32">
        <f t="shared" si="191"/>
        <v>-1.3522237718057808</v>
      </c>
      <c r="AP78" s="32">
        <f t="shared" si="191"/>
        <v>-1.3522237718057808</v>
      </c>
      <c r="AQ78" s="32">
        <f t="shared" si="191"/>
        <v>-1.3522237718057808</v>
      </c>
      <c r="AR78" s="32">
        <f t="shared" si="191"/>
        <v>-1.3522237718057808</v>
      </c>
      <c r="AS78" s="32">
        <f t="shared" si="191"/>
        <v>-1.3522237718057808</v>
      </c>
      <c r="AT78" s="32">
        <f t="shared" si="191"/>
        <v>-1.3522237718057808</v>
      </c>
      <c r="AU78" s="32">
        <f t="shared" si="192"/>
        <v>-1.3522237718057808</v>
      </c>
      <c r="AV78" s="32">
        <f t="shared" si="192"/>
        <v>-1.3522237718057808</v>
      </c>
      <c r="AW78" s="32">
        <f t="shared" si="192"/>
        <v>-2.6102965466254076</v>
      </c>
      <c r="AX78" s="32">
        <f t="shared" si="192"/>
        <v>-2.6102965466254076</v>
      </c>
      <c r="AY78" s="32">
        <f t="shared" si="192"/>
        <v>-2.6102965466254076</v>
      </c>
      <c r="AZ78" s="32">
        <f t="shared" si="192"/>
        <v>-2.6102965466254076</v>
      </c>
      <c r="BA78" s="32">
        <f t="shared" si="192"/>
        <v>-2.6102965466254076</v>
      </c>
      <c r="BB78" s="32">
        <f t="shared" si="192"/>
        <v>-2.6102965466254076</v>
      </c>
      <c r="BC78" s="32">
        <f t="shared" si="192"/>
        <v>-2.6102965466254076</v>
      </c>
      <c r="BD78" s="32">
        <f t="shared" si="192"/>
        <v>-2.6102965466254076</v>
      </c>
      <c r="BE78" s="32">
        <f t="shared" si="193"/>
        <v>-2.6102965466254076</v>
      </c>
      <c r="BF78" s="32">
        <f t="shared" si="193"/>
        <v>-2.6102965466254076</v>
      </c>
      <c r="BG78" s="32">
        <f t="shared" si="193"/>
        <v>-2.6102965466254076</v>
      </c>
      <c r="BH78" s="32">
        <f t="shared" si="193"/>
        <v>-2.6102965466254076</v>
      </c>
      <c r="BI78" s="32">
        <f t="shared" si="193"/>
        <v>-3.8820331558505199</v>
      </c>
      <c r="BJ78" s="32">
        <f t="shared" si="193"/>
        <v>-3.8820331558505199</v>
      </c>
      <c r="BK78" s="32">
        <f t="shared" si="193"/>
        <v>-3.8820331558505199</v>
      </c>
      <c r="BL78" s="32">
        <f t="shared" si="193"/>
        <v>-3.8820331558505199</v>
      </c>
      <c r="BM78" s="32">
        <f t="shared" si="193"/>
        <v>-3.8820331558505199</v>
      </c>
      <c r="BN78" s="32">
        <f t="shared" si="193"/>
        <v>-3.8820331558505199</v>
      </c>
      <c r="BO78" s="32">
        <f t="shared" si="194"/>
        <v>-3.8820331558505199</v>
      </c>
      <c r="BP78" s="32">
        <f t="shared" si="194"/>
        <v>-3.8820331558505199</v>
      </c>
      <c r="BQ78" s="32">
        <f t="shared" si="194"/>
        <v>-3.8820331558505199</v>
      </c>
      <c r="BR78" s="32">
        <f t="shared" si="194"/>
        <v>-3.8820331558505199</v>
      </c>
      <c r="BS78" s="32">
        <f t="shared" si="194"/>
        <v>-3.8820331558505199</v>
      </c>
      <c r="BT78" s="273">
        <f t="shared" si="194"/>
        <v>-3.8820331558505199</v>
      </c>
      <c r="BU78" s="32">
        <f t="shared" si="179"/>
        <v>-3.8820331558505199</v>
      </c>
      <c r="BV78" s="32">
        <f t="shared" si="180"/>
        <v>-3.8820331558505199</v>
      </c>
      <c r="BW78" s="32">
        <f t="shared" si="181"/>
        <v>-3.8820331558505199</v>
      </c>
      <c r="BX78" s="32">
        <f t="shared" si="182"/>
        <v>-3.8820331558505199</v>
      </c>
      <c r="BY78" s="241"/>
      <c r="BZ78" s="32">
        <f t="shared" si="183"/>
        <v>-4.8842299999999996</v>
      </c>
      <c r="CA78" s="32">
        <f t="shared" si="183"/>
        <v>-7.8504000000000005</v>
      </c>
      <c r="CB78" s="32">
        <f t="shared" si="184"/>
        <v>-10.040770000000002</v>
      </c>
      <c r="CC78" s="9">
        <f t="shared" si="195"/>
        <v>-16.22668526166937</v>
      </c>
      <c r="CD78" s="9">
        <f t="shared" si="196"/>
        <v>-31.323558559504892</v>
      </c>
      <c r="CE78" s="9">
        <f t="shared" si="197"/>
        <v>-46.584397870206239</v>
      </c>
      <c r="CG78" s="129">
        <f>$CK78</f>
        <v>-1.790277959991355E-2</v>
      </c>
      <c r="CH78" s="129">
        <f t="shared" ref="CH78:CI78" si="202">$CK78</f>
        <v>-1.790277959991355E-2</v>
      </c>
      <c r="CI78" s="129">
        <f t="shared" si="202"/>
        <v>-1.790277959991355E-2</v>
      </c>
      <c r="CK78" s="62">
        <f t="shared" si="199"/>
        <v>-1.790277959991355E-2</v>
      </c>
      <c r="CM78" s="14">
        <f>-SUMIFS('FY25 By Venue Financials'!$N:$N,'FY25 By Venue Financials'!$A:$A,$C78)</f>
        <v>-31.206620000000001</v>
      </c>
      <c r="CN78" s="62">
        <f t="shared" si="200"/>
        <v>-4.424315251256041E-3</v>
      </c>
      <c r="CP78" s="112" t="s">
        <v>411</v>
      </c>
      <c r="CQ78" s="112" t="s">
        <v>486</v>
      </c>
      <c r="CS78" s="132"/>
    </row>
    <row r="79" spans="3:97" ht="5.15" customHeight="1">
      <c r="C79" s="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253"/>
      <c r="AJ79" s="241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241"/>
      <c r="BZ79" s="14"/>
      <c r="CA79" s="14"/>
      <c r="CB79" s="14"/>
      <c r="CC79" s="9"/>
      <c r="CD79" s="9"/>
      <c r="CE79" s="9"/>
      <c r="CG79" s="126"/>
      <c r="CH79" s="126"/>
      <c r="CI79" s="126"/>
      <c r="CK79" s="126"/>
      <c r="CM79" s="9"/>
      <c r="CN79" s="126"/>
      <c r="CS79" s="132"/>
    </row>
    <row r="80" spans="3:97">
      <c r="C80" s="5" t="s">
        <v>204</v>
      </c>
      <c r="D80" s="43">
        <f>SUM(D64:D79)</f>
        <v>-30.65052</v>
      </c>
      <c r="E80" s="43">
        <f>SUM(E64:E79)</f>
        <v>-25.888820000000003</v>
      </c>
      <c r="F80" s="43">
        <f t="shared" ref="F80" si="203">SUM(F64:F79)</f>
        <v>-21.936040000000006</v>
      </c>
      <c r="G80" s="43">
        <f>SUM(G64:G79)</f>
        <v>-41.009630000000001</v>
      </c>
      <c r="H80" s="43">
        <f t="shared" ref="H80" si="204">SUM(H64:H79)</f>
        <v>-7.9887899999999998</v>
      </c>
      <c r="I80" s="43">
        <f>SUM(I64:I79)</f>
        <v>-12.528870000000003</v>
      </c>
      <c r="J80" s="43">
        <f t="shared" ref="J80" si="205">SUM(J64:J79)</f>
        <v>-24.337439999999997</v>
      </c>
      <c r="K80" s="43">
        <f>SUM(K64:K79)</f>
        <v>-30.822460000000007</v>
      </c>
      <c r="L80" s="43">
        <f t="shared" ref="L80" si="206">SUM(L64:L79)</f>
        <v>-27.915499999999991</v>
      </c>
      <c r="M80" s="43">
        <f>SUM(M64:M79)</f>
        <v>-26.612679999999997</v>
      </c>
      <c r="N80" s="43">
        <f t="shared" ref="N80" si="207">SUM(N64:N79)</f>
        <v>-9.1848299999999981</v>
      </c>
      <c r="O80" s="43">
        <f>SUM(O64:O79)</f>
        <v>-22.208509999999997</v>
      </c>
      <c r="P80" s="43">
        <f>SUM(P64:P79)</f>
        <v>-16.827119999999997</v>
      </c>
      <c r="Q80" s="43">
        <f>SUM(Q64:Q79)</f>
        <v>-9.2114700000000003</v>
      </c>
      <c r="R80" s="43">
        <f t="shared" ref="R80:T80" si="208">SUM(R64:R79)</f>
        <v>-23.04757</v>
      </c>
      <c r="S80" s="43">
        <f>SUM(S64:S79)</f>
        <v>-22.094369999999998</v>
      </c>
      <c r="T80" s="43">
        <f t="shared" si="208"/>
        <v>-19.39273</v>
      </c>
      <c r="U80" s="43">
        <f>SUM(U64:U79)</f>
        <v>-19.269790000000004</v>
      </c>
      <c r="V80" s="43">
        <f t="shared" ref="V80" si="209">SUM(V64:V79)</f>
        <v>-23.151949999999999</v>
      </c>
      <c r="W80" s="43">
        <f>SUM(W64:W79)</f>
        <v>-19.41133</v>
      </c>
      <c r="X80" s="43">
        <f t="shared" ref="X80" si="210">SUM(X64:X79)</f>
        <v>-15.886430000000001</v>
      </c>
      <c r="Y80" s="43">
        <f>SUM(Y64:Y79)</f>
        <v>-45.541380000000004</v>
      </c>
      <c r="Z80" s="43">
        <f t="shared" ref="Z80" si="211">SUM(Z64:Z79)</f>
        <v>-17.46649</v>
      </c>
      <c r="AA80" s="43">
        <f>SUM(AA64:AA79)</f>
        <v>-31.815800000000007</v>
      </c>
      <c r="AB80" s="43">
        <f t="shared" ref="AB80" si="212">SUM(AB64:AB79)</f>
        <v>-23.706319999999998</v>
      </c>
      <c r="AC80" s="43">
        <f>SUM(AC64:AC79)</f>
        <v>-24.253430000000002</v>
      </c>
      <c r="AD80" s="43">
        <f t="shared" ref="AD80" si="213">SUM(AD64:AD79)</f>
        <v>-24.924400000000002</v>
      </c>
      <c r="AE80" s="43">
        <f>SUM(AE64:AE79)</f>
        <v>-10.054040000000001</v>
      </c>
      <c r="AF80" s="43">
        <f t="shared" ref="AF80:AH80" si="214">SUM(AF64:AF79)</f>
        <v>-13.961790000000001</v>
      </c>
      <c r="AG80" s="43">
        <f t="shared" si="214"/>
        <v>-16.582150000000006</v>
      </c>
      <c r="AH80" s="43">
        <f t="shared" si="214"/>
        <v>-16.544440000000002</v>
      </c>
      <c r="AI80" s="388"/>
      <c r="AJ80" s="242"/>
      <c r="AK80" s="43">
        <f>SUM(AK64:AK79)</f>
        <v>-25.745091964120618</v>
      </c>
      <c r="AL80" s="43">
        <f t="shared" ref="AL80" si="215">SUM(AL64:AL79)</f>
        <v>-25.745091964120618</v>
      </c>
      <c r="AM80" s="43">
        <f>SUM(AM64:AM79)</f>
        <v>-21.793845810274465</v>
      </c>
      <c r="AN80" s="43">
        <f t="shared" ref="AN80" si="216">SUM(AN64:AN79)</f>
        <v>-21.793845810274465</v>
      </c>
      <c r="AO80" s="43">
        <f>SUM(AO64:AO79)</f>
        <v>-19.818222733351391</v>
      </c>
      <c r="AP80" s="43">
        <f t="shared" ref="AP80" si="217">SUM(AP64:AP79)</f>
        <v>-19.818222733351391</v>
      </c>
      <c r="AQ80" s="43">
        <f>SUM(AQ64:AQ79)</f>
        <v>-20.80603427181293</v>
      </c>
      <c r="AR80" s="43">
        <f t="shared" ref="AR80" si="218">SUM(AR64:AR79)</f>
        <v>-23.76946888719754</v>
      </c>
      <c r="AS80" s="43">
        <f>SUM(AS64:AS79)</f>
        <v>-27.720715041043693</v>
      </c>
      <c r="AT80" s="43">
        <f t="shared" ref="AT80" si="219">SUM(AT64:AT79)</f>
        <v>-24.757280425659079</v>
      </c>
      <c r="AU80" s="43">
        <f>SUM(AU64:AU79)</f>
        <v>-21.793845810274465</v>
      </c>
      <c r="AV80" s="43">
        <f t="shared" ref="AV80" si="220">SUM(AV64:AV79)</f>
        <v>-23.76946888719754</v>
      </c>
      <c r="AW80" s="43">
        <f>SUM(AW64:AW79)</f>
        <v>-32.342248796539337</v>
      </c>
      <c r="AX80" s="43">
        <f t="shared" ref="AX80" si="221">SUM(AX64:AX79)</f>
        <v>-33.330060335000873</v>
      </c>
      <c r="AY80" s="43">
        <f>SUM(AY64:AY79)</f>
        <v>-32.342248796539337</v>
      </c>
      <c r="AZ80" s="43">
        <f t="shared" ref="AZ80" si="222">SUM(AZ64:AZ79)</f>
        <v>-31.354437258077795</v>
      </c>
      <c r="BA80" s="43">
        <f>SUM(BA64:BA79)</f>
        <v>-29.378814181154716</v>
      </c>
      <c r="BB80" s="43">
        <f t="shared" ref="BB80" si="223">SUM(BB64:BB79)</f>
        <v>-30.366625719616259</v>
      </c>
      <c r="BC80" s="43">
        <f>SUM(BC64:BC79)</f>
        <v>-31.354437258077795</v>
      </c>
      <c r="BD80" s="43">
        <f t="shared" ref="BD80" si="224">SUM(BD64:BD79)</f>
        <v>-31.354437258077795</v>
      </c>
      <c r="BE80" s="43">
        <f>SUM(BE64:BE79)</f>
        <v>-34.317871873462408</v>
      </c>
      <c r="BF80" s="43">
        <f t="shared" ref="BF80" si="225">SUM(BF64:BF79)</f>
        <v>-32.342248796539337</v>
      </c>
      <c r="BG80" s="43">
        <f>SUM(BG64:BG79)</f>
        <v>-31.354437258077795</v>
      </c>
      <c r="BH80" s="43">
        <f t="shared" ref="BH80" si="226">SUM(BH64:BH79)</f>
        <v>-31.354437258077795</v>
      </c>
      <c r="BI80" s="43">
        <f>SUM(BI64:BI79)</f>
        <v>-39.394159419240651</v>
      </c>
      <c r="BJ80" s="43">
        <f t="shared" ref="BJ80" si="227">SUM(BJ64:BJ79)</f>
        <v>-40.381970957702194</v>
      </c>
      <c r="BK80" s="43">
        <f>SUM(BK64:BK79)</f>
        <v>-39.394159419240651</v>
      </c>
      <c r="BL80" s="43">
        <f t="shared" ref="BL80" si="228">SUM(BL64:BL79)</f>
        <v>-37.41853634231758</v>
      </c>
      <c r="BM80" s="43">
        <f>SUM(BM64:BM79)</f>
        <v>-35.442913265394502</v>
      </c>
      <c r="BN80" s="43">
        <f t="shared" ref="BN80" si="229">SUM(BN64:BN79)</f>
        <v>-36.430724803856037</v>
      </c>
      <c r="BO80" s="43">
        <f>SUM(BO64:BO79)</f>
        <v>-37.41853634231758</v>
      </c>
      <c r="BP80" s="43">
        <f t="shared" ref="BP80" si="230">SUM(BP64:BP79)</f>
        <v>-37.41853634231758</v>
      </c>
      <c r="BQ80" s="43">
        <f>SUM(BQ64:BQ79)</f>
        <v>-39.394159419240651</v>
      </c>
      <c r="BR80" s="43">
        <f t="shared" ref="BR80" si="231">SUM(BR64:BR79)</f>
        <v>-39.394159419240651</v>
      </c>
      <c r="BS80" s="43">
        <f>SUM(BS64:BS79)</f>
        <v>-37.41853634231758</v>
      </c>
      <c r="BT80" s="43">
        <f t="shared" ref="BT80" si="232">SUM(BT64:BT79)</f>
        <v>-37.41853634231758</v>
      </c>
      <c r="BU80" s="43">
        <f>SUM(BU64:BU79)</f>
        <v>-39.394159419240651</v>
      </c>
      <c r="BV80" s="43">
        <f t="shared" ref="BV80" si="233">SUM(BV64:BV79)</f>
        <v>-40.381970957702194</v>
      </c>
      <c r="BW80" s="43">
        <f>SUM(BW64:BW79)</f>
        <v>-39.394159419240651</v>
      </c>
      <c r="BX80" s="43">
        <f t="shared" ref="BX80" si="234">SUM(BX64:BX79)</f>
        <v>-37.41853634231758</v>
      </c>
      <c r="BY80" s="242"/>
      <c r="BZ80" s="43">
        <f>SUM(BZ64:BZ79)</f>
        <v>-281.08409</v>
      </c>
      <c r="CA80" s="43">
        <f>SUM(CA64:CA79)</f>
        <v>-263.11643000000004</v>
      </c>
      <c r="CB80" s="43">
        <f t="shared" ref="CB80" si="235">SUM(CB64:CB79)</f>
        <v>-260.14800000000002</v>
      </c>
      <c r="CC80" s="43">
        <f>SUM(CC64:CC79)</f>
        <v>-277.33113433867823</v>
      </c>
      <c r="CD80" s="43">
        <f>SUM(CD64:CD79)</f>
        <v>-381.19230478924123</v>
      </c>
      <c r="CE80" s="43">
        <f>SUM(CE64:CE79)</f>
        <v>-456.92492841550325</v>
      </c>
      <c r="CF80" s="35"/>
      <c r="CG80" s="127">
        <f>IFERROR(CC80/CC$38,0)</f>
        <v>-0.30597735114685914</v>
      </c>
      <c r="CH80" s="127">
        <f t="shared" ref="CH80" si="236">IFERROR(CD80/CD$38,0)</f>
        <v>-0.2178680243134139</v>
      </c>
      <c r="CI80" s="127">
        <f t="shared" ref="CI80" si="237">IFERROR(CE80/CE$38,0)</f>
        <v>-0.17560012925187596</v>
      </c>
      <c r="CJ80" s="35"/>
      <c r="CK80" s="127"/>
      <c r="CL80" s="35"/>
      <c r="CM80" s="43">
        <f>SUM(CM64:CM79)</f>
        <v>-591.45916</v>
      </c>
      <c r="CN80" s="127">
        <f t="shared" si="200"/>
        <v>-8.385405987841961E-2</v>
      </c>
      <c r="CS80" s="132"/>
    </row>
    <row r="81" spans="3:97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150"/>
      <c r="AJ81" s="244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244"/>
      <c r="BZ81" s="35"/>
      <c r="CA81" s="35"/>
      <c r="CB81" s="35"/>
      <c r="CC81" s="35"/>
      <c r="CD81" s="35"/>
      <c r="CE81" s="35"/>
      <c r="CF81" s="35"/>
      <c r="CG81" s="126"/>
      <c r="CH81" s="126"/>
      <c r="CI81" s="126"/>
      <c r="CJ81" s="35"/>
      <c r="CK81" s="126"/>
      <c r="CL81" s="35"/>
      <c r="CM81" s="35"/>
      <c r="CN81" s="126"/>
      <c r="CS81" s="132"/>
    </row>
    <row r="82" spans="3:97">
      <c r="C82" s="12" t="s">
        <v>307</v>
      </c>
      <c r="D82" s="131">
        <f t="shared" ref="D82:AH82" si="238">D49+D61+D80</f>
        <v>-54.924490000000006</v>
      </c>
      <c r="E82" s="131">
        <f t="shared" si="238"/>
        <v>-37.049910000000004</v>
      </c>
      <c r="F82" s="131">
        <f t="shared" si="238"/>
        <v>1.0848399999999998</v>
      </c>
      <c r="G82" s="131">
        <f t="shared" si="238"/>
        <v>12.117550000000008</v>
      </c>
      <c r="H82" s="131">
        <f t="shared" si="238"/>
        <v>22.752380000000002</v>
      </c>
      <c r="I82" s="131">
        <f t="shared" si="238"/>
        <v>60.042269999999981</v>
      </c>
      <c r="J82" s="131">
        <f t="shared" si="238"/>
        <v>-24.939569999999996</v>
      </c>
      <c r="K82" s="131">
        <f t="shared" si="238"/>
        <v>-42.371440000000007</v>
      </c>
      <c r="L82" s="131">
        <f t="shared" si="238"/>
        <v>-13.833419999999997</v>
      </c>
      <c r="M82" s="131">
        <f t="shared" si="238"/>
        <v>16.073869999999992</v>
      </c>
      <c r="N82" s="131">
        <f t="shared" si="238"/>
        <v>-23.833819999999999</v>
      </c>
      <c r="O82" s="131">
        <f t="shared" si="238"/>
        <v>-11.215049999999996</v>
      </c>
      <c r="P82" s="131">
        <f t="shared" si="238"/>
        <v>-36.780749999999998</v>
      </c>
      <c r="Q82" s="131">
        <f t="shared" si="238"/>
        <v>-24.39949</v>
      </c>
      <c r="R82" s="131">
        <f t="shared" si="238"/>
        <v>-7.5454899999999991</v>
      </c>
      <c r="S82" s="131">
        <f t="shared" si="238"/>
        <v>31.108650000000026</v>
      </c>
      <c r="T82" s="131">
        <f t="shared" si="238"/>
        <v>69.613339999999994</v>
      </c>
      <c r="U82" s="131">
        <f t="shared" si="238"/>
        <v>57.695230000000009</v>
      </c>
      <c r="V82" s="131">
        <f t="shared" si="238"/>
        <v>-38.68712</v>
      </c>
      <c r="W82" s="131">
        <f t="shared" si="238"/>
        <v>-43.403260000000003</v>
      </c>
      <c r="X82" s="131">
        <f t="shared" si="238"/>
        <v>-29.735520000000001</v>
      </c>
      <c r="Y82" s="131">
        <f t="shared" si="238"/>
        <v>-16.147120000000005</v>
      </c>
      <c r="Z82" s="131">
        <f t="shared" si="238"/>
        <v>-10.958099999999998</v>
      </c>
      <c r="AA82" s="131">
        <f t="shared" si="238"/>
        <v>-48.287720000000007</v>
      </c>
      <c r="AB82" s="131">
        <f t="shared" si="238"/>
        <v>-33.879240000000003</v>
      </c>
      <c r="AC82" s="131">
        <f t="shared" si="238"/>
        <v>-43.403989999999993</v>
      </c>
      <c r="AD82" s="131">
        <f t="shared" si="238"/>
        <v>9.1901800000000087</v>
      </c>
      <c r="AE82" s="131">
        <f t="shared" si="238"/>
        <v>53.22441000000002</v>
      </c>
      <c r="AF82" s="131">
        <f t="shared" si="238"/>
        <v>77.365559999999988</v>
      </c>
      <c r="AG82" s="131">
        <f t="shared" si="238"/>
        <v>81.621719999999982</v>
      </c>
      <c r="AH82" s="131">
        <f t="shared" si="238"/>
        <v>-19.330260000000003</v>
      </c>
      <c r="AI82" s="131"/>
      <c r="AJ82" s="242"/>
      <c r="AK82" s="131">
        <f t="shared" ref="AK82:BX82" si="239">AK49+AK61+AK80</f>
        <v>75.007701722783111</v>
      </c>
      <c r="AL82" s="131">
        <f t="shared" si="239"/>
        <v>75.007701722783111</v>
      </c>
      <c r="AM82" s="131">
        <f t="shared" si="239"/>
        <v>-0.47847013686210715</v>
      </c>
      <c r="AN82" s="131">
        <f t="shared" si="239"/>
        <v>-0.47847013686210715</v>
      </c>
      <c r="AO82" s="131">
        <f t="shared" si="239"/>
        <v>-38.221556066684727</v>
      </c>
      <c r="AP82" s="131">
        <f t="shared" si="239"/>
        <v>-38.221556066684727</v>
      </c>
      <c r="AQ82" s="131">
        <f t="shared" si="239"/>
        <v>-19.35001310177342</v>
      </c>
      <c r="AR82" s="131">
        <f t="shared" si="239"/>
        <v>37.264615792960512</v>
      </c>
      <c r="AS82" s="131">
        <f t="shared" si="239"/>
        <v>112.75078765260574</v>
      </c>
      <c r="AT82" s="131">
        <f t="shared" si="239"/>
        <v>56.136158757871854</v>
      </c>
      <c r="AU82" s="131">
        <f t="shared" si="239"/>
        <v>-0.47847013686210715</v>
      </c>
      <c r="AV82" s="131">
        <f t="shared" si="239"/>
        <v>37.264615792960512</v>
      </c>
      <c r="AW82" s="131">
        <f t="shared" si="239"/>
        <v>86.947848917269283</v>
      </c>
      <c r="AX82" s="131">
        <f t="shared" si="239"/>
        <v>109.00095921999804</v>
      </c>
      <c r="AY82" s="131">
        <f t="shared" si="239"/>
        <v>86.947848917269283</v>
      </c>
      <c r="AZ82" s="131">
        <f t="shared" si="239"/>
        <v>64.894738614540486</v>
      </c>
      <c r="BA82" s="131">
        <f t="shared" si="239"/>
        <v>20.788518009082928</v>
      </c>
      <c r="BB82" s="131">
        <f t="shared" si="239"/>
        <v>42.841628311811697</v>
      </c>
      <c r="BC82" s="131">
        <f t="shared" si="239"/>
        <v>64.894738614540486</v>
      </c>
      <c r="BD82" s="131">
        <f t="shared" si="239"/>
        <v>64.894738614540486</v>
      </c>
      <c r="BE82" s="131">
        <f t="shared" si="239"/>
        <v>131.05406952272682</v>
      </c>
      <c r="BF82" s="131">
        <f t="shared" si="239"/>
        <v>86.947848917269283</v>
      </c>
      <c r="BG82" s="131">
        <f t="shared" si="239"/>
        <v>64.894738614540486</v>
      </c>
      <c r="BH82" s="131">
        <f t="shared" si="239"/>
        <v>64.894738614540486</v>
      </c>
      <c r="BI82" s="131">
        <f t="shared" si="239"/>
        <v>156.652253371103</v>
      </c>
      <c r="BJ82" s="131">
        <f t="shared" si="239"/>
        <v>182.61075547310111</v>
      </c>
      <c r="BK82" s="131">
        <f t="shared" si="239"/>
        <v>156.652253371103</v>
      </c>
      <c r="BL82" s="131">
        <f t="shared" si="239"/>
        <v>104.73524916710683</v>
      </c>
      <c r="BM82" s="131">
        <f t="shared" si="239"/>
        <v>52.818244963110665</v>
      </c>
      <c r="BN82" s="131">
        <f t="shared" si="239"/>
        <v>78.776747065108765</v>
      </c>
      <c r="BO82" s="131">
        <f t="shared" si="239"/>
        <v>104.73524916710683</v>
      </c>
      <c r="BP82" s="131">
        <f t="shared" si="239"/>
        <v>104.73524916710683</v>
      </c>
      <c r="BQ82" s="131">
        <f t="shared" si="239"/>
        <v>156.652253371103</v>
      </c>
      <c r="BR82" s="131">
        <f t="shared" si="239"/>
        <v>156.652253371103</v>
      </c>
      <c r="BS82" s="131">
        <f t="shared" si="239"/>
        <v>104.73524916710683</v>
      </c>
      <c r="BT82" s="131">
        <f t="shared" si="239"/>
        <v>104.73524916710683</v>
      </c>
      <c r="BU82" s="131">
        <f t="shared" si="239"/>
        <v>156.652253371103</v>
      </c>
      <c r="BV82" s="131">
        <f t="shared" si="239"/>
        <v>182.61075547310111</v>
      </c>
      <c r="BW82" s="131">
        <f t="shared" si="239"/>
        <v>156.652253371103</v>
      </c>
      <c r="BX82" s="131">
        <f t="shared" si="239"/>
        <v>104.73524916710683</v>
      </c>
      <c r="BY82" s="242"/>
      <c r="BZ82" s="131">
        <f t="shared" ref="BZ82:CE82" si="240">BZ49+BZ61+BZ80</f>
        <v>-96.096790000000055</v>
      </c>
      <c r="CA82" s="131">
        <f t="shared" si="240"/>
        <v>-97.527349999999956</v>
      </c>
      <c r="CB82" s="131">
        <f t="shared" si="240"/>
        <v>-23.743339999999989</v>
      </c>
      <c r="CC82" s="131">
        <f t="shared" si="240"/>
        <v>296.20304579623587</v>
      </c>
      <c r="CD82" s="131">
        <f t="shared" si="240"/>
        <v>889.00241488812981</v>
      </c>
      <c r="CE82" s="131">
        <f t="shared" si="240"/>
        <v>1464.4910068212671</v>
      </c>
      <c r="CF82" s="35"/>
      <c r="CG82" s="128">
        <f>IFERROR(CC82/CC$38,0)</f>
        <v>0.32679858887997948</v>
      </c>
      <c r="CH82" s="128">
        <f t="shared" ref="CH82" si="241">IFERROR(CD82/CD$38,0)</f>
        <v>0.50810364560905297</v>
      </c>
      <c r="CI82" s="128">
        <f t="shared" ref="CI82" si="242">IFERROR(CE82/CE$38,0)</f>
        <v>0.56281632735120213</v>
      </c>
      <c r="CJ82" s="35"/>
      <c r="CK82" s="128">
        <f>IFERROR(CB82/CB$38,0)</f>
        <v>-4.2334580215044375E-2</v>
      </c>
      <c r="CL82" s="35"/>
      <c r="CM82" s="131">
        <f>CM49+CM61+CM80</f>
        <v>3987.3506499999999</v>
      </c>
      <c r="CN82" s="128">
        <f>IFERROR(CM82/CM$38,0)</f>
        <v>0.56530621685080562</v>
      </c>
      <c r="CP82" s="112" t="s">
        <v>411</v>
      </c>
      <c r="CS82" s="132"/>
    </row>
    <row r="83" spans="3:97">
      <c r="AI83" s="50"/>
      <c r="CG83" s="126"/>
      <c r="CH83" s="126"/>
      <c r="CI83" s="126"/>
      <c r="CK83" s="126"/>
      <c r="CN83" s="126"/>
      <c r="CS83" s="132"/>
    </row>
    <row r="84" spans="3:97" s="1" customFormat="1">
      <c r="C84" s="1" t="s">
        <v>229</v>
      </c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  <c r="AA84" s="258"/>
      <c r="AB84" s="258"/>
      <c r="AC84" s="258"/>
      <c r="AD84" s="258"/>
      <c r="AE84" s="258"/>
      <c r="AF84" s="258"/>
      <c r="AG84" s="258"/>
      <c r="AH84" s="258"/>
      <c r="AI84" s="258"/>
      <c r="AJ84" s="242"/>
      <c r="AK84" s="384">
        <v>-23.75</v>
      </c>
      <c r="AL84" s="385">
        <f>AK84</f>
        <v>-23.75</v>
      </c>
      <c r="AM84" s="385">
        <f t="shared" ref="AM84:BX84" si="243">AL84</f>
        <v>-23.75</v>
      </c>
      <c r="AN84" s="385">
        <f t="shared" si="243"/>
        <v>-23.75</v>
      </c>
      <c r="AO84" s="385">
        <f t="shared" si="243"/>
        <v>-23.75</v>
      </c>
      <c r="AP84" s="385">
        <f t="shared" si="243"/>
        <v>-23.75</v>
      </c>
      <c r="AQ84" s="385">
        <f t="shared" si="243"/>
        <v>-23.75</v>
      </c>
      <c r="AR84" s="385">
        <f t="shared" si="243"/>
        <v>-23.75</v>
      </c>
      <c r="AS84" s="385">
        <f t="shared" si="243"/>
        <v>-23.75</v>
      </c>
      <c r="AT84" s="385">
        <f t="shared" si="243"/>
        <v>-23.75</v>
      </c>
      <c r="AU84" s="385">
        <f t="shared" si="243"/>
        <v>-23.75</v>
      </c>
      <c r="AV84" s="385">
        <f t="shared" si="243"/>
        <v>-23.75</v>
      </c>
      <c r="AW84" s="384">
        <v>-23.75</v>
      </c>
      <c r="AX84" s="385">
        <f t="shared" si="243"/>
        <v>-23.75</v>
      </c>
      <c r="AY84" s="385">
        <f t="shared" si="243"/>
        <v>-23.75</v>
      </c>
      <c r="AZ84" s="385">
        <f t="shared" si="243"/>
        <v>-23.75</v>
      </c>
      <c r="BA84" s="385">
        <f t="shared" si="243"/>
        <v>-23.75</v>
      </c>
      <c r="BB84" s="385">
        <f t="shared" si="243"/>
        <v>-23.75</v>
      </c>
      <c r="BC84" s="385">
        <f t="shared" si="243"/>
        <v>-23.75</v>
      </c>
      <c r="BD84" s="385">
        <f t="shared" si="243"/>
        <v>-23.75</v>
      </c>
      <c r="BE84" s="385">
        <f t="shared" si="243"/>
        <v>-23.75</v>
      </c>
      <c r="BF84" s="385">
        <f t="shared" si="243"/>
        <v>-23.75</v>
      </c>
      <c r="BG84" s="385">
        <f t="shared" si="243"/>
        <v>-23.75</v>
      </c>
      <c r="BH84" s="385">
        <f t="shared" si="243"/>
        <v>-23.75</v>
      </c>
      <c r="BI84" s="384">
        <v>-24.7</v>
      </c>
      <c r="BJ84" s="385">
        <f t="shared" si="243"/>
        <v>-24.7</v>
      </c>
      <c r="BK84" s="385">
        <f t="shared" si="243"/>
        <v>-24.7</v>
      </c>
      <c r="BL84" s="385">
        <f t="shared" si="243"/>
        <v>-24.7</v>
      </c>
      <c r="BM84" s="385">
        <f t="shared" si="243"/>
        <v>-24.7</v>
      </c>
      <c r="BN84" s="385">
        <f t="shared" si="243"/>
        <v>-24.7</v>
      </c>
      <c r="BO84" s="385">
        <f t="shared" si="243"/>
        <v>-24.7</v>
      </c>
      <c r="BP84" s="385">
        <f t="shared" si="243"/>
        <v>-24.7</v>
      </c>
      <c r="BQ84" s="385">
        <f t="shared" si="243"/>
        <v>-24.7</v>
      </c>
      <c r="BR84" s="385">
        <f t="shared" si="243"/>
        <v>-24.7</v>
      </c>
      <c r="BS84" s="385">
        <f t="shared" si="243"/>
        <v>-24.7</v>
      </c>
      <c r="BT84" s="385">
        <f t="shared" si="243"/>
        <v>-24.7</v>
      </c>
      <c r="BU84" s="384">
        <v>-25.687999999999999</v>
      </c>
      <c r="BV84" s="385">
        <f t="shared" si="243"/>
        <v>-25.687999999999999</v>
      </c>
      <c r="BW84" s="385">
        <f t="shared" si="243"/>
        <v>-25.687999999999999</v>
      </c>
      <c r="BX84" s="385">
        <f t="shared" si="243"/>
        <v>-25.687999999999999</v>
      </c>
      <c r="BY84" s="242"/>
      <c r="BZ84" s="258"/>
      <c r="CA84" s="258"/>
      <c r="CB84" s="258"/>
      <c r="CC84" s="9">
        <f>SUMIFS($AK$84:$BX$84,$AK$3:$BX$3,CC$1)</f>
        <v>-285</v>
      </c>
      <c r="CD84" s="9">
        <f>SUMIFS($AK$84:$BX$84,$AK$3:$BX$3,CD$1)</f>
        <v>-285</v>
      </c>
      <c r="CE84" s="9">
        <f>SUMIFS($AK$84:$BX$84,$AK$3:$BX$3,CE$1)</f>
        <v>-296.39999999999992</v>
      </c>
      <c r="CF84"/>
      <c r="CG84" s="377"/>
      <c r="CH84" s="377"/>
      <c r="CI84" s="377"/>
      <c r="CJ84"/>
      <c r="CK84" s="134"/>
      <c r="CL84" s="134"/>
      <c r="CM84" s="134"/>
      <c r="CN84" s="134"/>
      <c r="CP84" s="378"/>
      <c r="CQ84" s="378"/>
      <c r="CS84" s="132"/>
    </row>
    <row r="85" spans="3:97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150"/>
      <c r="AJ85" s="244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244"/>
      <c r="BZ85" s="35"/>
      <c r="CA85" s="35"/>
      <c r="CB85" s="35"/>
      <c r="CC85" s="35"/>
      <c r="CD85" s="35"/>
      <c r="CE85" s="35"/>
      <c r="CF85" s="35"/>
      <c r="CG85" s="126"/>
      <c r="CH85" s="126"/>
      <c r="CI85" s="126"/>
      <c r="CJ85" s="35"/>
      <c r="CK85" s="35"/>
      <c r="CL85" s="35"/>
      <c r="CM85" s="35"/>
      <c r="CN85" s="35"/>
    </row>
    <row r="86" spans="3:97">
      <c r="C86" s="15" t="s">
        <v>257</v>
      </c>
      <c r="D86" s="133">
        <f t="shared" ref="D86:AH86" si="244">D82+D84</f>
        <v>-54.924490000000006</v>
      </c>
      <c r="E86" s="133">
        <f t="shared" si="244"/>
        <v>-37.049910000000004</v>
      </c>
      <c r="F86" s="133">
        <f t="shared" si="244"/>
        <v>1.0848399999999998</v>
      </c>
      <c r="G86" s="133">
        <f t="shared" si="244"/>
        <v>12.117550000000008</v>
      </c>
      <c r="H86" s="133">
        <f t="shared" si="244"/>
        <v>22.752380000000002</v>
      </c>
      <c r="I86" s="133">
        <f t="shared" si="244"/>
        <v>60.042269999999981</v>
      </c>
      <c r="J86" s="133">
        <f t="shared" si="244"/>
        <v>-24.939569999999996</v>
      </c>
      <c r="K86" s="133">
        <f t="shared" si="244"/>
        <v>-42.371440000000007</v>
      </c>
      <c r="L86" s="133">
        <f t="shared" si="244"/>
        <v>-13.833419999999997</v>
      </c>
      <c r="M86" s="133">
        <f t="shared" si="244"/>
        <v>16.073869999999992</v>
      </c>
      <c r="N86" s="133">
        <f t="shared" si="244"/>
        <v>-23.833819999999999</v>
      </c>
      <c r="O86" s="133">
        <f t="shared" si="244"/>
        <v>-11.215049999999996</v>
      </c>
      <c r="P86" s="133">
        <f t="shared" si="244"/>
        <v>-36.780749999999998</v>
      </c>
      <c r="Q86" s="133">
        <f t="shared" si="244"/>
        <v>-24.39949</v>
      </c>
      <c r="R86" s="133">
        <f t="shared" si="244"/>
        <v>-7.5454899999999991</v>
      </c>
      <c r="S86" s="133">
        <f t="shared" si="244"/>
        <v>31.108650000000026</v>
      </c>
      <c r="T86" s="133">
        <f t="shared" si="244"/>
        <v>69.613339999999994</v>
      </c>
      <c r="U86" s="133">
        <f t="shared" si="244"/>
        <v>57.695230000000009</v>
      </c>
      <c r="V86" s="133">
        <f t="shared" si="244"/>
        <v>-38.68712</v>
      </c>
      <c r="W86" s="133">
        <f t="shared" si="244"/>
        <v>-43.403260000000003</v>
      </c>
      <c r="X86" s="133">
        <f t="shared" si="244"/>
        <v>-29.735520000000001</v>
      </c>
      <c r="Y86" s="133">
        <f t="shared" si="244"/>
        <v>-16.147120000000005</v>
      </c>
      <c r="Z86" s="133">
        <f t="shared" si="244"/>
        <v>-10.958099999999998</v>
      </c>
      <c r="AA86" s="133">
        <f t="shared" si="244"/>
        <v>-48.287720000000007</v>
      </c>
      <c r="AB86" s="133">
        <f t="shared" si="244"/>
        <v>-33.879240000000003</v>
      </c>
      <c r="AC86" s="133">
        <f t="shared" si="244"/>
        <v>-43.403989999999993</v>
      </c>
      <c r="AD86" s="133">
        <f t="shared" si="244"/>
        <v>9.1901800000000087</v>
      </c>
      <c r="AE86" s="133">
        <f t="shared" si="244"/>
        <v>53.22441000000002</v>
      </c>
      <c r="AF86" s="133">
        <f t="shared" si="244"/>
        <v>77.365559999999988</v>
      </c>
      <c r="AG86" s="133">
        <f t="shared" si="244"/>
        <v>81.621719999999982</v>
      </c>
      <c r="AH86" s="133">
        <f t="shared" si="244"/>
        <v>-19.330260000000003</v>
      </c>
      <c r="AI86" s="389"/>
      <c r="AJ86" s="242"/>
      <c r="AK86" s="133">
        <f t="shared" ref="AK86:BX86" si="245">AK82+AK84</f>
        <v>51.257701722783111</v>
      </c>
      <c r="AL86" s="133">
        <f t="shared" si="245"/>
        <v>51.257701722783111</v>
      </c>
      <c r="AM86" s="133">
        <f t="shared" si="245"/>
        <v>-24.228470136862107</v>
      </c>
      <c r="AN86" s="133">
        <f t="shared" si="245"/>
        <v>-24.228470136862107</v>
      </c>
      <c r="AO86" s="133">
        <f t="shared" si="245"/>
        <v>-61.971556066684727</v>
      </c>
      <c r="AP86" s="133">
        <f t="shared" si="245"/>
        <v>-61.971556066684727</v>
      </c>
      <c r="AQ86" s="133">
        <f t="shared" si="245"/>
        <v>-43.10001310177342</v>
      </c>
      <c r="AR86" s="133">
        <f t="shared" si="245"/>
        <v>13.514615792960512</v>
      </c>
      <c r="AS86" s="133">
        <f t="shared" si="245"/>
        <v>89.000787652605737</v>
      </c>
      <c r="AT86" s="133">
        <f t="shared" si="245"/>
        <v>32.386158757871854</v>
      </c>
      <c r="AU86" s="133">
        <f t="shared" si="245"/>
        <v>-24.228470136862107</v>
      </c>
      <c r="AV86" s="133">
        <f t="shared" si="245"/>
        <v>13.514615792960512</v>
      </c>
      <c r="AW86" s="133">
        <f t="shared" si="245"/>
        <v>63.197848917269283</v>
      </c>
      <c r="AX86" s="133">
        <f t="shared" si="245"/>
        <v>85.250959219998037</v>
      </c>
      <c r="AY86" s="133">
        <f t="shared" si="245"/>
        <v>63.197848917269283</v>
      </c>
      <c r="AZ86" s="133">
        <f t="shared" si="245"/>
        <v>41.144738614540486</v>
      </c>
      <c r="BA86" s="133">
        <f t="shared" si="245"/>
        <v>-2.961481990917072</v>
      </c>
      <c r="BB86" s="133">
        <f t="shared" si="245"/>
        <v>19.091628311811697</v>
      </c>
      <c r="BC86" s="133">
        <f t="shared" si="245"/>
        <v>41.144738614540486</v>
      </c>
      <c r="BD86" s="133">
        <f t="shared" si="245"/>
        <v>41.144738614540486</v>
      </c>
      <c r="BE86" s="133">
        <f t="shared" si="245"/>
        <v>107.30406952272682</v>
      </c>
      <c r="BF86" s="133">
        <f t="shared" si="245"/>
        <v>63.197848917269283</v>
      </c>
      <c r="BG86" s="133">
        <f t="shared" si="245"/>
        <v>41.144738614540486</v>
      </c>
      <c r="BH86" s="133">
        <f t="shared" si="245"/>
        <v>41.144738614540486</v>
      </c>
      <c r="BI86" s="133">
        <f t="shared" si="245"/>
        <v>131.95225337110301</v>
      </c>
      <c r="BJ86" s="133">
        <f t="shared" si="245"/>
        <v>157.91075547310112</v>
      </c>
      <c r="BK86" s="133">
        <f t="shared" si="245"/>
        <v>131.95225337110301</v>
      </c>
      <c r="BL86" s="133">
        <f t="shared" si="245"/>
        <v>80.035249167106826</v>
      </c>
      <c r="BM86" s="133">
        <f t="shared" si="245"/>
        <v>28.118244963110666</v>
      </c>
      <c r="BN86" s="133">
        <f t="shared" si="245"/>
        <v>54.076747065108762</v>
      </c>
      <c r="BO86" s="133">
        <f t="shared" si="245"/>
        <v>80.035249167106826</v>
      </c>
      <c r="BP86" s="133">
        <f t="shared" si="245"/>
        <v>80.035249167106826</v>
      </c>
      <c r="BQ86" s="133">
        <f t="shared" si="245"/>
        <v>131.95225337110301</v>
      </c>
      <c r="BR86" s="133">
        <f t="shared" si="245"/>
        <v>131.95225337110301</v>
      </c>
      <c r="BS86" s="133">
        <f t="shared" si="245"/>
        <v>80.035249167106826</v>
      </c>
      <c r="BT86" s="133">
        <f t="shared" si="245"/>
        <v>80.035249167106826</v>
      </c>
      <c r="BU86" s="133">
        <f t="shared" si="245"/>
        <v>130.96425337110301</v>
      </c>
      <c r="BV86" s="133">
        <f t="shared" si="245"/>
        <v>156.92275547310112</v>
      </c>
      <c r="BW86" s="133">
        <f t="shared" si="245"/>
        <v>130.96425337110301</v>
      </c>
      <c r="BX86" s="133">
        <f t="shared" si="245"/>
        <v>79.047249167106827</v>
      </c>
      <c r="BY86" s="242"/>
      <c r="BZ86" s="133">
        <f t="shared" ref="BZ86:CE86" si="246">BZ82+BZ84</f>
        <v>-96.096790000000055</v>
      </c>
      <c r="CA86" s="133">
        <f t="shared" si="246"/>
        <v>-97.527349999999956</v>
      </c>
      <c r="CB86" s="133">
        <f t="shared" si="246"/>
        <v>-23.743339999999989</v>
      </c>
      <c r="CC86" s="133">
        <f t="shared" si="246"/>
        <v>11.20304579623587</v>
      </c>
      <c r="CD86" s="133">
        <f t="shared" si="246"/>
        <v>604.00241488812981</v>
      </c>
      <c r="CE86" s="133">
        <f t="shared" si="246"/>
        <v>1168.0910068212672</v>
      </c>
      <c r="CF86" s="35"/>
      <c r="CG86" s="41">
        <f>IFERROR(CC86/CC$38,0)</f>
        <v>1.2360236025007795E-2</v>
      </c>
      <c r="CH86" s="41">
        <f t="shared" ref="CH86" si="247">IFERROR(CD86/CD$38,0)</f>
        <v>0.34521371800767225</v>
      </c>
      <c r="CI86" s="41">
        <f t="shared" ref="CI86" si="248">IFERROR(CE86/CE$38,0)</f>
        <v>0.44890729093521031</v>
      </c>
      <c r="CJ86" s="35"/>
      <c r="CK86" s="41">
        <f>CK82+CK84</f>
        <v>-4.2334580215044375E-2</v>
      </c>
      <c r="CL86" s="35"/>
      <c r="CM86" s="133">
        <f>CM82+CM84</f>
        <v>3987.3506499999999</v>
      </c>
      <c r="CN86" s="41">
        <f>CN82+CN84</f>
        <v>0.56530621685080562</v>
      </c>
    </row>
    <row r="87" spans="3:97">
      <c r="AI87" s="50"/>
    </row>
    <row r="88" spans="3:97">
      <c r="C88" s="22" t="s">
        <v>1172</v>
      </c>
      <c r="D88" s="302">
        <f>D47+D61+D80+'P&amp;L'!C92/1000</f>
        <v>0</v>
      </c>
      <c r="E88" s="302">
        <f>E47+E61+E80+'P&amp;L'!D92/1000</f>
        <v>0</v>
      </c>
      <c r="F88" s="302">
        <f>F47+F61+F80+'P&amp;L'!E92/1000</f>
        <v>0</v>
      </c>
      <c r="G88" s="302">
        <f>G47+G61+G80+'P&amp;L'!F92/1000</f>
        <v>0</v>
      </c>
      <c r="H88" s="302">
        <f>H47+H61+H80+'P&amp;L'!G92/1000</f>
        <v>0</v>
      </c>
      <c r="I88" s="302">
        <f>I47+I61+I80+'P&amp;L'!H92/1000</f>
        <v>0</v>
      </c>
      <c r="J88" s="302">
        <f>J47+J61+J80+'P&amp;L'!I92/1000</f>
        <v>0</v>
      </c>
      <c r="K88" s="302">
        <f>K47+K61+K80+'P&amp;L'!J92/1000</f>
        <v>0</v>
      </c>
      <c r="L88" s="302">
        <f>L47+L61+L80+'P&amp;L'!K92/1000</f>
        <v>0</v>
      </c>
      <c r="M88" s="302">
        <f>M47+M61+M80+'P&amp;L'!L92/1000</f>
        <v>0</v>
      </c>
      <c r="N88" s="302">
        <f>N47+N61+N80+'P&amp;L'!M92/1000</f>
        <v>0</v>
      </c>
      <c r="O88" s="302">
        <f>O47+O61+O80+'P&amp;L'!N92/1000</f>
        <v>0</v>
      </c>
      <c r="P88" s="302">
        <f>P47+P61+P80+'P&amp;L'!O92/1000</f>
        <v>0</v>
      </c>
      <c r="Q88" s="302">
        <f>Q47+Q61+Q80+'P&amp;L'!P92/1000</f>
        <v>0</v>
      </c>
      <c r="R88" s="302">
        <f>R47+R61+R80+'P&amp;L'!Q92/1000</f>
        <v>0</v>
      </c>
      <c r="S88" s="302">
        <f>S47+S61+S80+'P&amp;L'!R92/1000</f>
        <v>0</v>
      </c>
      <c r="T88" s="302">
        <f>T47+T61+T80+'P&amp;L'!S92/1000</f>
        <v>0</v>
      </c>
      <c r="U88" s="302">
        <f>U47+U61+U80+'P&amp;L'!T92/1000</f>
        <v>0</v>
      </c>
      <c r="V88" s="302">
        <f>V47+V61+V80+'P&amp;L'!U92/1000</f>
        <v>0</v>
      </c>
      <c r="W88" s="302">
        <f>W47+W61+W80+'P&amp;L'!V92/1000</f>
        <v>0</v>
      </c>
      <c r="X88" s="302">
        <f>X47+X61+X80+'P&amp;L'!W92/1000</f>
        <v>0</v>
      </c>
      <c r="Y88" s="302">
        <f>Y47+Y61+Y80+'P&amp;L'!X92/1000</f>
        <v>0</v>
      </c>
      <c r="Z88" s="302">
        <f>Z47+Z61+Z80+'P&amp;L'!Y92/1000</f>
        <v>0</v>
      </c>
      <c r="AA88" s="302">
        <f>AA47+AA61+AA80+'P&amp;L'!Z92/1000</f>
        <v>0</v>
      </c>
      <c r="AB88" s="302">
        <f>AB47+AB61+AB80+'P&amp;L'!AA92/1000</f>
        <v>0</v>
      </c>
      <c r="AC88" s="302">
        <f>AC47+AC61+AC80+'P&amp;L'!AB92/1000</f>
        <v>0</v>
      </c>
      <c r="AD88" s="302">
        <f>AD47+AD61+AD80+'P&amp;L'!AC92/1000</f>
        <v>0</v>
      </c>
      <c r="AE88" s="302">
        <f>AE47+AE61+AE80+'P&amp;L'!AD92/1000</f>
        <v>0</v>
      </c>
      <c r="AF88" s="302">
        <f>AF47+AF61+AF80+'P&amp;L'!AE92/1000</f>
        <v>0</v>
      </c>
      <c r="AG88" s="302">
        <f>AG47+AG61+AG80+'P&amp;L'!AF92/1000</f>
        <v>0</v>
      </c>
      <c r="AH88" s="302">
        <f>AH47+AH61+AH80+'P&amp;L'!AG92/1000</f>
        <v>0</v>
      </c>
      <c r="AI88" s="390"/>
      <c r="BZ88" s="32">
        <f>SUMIFS($D86:$AJ86,$D$1:$AJ$1,BZ$9)-$BZ$86</f>
        <v>0</v>
      </c>
      <c r="CA88" s="32">
        <f>SUMIFS($D86:$AJ86,$D$1:$AJ$1,CA$9)-CA86</f>
        <v>0</v>
      </c>
      <c r="CB88" s="32">
        <f>SUMIFS($D86:$AJ86,$D$3:$AJ$3,"LTM")-CB86</f>
        <v>0</v>
      </c>
    </row>
    <row r="90" spans="3:97">
      <c r="C90" s="20" t="s">
        <v>471</v>
      </c>
      <c r="AM90" s="126"/>
    </row>
    <row r="91" spans="3:97">
      <c r="C91" t="s">
        <v>468</v>
      </c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  <c r="AB91" s="354"/>
      <c r="AC91" s="354"/>
      <c r="AD91" s="354"/>
      <c r="AE91" s="354"/>
      <c r="AF91" s="354"/>
      <c r="AG91" s="354"/>
      <c r="AH91" s="354"/>
      <c r="AI91" s="354"/>
      <c r="AJ91" s="354"/>
      <c r="AK91" s="395">
        <v>0.08</v>
      </c>
      <c r="AL91" s="395">
        <v>0.08</v>
      </c>
      <c r="AM91" s="395">
        <v>7.0000000000000007E-2</v>
      </c>
      <c r="AN91" s="395">
        <v>7.0000000000000007E-2</v>
      </c>
      <c r="AO91" s="395">
        <v>0.13</v>
      </c>
      <c r="AP91" s="395">
        <v>0.09</v>
      </c>
      <c r="AQ91" s="395">
        <v>0.08</v>
      </c>
      <c r="AR91" s="395">
        <v>0.08</v>
      </c>
      <c r="AS91" s="395">
        <v>0.08</v>
      </c>
      <c r="AT91" s="395">
        <v>0.08</v>
      </c>
      <c r="AU91" s="395">
        <v>0.08</v>
      </c>
      <c r="AV91" s="395">
        <v>0.08</v>
      </c>
      <c r="AW91" s="354">
        <f>AK91</f>
        <v>0.08</v>
      </c>
      <c r="AX91" s="354">
        <f t="shared" ref="AX91:BX91" si="249">AL91</f>
        <v>0.08</v>
      </c>
      <c r="AY91" s="354">
        <f t="shared" si="249"/>
        <v>7.0000000000000007E-2</v>
      </c>
      <c r="AZ91" s="354">
        <f t="shared" si="249"/>
        <v>7.0000000000000007E-2</v>
      </c>
      <c r="BA91" s="354">
        <f t="shared" si="249"/>
        <v>0.13</v>
      </c>
      <c r="BB91" s="354">
        <f t="shared" si="249"/>
        <v>0.09</v>
      </c>
      <c r="BC91" s="354">
        <f t="shared" si="249"/>
        <v>0.08</v>
      </c>
      <c r="BD91" s="354">
        <f t="shared" si="249"/>
        <v>0.08</v>
      </c>
      <c r="BE91" s="354">
        <f t="shared" si="249"/>
        <v>0.08</v>
      </c>
      <c r="BF91" s="354">
        <f t="shared" si="249"/>
        <v>0.08</v>
      </c>
      <c r="BG91" s="354">
        <f t="shared" si="249"/>
        <v>0.08</v>
      </c>
      <c r="BH91" s="354">
        <f t="shared" si="249"/>
        <v>0.08</v>
      </c>
      <c r="BI91" s="354">
        <f t="shared" si="249"/>
        <v>0.08</v>
      </c>
      <c r="BJ91" s="354">
        <f t="shared" si="249"/>
        <v>0.08</v>
      </c>
      <c r="BK91" s="354">
        <f t="shared" si="249"/>
        <v>7.0000000000000007E-2</v>
      </c>
      <c r="BL91" s="354">
        <f t="shared" si="249"/>
        <v>7.0000000000000007E-2</v>
      </c>
      <c r="BM91" s="354">
        <f t="shared" si="249"/>
        <v>0.13</v>
      </c>
      <c r="BN91" s="354">
        <f t="shared" si="249"/>
        <v>0.09</v>
      </c>
      <c r="BO91" s="354">
        <f t="shared" si="249"/>
        <v>0.08</v>
      </c>
      <c r="BP91" s="354">
        <f t="shared" si="249"/>
        <v>0.08</v>
      </c>
      <c r="BQ91" s="354">
        <f t="shared" si="249"/>
        <v>0.08</v>
      </c>
      <c r="BR91" s="354">
        <f t="shared" si="249"/>
        <v>0.08</v>
      </c>
      <c r="BS91" s="354">
        <f t="shared" si="249"/>
        <v>0.08</v>
      </c>
      <c r="BT91" s="354">
        <f t="shared" si="249"/>
        <v>0.08</v>
      </c>
      <c r="BU91" s="354">
        <f t="shared" si="249"/>
        <v>0.08</v>
      </c>
      <c r="BV91" s="354">
        <f t="shared" si="249"/>
        <v>0.08</v>
      </c>
      <c r="BW91" s="354">
        <f t="shared" si="249"/>
        <v>7.0000000000000007E-2</v>
      </c>
      <c r="BX91" s="354">
        <f t="shared" si="249"/>
        <v>7.0000000000000007E-2</v>
      </c>
    </row>
    <row r="92" spans="3:97">
      <c r="C92" t="s">
        <v>745</v>
      </c>
      <c r="D92" s="354">
        <f>INDEX(AGA!$U:$U,MATCH(D$2,AGA!$S:$S,0))</f>
        <v>0.11769520234327356</v>
      </c>
      <c r="E92" s="354">
        <f>INDEX(AGA!$U:$U,MATCH(E$2,AGA!$S:$S,0))</f>
        <v>8.1462443658362513E-2</v>
      </c>
      <c r="F92" s="354">
        <f>INDEX(AGA!$U:$U,MATCH(F$2,AGA!$S:$S,0))</f>
        <v>7.6562198887327335E-2</v>
      </c>
      <c r="G92" s="354">
        <f>INDEX(AGA!$U:$U,MATCH(G$2,AGA!$S:$S,0))</f>
        <v>6.8624346276164816E-2</v>
      </c>
      <c r="H92" s="354">
        <f>INDEX(AGA!$U:$U,MATCH(H$2,AGA!$S:$S,0))</f>
        <v>6.1739285232855302E-2</v>
      </c>
      <c r="I92" s="354">
        <f>INDEX(AGA!$U:$U,MATCH(I$2,AGA!$S:$S,0))</f>
        <v>7.0612146977624135E-2</v>
      </c>
      <c r="J92" s="354">
        <f>INDEX(AGA!$U:$U,MATCH(J$2,AGA!$S:$S,0))</f>
        <v>8.4810705516553328E-2</v>
      </c>
      <c r="K92" s="354">
        <f>INDEX(AGA!$U:$U,MATCH(K$2,AGA!$S:$S,0))</f>
        <v>7.4281314709857327E-2</v>
      </c>
      <c r="L92" s="354">
        <f>INDEX(AGA!$U:$U,MATCH(L$2,AGA!$S:$S,0))</f>
        <v>8.4583843334690892E-2</v>
      </c>
      <c r="M92" s="354">
        <f>INDEX(AGA!$U:$U,MATCH(M$2,AGA!$S:$S,0))</f>
        <v>8.4539486971155445E-2</v>
      </c>
      <c r="N92" s="354">
        <f>INDEX(AGA!$U:$U,MATCH(N$2,AGA!$S:$S,0))</f>
        <v>9.4860298072484764E-2</v>
      </c>
      <c r="O92" s="354">
        <f>INDEX(AGA!$U:$U,MATCH(O$2,AGA!$S:$S,0))</f>
        <v>0.10022872801965059</v>
      </c>
      <c r="P92" s="354">
        <f>INDEX(AGA!$U:$U,MATCH(P$2,AGA!$S:$S,0))</f>
        <v>0.11769520234327356</v>
      </c>
      <c r="Q92" s="354">
        <f>INDEX(AGA!$U:$U,MATCH(Q$2,AGA!$S:$S,0))</f>
        <v>8.1462443658362513E-2</v>
      </c>
      <c r="R92" s="354">
        <f>INDEX(AGA!$U:$U,MATCH(R$2,AGA!$S:$S,0))</f>
        <v>7.6562198887327335E-2</v>
      </c>
      <c r="S92" s="354">
        <f>INDEX(AGA!$U:$U,MATCH(S$2,AGA!$S:$S,0))</f>
        <v>6.8624346276164816E-2</v>
      </c>
      <c r="T92" s="354">
        <f>INDEX(AGA!$U:$U,MATCH(T$2,AGA!$S:$S,0))</f>
        <v>6.1739285232855302E-2</v>
      </c>
      <c r="U92" s="354">
        <f>INDEX(AGA!$U:$U,MATCH(U$2,AGA!$S:$S,0))</f>
        <v>7.0612146977624135E-2</v>
      </c>
      <c r="V92" s="354">
        <f>INDEX(AGA!$U:$U,MATCH(V$2,AGA!$S:$S,0))</f>
        <v>8.4810705516553328E-2</v>
      </c>
      <c r="W92" s="354">
        <f>INDEX(AGA!$U:$U,MATCH(W$2,AGA!$S:$S,0))</f>
        <v>7.4281314709857327E-2</v>
      </c>
      <c r="X92" s="354">
        <f>INDEX(AGA!$U:$U,MATCH(X$2,AGA!$S:$S,0))</f>
        <v>8.4583843334690892E-2</v>
      </c>
      <c r="Y92" s="354">
        <f>INDEX(AGA!$U:$U,MATCH(Y$2,AGA!$S:$S,0))</f>
        <v>8.4539486971155445E-2</v>
      </c>
      <c r="Z92" s="354">
        <f>INDEX(AGA!$U:$U,MATCH(Z$2,AGA!$S:$S,0))</f>
        <v>9.4860298072484764E-2</v>
      </c>
      <c r="AA92" s="354">
        <f>INDEX(AGA!$U:$U,MATCH(AA$2,AGA!$S:$S,0))</f>
        <v>0.10022872801965059</v>
      </c>
      <c r="AB92" s="354">
        <f>INDEX(AGA!$U:$U,MATCH(AB$2,AGA!$S:$S,0))</f>
        <v>0.11769520234327356</v>
      </c>
      <c r="AC92" s="354">
        <f>INDEX(AGA!$U:$U,MATCH(AC$2,AGA!$S:$S,0))</f>
        <v>8.1462443658362513E-2</v>
      </c>
      <c r="AD92" s="354">
        <f>INDEX(AGA!$U:$U,MATCH(AD$2,AGA!$S:$S,0))</f>
        <v>7.6562198887327335E-2</v>
      </c>
      <c r="AE92" s="354">
        <f>INDEX(AGA!$U:$U,MATCH(AE$2,AGA!$S:$S,0))</f>
        <v>6.8624346276164816E-2</v>
      </c>
      <c r="AF92" s="354">
        <f>INDEX(AGA!$U:$U,MATCH(AF$2,AGA!$S:$S,0))</f>
        <v>6.1739285232855302E-2</v>
      </c>
      <c r="AG92" s="354">
        <f>INDEX(AGA!$U:$U,MATCH(AG$2,AGA!$S:$S,0))</f>
        <v>7.0612146977624135E-2</v>
      </c>
      <c r="AH92" s="354">
        <f>INDEX(AGA!$U:$U,MATCH(AH$2,AGA!$S:$S,0))</f>
        <v>8.4810705516553328E-2</v>
      </c>
      <c r="AI92" s="354">
        <f>INDEX(AGA!$U:$U,MATCH(AI$2,AGA!$S:$S,0))</f>
        <v>7.4281314709857327E-2</v>
      </c>
      <c r="AJ92" s="354"/>
      <c r="AK92" s="354">
        <f>INDEX(AGA!$U:$U,MATCH(AK$2,AGA!$S:$S,0))</f>
        <v>8.4583843334690892E-2</v>
      </c>
      <c r="AL92" s="354">
        <f>INDEX(AGA!$U:$U,MATCH(AL$2,AGA!$S:$S,0))</f>
        <v>8.4539486971155445E-2</v>
      </c>
      <c r="AM92" s="354">
        <f>INDEX(AGA!$U:$U,MATCH(AM$2,AGA!$S:$S,0))</f>
        <v>9.4860298072484764E-2</v>
      </c>
      <c r="AN92" s="354">
        <f>INDEX(AGA!$U:$U,MATCH(AN$2,AGA!$S:$S,0))</f>
        <v>0.10022872801965059</v>
      </c>
      <c r="AO92" s="354">
        <f>INDEX(AGA!$U:$U,MATCH(AO$2,AGA!$S:$S,0))</f>
        <v>0.11769520234327356</v>
      </c>
      <c r="AP92" s="354">
        <f>INDEX(AGA!$U:$U,MATCH(AP$2,AGA!$S:$S,0))</f>
        <v>8.1462443658362513E-2</v>
      </c>
      <c r="AQ92" s="354">
        <f>INDEX(AGA!$U:$U,MATCH(AQ$2,AGA!$S:$S,0))</f>
        <v>7.6562198887327335E-2</v>
      </c>
      <c r="AR92" s="354">
        <f>INDEX(AGA!$U:$U,MATCH(AR$2,AGA!$S:$S,0))</f>
        <v>6.8624346276164816E-2</v>
      </c>
      <c r="AS92" s="354">
        <f>INDEX(AGA!$U:$U,MATCH(AS$2,AGA!$S:$S,0))</f>
        <v>6.1739285232855302E-2</v>
      </c>
      <c r="AT92" s="354">
        <f>INDEX(AGA!$U:$U,MATCH(AT$2,AGA!$S:$S,0))</f>
        <v>7.0612146977624135E-2</v>
      </c>
      <c r="AU92" s="354">
        <f>INDEX(AGA!$U:$U,MATCH(AU$2,AGA!$S:$S,0))</f>
        <v>8.4810705516553328E-2</v>
      </c>
      <c r="AV92" s="354">
        <f>INDEX(AGA!$U:$U,MATCH(AV$2,AGA!$S:$S,0))</f>
        <v>7.4281314709857327E-2</v>
      </c>
      <c r="AW92" s="354">
        <f>INDEX(AGA!$U:$U,MATCH(AW$2,AGA!$S:$S,0))</f>
        <v>8.4583843334690892E-2</v>
      </c>
      <c r="AX92" s="354">
        <f>INDEX(AGA!$U:$U,MATCH(AX$2,AGA!$S:$S,0))</f>
        <v>8.4539486971155445E-2</v>
      </c>
      <c r="AY92" s="354">
        <f>INDEX(AGA!$U:$U,MATCH(AY$2,AGA!$S:$S,0))</f>
        <v>9.4860298072484764E-2</v>
      </c>
      <c r="AZ92" s="354">
        <f>INDEX(AGA!$U:$U,MATCH(AZ$2,AGA!$S:$S,0))</f>
        <v>0.10022872801965059</v>
      </c>
      <c r="BA92" s="354">
        <f>INDEX(AGA!$U:$U,MATCH(BA$2,AGA!$S:$S,0))</f>
        <v>0.11769520234327356</v>
      </c>
      <c r="BB92" s="354">
        <f>INDEX(AGA!$U:$U,MATCH(BB$2,AGA!$S:$S,0))</f>
        <v>8.1462443658362513E-2</v>
      </c>
      <c r="BC92" s="354">
        <f>INDEX(AGA!$U:$U,MATCH(BC$2,AGA!$S:$S,0))</f>
        <v>7.6562198887327335E-2</v>
      </c>
      <c r="BD92" s="354">
        <f>INDEX(AGA!$U:$U,MATCH(BD$2,AGA!$S:$S,0))</f>
        <v>6.8624346276164816E-2</v>
      </c>
      <c r="BE92" s="354">
        <f>INDEX(AGA!$U:$U,MATCH(BE$2,AGA!$S:$S,0))</f>
        <v>6.1739285232855302E-2</v>
      </c>
      <c r="BF92" s="354">
        <f>INDEX(AGA!$U:$U,MATCH(BF$2,AGA!$S:$S,0))</f>
        <v>7.0612146977624135E-2</v>
      </c>
      <c r="BG92" s="354">
        <f>INDEX(AGA!$U:$U,MATCH(BG$2,AGA!$S:$S,0))</f>
        <v>8.4810705516553328E-2</v>
      </c>
      <c r="BH92" s="354">
        <f>INDEX(AGA!$U:$U,MATCH(BH$2,AGA!$S:$S,0))</f>
        <v>7.4281314709857327E-2</v>
      </c>
      <c r="BI92" s="354">
        <f>INDEX(AGA!$U:$U,MATCH(BI$2,AGA!$S:$S,0))</f>
        <v>8.4583843334690892E-2</v>
      </c>
      <c r="BJ92" s="354">
        <f>INDEX(AGA!$U:$U,MATCH(BJ$2,AGA!$S:$S,0))</f>
        <v>8.4539486971155445E-2</v>
      </c>
      <c r="BK92" s="354">
        <f>INDEX(AGA!$U:$U,MATCH(BK$2,AGA!$S:$S,0))</f>
        <v>9.4860298072484764E-2</v>
      </c>
      <c r="BL92" s="354">
        <f>INDEX(AGA!$U:$U,MATCH(BL$2,AGA!$S:$S,0))</f>
        <v>0.10022872801965059</v>
      </c>
      <c r="BM92" s="354">
        <f>INDEX(AGA!$U:$U,MATCH(BM$2,AGA!$S:$S,0))</f>
        <v>0.11769520234327356</v>
      </c>
      <c r="BN92" s="354">
        <f>INDEX(AGA!$U:$U,MATCH(BN$2,AGA!$S:$S,0))</f>
        <v>8.1462443658362513E-2</v>
      </c>
      <c r="BO92" s="354">
        <f>INDEX(AGA!$U:$U,MATCH(BO$2,AGA!$S:$S,0))</f>
        <v>7.6562198887327335E-2</v>
      </c>
      <c r="BP92" s="354">
        <f>INDEX(AGA!$U:$U,MATCH(BP$2,AGA!$S:$S,0))</f>
        <v>6.8624346276164816E-2</v>
      </c>
      <c r="BQ92" s="354">
        <f>INDEX(AGA!$U:$U,MATCH(BQ$2,AGA!$S:$S,0))</f>
        <v>6.1739285232855302E-2</v>
      </c>
      <c r="BR92" s="354">
        <f>INDEX(AGA!$U:$U,MATCH(BR$2,AGA!$S:$S,0))</f>
        <v>7.0612146977624135E-2</v>
      </c>
      <c r="BS92" s="354">
        <f>INDEX(AGA!$U:$U,MATCH(BS$2,AGA!$S:$S,0))</f>
        <v>8.4810705516553328E-2</v>
      </c>
      <c r="BT92" s="354">
        <f>INDEX(AGA!$U:$U,MATCH(BT$2,AGA!$S:$S,0))</f>
        <v>7.4281314709857327E-2</v>
      </c>
      <c r="BU92" s="354">
        <f>INDEX(AGA!$U:$U,MATCH(BU$2,AGA!$S:$S,0))</f>
        <v>8.4583843334690892E-2</v>
      </c>
      <c r="BV92" s="354">
        <f>INDEX(AGA!$U:$U,MATCH(BV$2,AGA!$S:$S,0))</f>
        <v>8.4539486971155445E-2</v>
      </c>
      <c r="BW92" s="354">
        <f>INDEX(AGA!$U:$U,MATCH(BW$2,AGA!$S:$S,0))</f>
        <v>9.4860298072484764E-2</v>
      </c>
      <c r="BX92" s="354">
        <f>INDEX(AGA!$U:$U,MATCH(BX$2,AGA!$S:$S,0))</f>
        <v>0.10022872801965059</v>
      </c>
    </row>
    <row r="93" spans="3:97">
      <c r="C93" t="s">
        <v>469</v>
      </c>
      <c r="D93" s="354">
        <f>INDEX(AGA!$V:$V,MATCH(D$2,AGA!$S:$S,0))</f>
        <v>0.12478041591867144</v>
      </c>
      <c r="E93" s="354">
        <f>INDEX(AGA!$V:$V,MATCH(E$2,AGA!$S:$S,0))</f>
        <v>9.8680213210295617E-2</v>
      </c>
      <c r="F93" s="354">
        <f>INDEX(AGA!$V:$V,MATCH(F$2,AGA!$S:$S,0))</f>
        <v>8.355408355423348E-2</v>
      </c>
      <c r="G93" s="354">
        <f>INDEX(AGA!$V:$V,MATCH(G$2,AGA!$S:$S,0))</f>
        <v>7.8806162947680974E-2</v>
      </c>
      <c r="H93" s="354">
        <f>INDEX(AGA!$V:$V,MATCH(H$2,AGA!$S:$S,0))</f>
        <v>6.3719465468275005E-2</v>
      </c>
      <c r="I93" s="354">
        <f>INDEX(AGA!$V:$V,MATCH(I$2,AGA!$S:$S,0))</f>
        <v>7.3509107216871303E-2</v>
      </c>
      <c r="J93" s="354">
        <f>INDEX(AGA!$V:$V,MATCH(J$2,AGA!$S:$S,0))</f>
        <v>7.4655072573863279E-2</v>
      </c>
      <c r="K93" s="354">
        <f>INDEX(AGA!$V:$V,MATCH(K$2,AGA!$S:$S,0))</f>
        <v>7.9430014300202967E-2</v>
      </c>
      <c r="L93" s="354">
        <f>INDEX(AGA!$V:$V,MATCH(L$2,AGA!$S:$S,0))</f>
        <v>7.125757490947425E-2</v>
      </c>
      <c r="M93" s="354">
        <f>INDEX(AGA!$V:$V,MATCH(M$2,AGA!$S:$S,0))</f>
        <v>8.524090444452441E-2</v>
      </c>
      <c r="N93" s="354">
        <f>INDEX(AGA!$V:$V,MATCH(N$2,AGA!$S:$S,0))</f>
        <v>7.0327511964592013E-2</v>
      </c>
      <c r="O93" s="354">
        <f>INDEX(AGA!$V:$V,MATCH(O$2,AGA!$S:$S,0))</f>
        <v>9.6039473491315253E-2</v>
      </c>
      <c r="P93" s="354">
        <f>INDEX(AGA!$V:$V,MATCH(P$2,AGA!$S:$S,0))</f>
        <v>0.12478041591867144</v>
      </c>
      <c r="Q93" s="354">
        <f>INDEX(AGA!$V:$V,MATCH(Q$2,AGA!$S:$S,0))</f>
        <v>9.8680213210295617E-2</v>
      </c>
      <c r="R93" s="354">
        <f>INDEX(AGA!$V:$V,MATCH(R$2,AGA!$S:$S,0))</f>
        <v>8.355408355423348E-2</v>
      </c>
      <c r="S93" s="354">
        <f>INDEX(AGA!$V:$V,MATCH(S$2,AGA!$S:$S,0))</f>
        <v>7.8806162947680974E-2</v>
      </c>
      <c r="T93" s="354">
        <f>INDEX(AGA!$V:$V,MATCH(T$2,AGA!$S:$S,0))</f>
        <v>6.3719465468275005E-2</v>
      </c>
      <c r="U93" s="354">
        <f>INDEX(AGA!$V:$V,MATCH(U$2,AGA!$S:$S,0))</f>
        <v>7.3509107216871303E-2</v>
      </c>
      <c r="V93" s="354">
        <f>INDEX(AGA!$V:$V,MATCH(V$2,AGA!$S:$S,0))</f>
        <v>7.4655072573863279E-2</v>
      </c>
      <c r="W93" s="354">
        <f>INDEX(AGA!$V:$V,MATCH(W$2,AGA!$S:$S,0))</f>
        <v>7.9430014300202967E-2</v>
      </c>
      <c r="X93" s="354">
        <f>INDEX(AGA!$V:$V,MATCH(X$2,AGA!$S:$S,0))</f>
        <v>7.125757490947425E-2</v>
      </c>
      <c r="Y93" s="354">
        <f>INDEX(AGA!$V:$V,MATCH(Y$2,AGA!$S:$S,0))</f>
        <v>8.524090444452441E-2</v>
      </c>
      <c r="Z93" s="354">
        <f>INDEX(AGA!$V:$V,MATCH(Z$2,AGA!$S:$S,0))</f>
        <v>7.0327511964592013E-2</v>
      </c>
      <c r="AA93" s="354">
        <f>INDEX(AGA!$V:$V,MATCH(AA$2,AGA!$S:$S,0))</f>
        <v>9.6039473491315253E-2</v>
      </c>
      <c r="AB93" s="354">
        <f>INDEX(AGA!$V:$V,MATCH(AB$2,AGA!$S:$S,0))</f>
        <v>0.12478041591867144</v>
      </c>
      <c r="AC93" s="354">
        <f>INDEX(AGA!$V:$V,MATCH(AC$2,AGA!$S:$S,0))</f>
        <v>9.8680213210295617E-2</v>
      </c>
      <c r="AD93" s="354">
        <f>INDEX(AGA!$V:$V,MATCH(AD$2,AGA!$S:$S,0))</f>
        <v>8.355408355423348E-2</v>
      </c>
      <c r="AE93" s="354">
        <f>INDEX(AGA!$V:$V,MATCH(AE$2,AGA!$S:$S,0))</f>
        <v>7.8806162947680974E-2</v>
      </c>
      <c r="AF93" s="354">
        <f>INDEX(AGA!$V:$V,MATCH(AF$2,AGA!$S:$S,0))</f>
        <v>6.3719465468275005E-2</v>
      </c>
      <c r="AG93" s="354">
        <f>INDEX(AGA!$V:$V,MATCH(AG$2,AGA!$S:$S,0))</f>
        <v>7.3509107216871303E-2</v>
      </c>
      <c r="AH93" s="354">
        <f>INDEX(AGA!$V:$V,MATCH(AH$2,AGA!$S:$S,0))</f>
        <v>7.4655072573863279E-2</v>
      </c>
      <c r="AI93" s="354">
        <f>INDEX(AGA!$V:$V,MATCH(AI$2,AGA!$S:$S,0))</f>
        <v>7.9430014300202967E-2</v>
      </c>
      <c r="AJ93" s="354"/>
      <c r="AK93" s="354">
        <f>INDEX(AGA!$V:$V,MATCH(AK$2,AGA!$S:$S,0))</f>
        <v>7.125757490947425E-2</v>
      </c>
      <c r="AL93" s="354">
        <f>INDEX(AGA!$V:$V,MATCH(AL$2,AGA!$S:$S,0))</f>
        <v>8.524090444452441E-2</v>
      </c>
      <c r="AM93" s="354">
        <f>INDEX(AGA!$V:$V,MATCH(AM$2,AGA!$S:$S,0))</f>
        <v>7.0327511964592013E-2</v>
      </c>
      <c r="AN93" s="354">
        <f>INDEX(AGA!$V:$V,MATCH(AN$2,AGA!$S:$S,0))</f>
        <v>9.6039473491315253E-2</v>
      </c>
      <c r="AO93" s="354">
        <f>INDEX(AGA!$V:$V,MATCH(AO$2,AGA!$S:$S,0))</f>
        <v>0.12478041591867144</v>
      </c>
      <c r="AP93" s="354">
        <f>INDEX(AGA!$V:$V,MATCH(AP$2,AGA!$S:$S,0))</f>
        <v>9.8680213210295617E-2</v>
      </c>
      <c r="AQ93" s="354">
        <f>INDEX(AGA!$V:$V,MATCH(AQ$2,AGA!$S:$S,0))</f>
        <v>8.355408355423348E-2</v>
      </c>
      <c r="AR93" s="354">
        <f>INDEX(AGA!$V:$V,MATCH(AR$2,AGA!$S:$S,0))</f>
        <v>7.8806162947680974E-2</v>
      </c>
      <c r="AS93" s="354">
        <f>INDEX(AGA!$V:$V,MATCH(AS$2,AGA!$S:$S,0))</f>
        <v>6.3719465468275005E-2</v>
      </c>
      <c r="AT93" s="354">
        <f>INDEX(AGA!$V:$V,MATCH(AT$2,AGA!$S:$S,0))</f>
        <v>7.3509107216871303E-2</v>
      </c>
      <c r="AU93" s="354">
        <f>INDEX(AGA!$V:$V,MATCH(AU$2,AGA!$S:$S,0))</f>
        <v>7.4655072573863279E-2</v>
      </c>
      <c r="AV93" s="354">
        <f>INDEX(AGA!$V:$V,MATCH(AV$2,AGA!$S:$S,0))</f>
        <v>7.9430014300202967E-2</v>
      </c>
      <c r="AW93" s="354">
        <f>INDEX(AGA!$V:$V,MATCH(AW$2,AGA!$S:$S,0))</f>
        <v>7.125757490947425E-2</v>
      </c>
      <c r="AX93" s="354">
        <f>INDEX(AGA!$V:$V,MATCH(AX$2,AGA!$S:$S,0))</f>
        <v>8.524090444452441E-2</v>
      </c>
      <c r="AY93" s="354">
        <f>INDEX(AGA!$V:$V,MATCH(AY$2,AGA!$S:$S,0))</f>
        <v>7.0327511964592013E-2</v>
      </c>
      <c r="AZ93" s="354">
        <f>INDEX(AGA!$V:$V,MATCH(AZ$2,AGA!$S:$S,0))</f>
        <v>9.6039473491315253E-2</v>
      </c>
      <c r="BA93" s="354">
        <f>INDEX(AGA!$V:$V,MATCH(BA$2,AGA!$S:$S,0))</f>
        <v>0.12478041591867144</v>
      </c>
      <c r="BB93" s="354">
        <f>INDEX(AGA!$V:$V,MATCH(BB$2,AGA!$S:$S,0))</f>
        <v>9.8680213210295617E-2</v>
      </c>
      <c r="BC93" s="354">
        <f>INDEX(AGA!$V:$V,MATCH(BC$2,AGA!$S:$S,0))</f>
        <v>8.355408355423348E-2</v>
      </c>
      <c r="BD93" s="354">
        <f>INDEX(AGA!$V:$V,MATCH(BD$2,AGA!$S:$S,0))</f>
        <v>7.8806162947680974E-2</v>
      </c>
      <c r="BE93" s="354">
        <f>INDEX(AGA!$V:$V,MATCH(BE$2,AGA!$S:$S,0))</f>
        <v>6.3719465468275005E-2</v>
      </c>
      <c r="BF93" s="354">
        <f>INDEX(AGA!$V:$V,MATCH(BF$2,AGA!$S:$S,0))</f>
        <v>7.3509107216871303E-2</v>
      </c>
      <c r="BG93" s="354">
        <f>INDEX(AGA!$V:$V,MATCH(BG$2,AGA!$S:$S,0))</f>
        <v>7.4655072573863279E-2</v>
      </c>
      <c r="BH93" s="354">
        <f>INDEX(AGA!$V:$V,MATCH(BH$2,AGA!$S:$S,0))</f>
        <v>7.9430014300202967E-2</v>
      </c>
      <c r="BI93" s="354">
        <f>INDEX(AGA!$V:$V,MATCH(BI$2,AGA!$S:$S,0))</f>
        <v>7.125757490947425E-2</v>
      </c>
      <c r="BJ93" s="354">
        <f>INDEX(AGA!$V:$V,MATCH(BJ$2,AGA!$S:$S,0))</f>
        <v>8.524090444452441E-2</v>
      </c>
      <c r="BK93" s="354">
        <f>INDEX(AGA!$V:$V,MATCH(BK$2,AGA!$S:$S,0))</f>
        <v>7.0327511964592013E-2</v>
      </c>
      <c r="BL93" s="354">
        <f>INDEX(AGA!$V:$V,MATCH(BL$2,AGA!$S:$S,0))</f>
        <v>9.6039473491315253E-2</v>
      </c>
      <c r="BM93" s="354">
        <f>INDEX(AGA!$V:$V,MATCH(BM$2,AGA!$S:$S,0))</f>
        <v>0.12478041591867144</v>
      </c>
      <c r="BN93" s="354">
        <f>INDEX(AGA!$V:$V,MATCH(BN$2,AGA!$S:$S,0))</f>
        <v>9.8680213210295617E-2</v>
      </c>
      <c r="BO93" s="354">
        <f>INDEX(AGA!$V:$V,MATCH(BO$2,AGA!$S:$S,0))</f>
        <v>8.355408355423348E-2</v>
      </c>
      <c r="BP93" s="354">
        <f>INDEX(AGA!$V:$V,MATCH(BP$2,AGA!$S:$S,0))</f>
        <v>7.8806162947680974E-2</v>
      </c>
      <c r="BQ93" s="354">
        <f>INDEX(AGA!$V:$V,MATCH(BQ$2,AGA!$S:$S,0))</f>
        <v>6.3719465468275005E-2</v>
      </c>
      <c r="BR93" s="354">
        <f>INDEX(AGA!$V:$V,MATCH(BR$2,AGA!$S:$S,0))</f>
        <v>7.3509107216871303E-2</v>
      </c>
      <c r="BS93" s="354">
        <f>INDEX(AGA!$V:$V,MATCH(BS$2,AGA!$S:$S,0))</f>
        <v>7.4655072573863279E-2</v>
      </c>
      <c r="BT93" s="354">
        <f>INDEX(AGA!$V:$V,MATCH(BT$2,AGA!$S:$S,0))</f>
        <v>7.9430014300202967E-2</v>
      </c>
      <c r="BU93" s="354">
        <f>INDEX(AGA!$V:$V,MATCH(BU$2,AGA!$S:$S,0))</f>
        <v>7.125757490947425E-2</v>
      </c>
      <c r="BV93" s="354">
        <f>INDEX(AGA!$V:$V,MATCH(BV$2,AGA!$S:$S,0))</f>
        <v>8.524090444452441E-2</v>
      </c>
      <c r="BW93" s="354">
        <f>INDEX(AGA!$V:$V,MATCH(BW$2,AGA!$S:$S,0))</f>
        <v>7.0327511964592013E-2</v>
      </c>
      <c r="BX93" s="354">
        <f>INDEX(AGA!$V:$V,MATCH(BX$2,AGA!$S:$S,0))</f>
        <v>9.6039473491315253E-2</v>
      </c>
    </row>
    <row r="94" spans="3:97">
      <c r="C94" t="s">
        <v>222</v>
      </c>
      <c r="D94" s="354">
        <f>INDEX(AGA!$W:$W,MATCH(D$2,AGA!$S:$S,0))</f>
        <v>4.4982846502603341E-2</v>
      </c>
      <c r="E94" s="354">
        <f>INDEX(AGA!$W:$W,MATCH(E$2,AGA!$S:$S,0))</f>
        <v>5.8016635828185982E-2</v>
      </c>
      <c r="F94" s="354">
        <f>INDEX(AGA!$W:$W,MATCH(F$2,AGA!$S:$S,0))</f>
        <v>7.8703584174708796E-2</v>
      </c>
      <c r="G94" s="354">
        <f>INDEX(AGA!$W:$W,MATCH(G$2,AGA!$S:$S,0))</f>
        <v>7.8777127105394584E-2</v>
      </c>
      <c r="H94" s="354">
        <f>INDEX(AGA!$W:$W,MATCH(H$2,AGA!$S:$S,0))</f>
        <v>9.2623930921803266E-2</v>
      </c>
      <c r="I94" s="354">
        <f>INDEX(AGA!$W:$W,MATCH(I$2,AGA!$S:$S,0))</f>
        <v>9.7320638050121325E-2</v>
      </c>
      <c r="J94" s="354">
        <f>INDEX(AGA!$W:$W,MATCH(J$2,AGA!$S:$S,0))</f>
        <v>7.9423626840040215E-2</v>
      </c>
      <c r="K94" s="354">
        <f>INDEX(AGA!$W:$W,MATCH(K$2,AGA!$S:$S,0))</f>
        <v>8.0631087014065739E-2</v>
      </c>
      <c r="L94" s="354">
        <f>INDEX(AGA!$W:$W,MATCH(L$2,AGA!$S:$S,0))</f>
        <v>9.73894867511889E-2</v>
      </c>
      <c r="M94" s="354">
        <f>INDEX(AGA!$W:$W,MATCH(M$2,AGA!$S:$S,0))</f>
        <v>0.11295985520909534</v>
      </c>
      <c r="N94" s="354">
        <f>INDEX(AGA!$W:$W,MATCH(N$2,AGA!$S:$S,0))</f>
        <v>9.9464075451917391E-2</v>
      </c>
      <c r="O94" s="354">
        <f>INDEX(AGA!$W:$W,MATCH(O$2,AGA!$S:$S,0))</f>
        <v>7.9707106150875159E-2</v>
      </c>
      <c r="P94" s="354">
        <f>INDEX(AGA!$W:$W,MATCH(P$2,AGA!$S:$S,0))</f>
        <v>4.4982846502603341E-2</v>
      </c>
      <c r="Q94" s="354">
        <f>INDEX(AGA!$W:$W,MATCH(Q$2,AGA!$S:$S,0))</f>
        <v>5.8016635828185982E-2</v>
      </c>
      <c r="R94" s="354">
        <f>INDEX(AGA!$W:$W,MATCH(R$2,AGA!$S:$S,0))</f>
        <v>7.8703584174708796E-2</v>
      </c>
      <c r="S94" s="354">
        <f>INDEX(AGA!$W:$W,MATCH(S$2,AGA!$S:$S,0))</f>
        <v>7.8777127105394584E-2</v>
      </c>
      <c r="T94" s="354">
        <f>INDEX(AGA!$W:$W,MATCH(T$2,AGA!$S:$S,0))</f>
        <v>9.2623930921803266E-2</v>
      </c>
      <c r="U94" s="354">
        <f>INDEX(AGA!$W:$W,MATCH(U$2,AGA!$S:$S,0))</f>
        <v>9.7320638050121325E-2</v>
      </c>
      <c r="V94" s="354">
        <f>INDEX(AGA!$W:$W,MATCH(V$2,AGA!$S:$S,0))</f>
        <v>7.9423626840040215E-2</v>
      </c>
      <c r="W94" s="354">
        <f>INDEX(AGA!$W:$W,MATCH(W$2,AGA!$S:$S,0))</f>
        <v>8.0631087014065739E-2</v>
      </c>
      <c r="X94" s="354">
        <f>INDEX(AGA!$W:$W,MATCH(X$2,AGA!$S:$S,0))</f>
        <v>9.73894867511889E-2</v>
      </c>
      <c r="Y94" s="354">
        <f>INDEX(AGA!$W:$W,MATCH(Y$2,AGA!$S:$S,0))</f>
        <v>0.11295985520909534</v>
      </c>
      <c r="Z94" s="354">
        <f>INDEX(AGA!$W:$W,MATCH(Z$2,AGA!$S:$S,0))</f>
        <v>9.9464075451917391E-2</v>
      </c>
      <c r="AA94" s="354">
        <f>INDEX(AGA!$W:$W,MATCH(AA$2,AGA!$S:$S,0))</f>
        <v>7.9707106150875159E-2</v>
      </c>
      <c r="AB94" s="354">
        <f>INDEX(AGA!$W:$W,MATCH(AB$2,AGA!$S:$S,0))</f>
        <v>4.4982846502603341E-2</v>
      </c>
      <c r="AC94" s="354">
        <f>INDEX(AGA!$W:$W,MATCH(AC$2,AGA!$S:$S,0))</f>
        <v>5.8016635828185982E-2</v>
      </c>
      <c r="AD94" s="354">
        <f>INDEX(AGA!$W:$W,MATCH(AD$2,AGA!$S:$S,0))</f>
        <v>7.8703584174708796E-2</v>
      </c>
      <c r="AE94" s="354">
        <f>INDEX(AGA!$W:$W,MATCH(AE$2,AGA!$S:$S,0))</f>
        <v>7.8777127105394584E-2</v>
      </c>
      <c r="AF94" s="354">
        <f>INDEX(AGA!$W:$W,MATCH(AF$2,AGA!$S:$S,0))</f>
        <v>9.2623930921803266E-2</v>
      </c>
      <c r="AG94" s="354">
        <f>INDEX(AGA!$W:$W,MATCH(AG$2,AGA!$S:$S,0))</f>
        <v>9.7320638050121325E-2</v>
      </c>
      <c r="AH94" s="354">
        <f>INDEX(AGA!$W:$W,MATCH(AH$2,AGA!$S:$S,0))</f>
        <v>7.9423626840040215E-2</v>
      </c>
      <c r="AI94" s="354">
        <f>INDEX(AGA!$W:$W,MATCH(AI$2,AGA!$S:$S,0))</f>
        <v>8.0631087014065739E-2</v>
      </c>
      <c r="AJ94" s="354"/>
      <c r="AK94" s="354">
        <f>INDEX(AGA!$W:$W,MATCH(AK$2,AGA!$S:$S,0))</f>
        <v>9.73894867511889E-2</v>
      </c>
      <c r="AL94" s="354">
        <f>INDEX(AGA!$W:$W,MATCH(AL$2,AGA!$S:$S,0))</f>
        <v>0.11295985520909534</v>
      </c>
      <c r="AM94" s="354">
        <f>INDEX(AGA!$W:$W,MATCH(AM$2,AGA!$S:$S,0))</f>
        <v>9.9464075451917391E-2</v>
      </c>
      <c r="AN94" s="354">
        <f>INDEX(AGA!$W:$W,MATCH(AN$2,AGA!$S:$S,0))</f>
        <v>7.9707106150875159E-2</v>
      </c>
      <c r="AO94" s="354">
        <f>INDEX(AGA!$W:$W,MATCH(AO$2,AGA!$S:$S,0))</f>
        <v>4.4982846502603341E-2</v>
      </c>
      <c r="AP94" s="354">
        <f>INDEX(AGA!$W:$W,MATCH(AP$2,AGA!$S:$S,0))</f>
        <v>5.8016635828185982E-2</v>
      </c>
      <c r="AQ94" s="354">
        <f>INDEX(AGA!$W:$W,MATCH(AQ$2,AGA!$S:$S,0))</f>
        <v>7.8703584174708796E-2</v>
      </c>
      <c r="AR94" s="354">
        <f>INDEX(AGA!$W:$W,MATCH(AR$2,AGA!$S:$S,0))</f>
        <v>7.8777127105394584E-2</v>
      </c>
      <c r="AS94" s="354">
        <f>INDEX(AGA!$W:$W,MATCH(AS$2,AGA!$S:$S,0))</f>
        <v>9.2623930921803266E-2</v>
      </c>
      <c r="AT94" s="354">
        <f>INDEX(AGA!$W:$W,MATCH(AT$2,AGA!$S:$S,0))</f>
        <v>9.7320638050121325E-2</v>
      </c>
      <c r="AU94" s="354">
        <f>INDEX(AGA!$W:$W,MATCH(AU$2,AGA!$S:$S,0))</f>
        <v>7.9423626840040215E-2</v>
      </c>
      <c r="AV94" s="354">
        <f>INDEX(AGA!$W:$W,MATCH(AV$2,AGA!$S:$S,0))</f>
        <v>8.0631087014065739E-2</v>
      </c>
      <c r="AW94" s="354">
        <f>INDEX(AGA!$W:$W,MATCH(AW$2,AGA!$S:$S,0))</f>
        <v>9.73894867511889E-2</v>
      </c>
      <c r="AX94" s="354">
        <f>INDEX(AGA!$W:$W,MATCH(AX$2,AGA!$S:$S,0))</f>
        <v>0.11295985520909534</v>
      </c>
      <c r="AY94" s="354">
        <f>INDEX(AGA!$W:$W,MATCH(AY$2,AGA!$S:$S,0))</f>
        <v>9.9464075451917391E-2</v>
      </c>
      <c r="AZ94" s="354">
        <f>INDEX(AGA!$W:$W,MATCH(AZ$2,AGA!$S:$S,0))</f>
        <v>7.9707106150875159E-2</v>
      </c>
      <c r="BA94" s="354">
        <f>INDEX(AGA!$W:$W,MATCH(BA$2,AGA!$S:$S,0))</f>
        <v>4.4982846502603341E-2</v>
      </c>
      <c r="BB94" s="354">
        <f>INDEX(AGA!$W:$W,MATCH(BB$2,AGA!$S:$S,0))</f>
        <v>5.8016635828185982E-2</v>
      </c>
      <c r="BC94" s="354">
        <f>INDEX(AGA!$W:$W,MATCH(BC$2,AGA!$S:$S,0))</f>
        <v>7.8703584174708796E-2</v>
      </c>
      <c r="BD94" s="354">
        <f>INDEX(AGA!$W:$W,MATCH(BD$2,AGA!$S:$S,0))</f>
        <v>7.8777127105394584E-2</v>
      </c>
      <c r="BE94" s="354">
        <f>INDEX(AGA!$W:$W,MATCH(BE$2,AGA!$S:$S,0))</f>
        <v>9.2623930921803266E-2</v>
      </c>
      <c r="BF94" s="354">
        <f>INDEX(AGA!$W:$W,MATCH(BF$2,AGA!$S:$S,0))</f>
        <v>9.7320638050121325E-2</v>
      </c>
      <c r="BG94" s="354">
        <f>INDEX(AGA!$W:$W,MATCH(BG$2,AGA!$S:$S,0))</f>
        <v>7.9423626840040215E-2</v>
      </c>
      <c r="BH94" s="354">
        <f>INDEX(AGA!$W:$W,MATCH(BH$2,AGA!$S:$S,0))</f>
        <v>8.0631087014065739E-2</v>
      </c>
      <c r="BI94" s="354">
        <f>INDEX(AGA!$W:$W,MATCH(BI$2,AGA!$S:$S,0))</f>
        <v>9.73894867511889E-2</v>
      </c>
      <c r="BJ94" s="354">
        <f>INDEX(AGA!$W:$W,MATCH(BJ$2,AGA!$S:$S,0))</f>
        <v>0.11295985520909534</v>
      </c>
      <c r="BK94" s="354">
        <f>INDEX(AGA!$W:$W,MATCH(BK$2,AGA!$S:$S,0))</f>
        <v>9.9464075451917391E-2</v>
      </c>
      <c r="BL94" s="354">
        <f>INDEX(AGA!$W:$W,MATCH(BL$2,AGA!$S:$S,0))</f>
        <v>7.9707106150875159E-2</v>
      </c>
      <c r="BM94" s="354">
        <f>INDEX(AGA!$W:$W,MATCH(BM$2,AGA!$S:$S,0))</f>
        <v>4.4982846502603341E-2</v>
      </c>
      <c r="BN94" s="354">
        <f>INDEX(AGA!$W:$W,MATCH(BN$2,AGA!$S:$S,0))</f>
        <v>5.8016635828185982E-2</v>
      </c>
      <c r="BO94" s="354">
        <f>INDEX(AGA!$W:$W,MATCH(BO$2,AGA!$S:$S,0))</f>
        <v>7.8703584174708796E-2</v>
      </c>
      <c r="BP94" s="354">
        <f>INDEX(AGA!$W:$W,MATCH(BP$2,AGA!$S:$S,0))</f>
        <v>7.8777127105394584E-2</v>
      </c>
      <c r="BQ94" s="354">
        <f>INDEX(AGA!$W:$W,MATCH(BQ$2,AGA!$S:$S,0))</f>
        <v>9.2623930921803266E-2</v>
      </c>
      <c r="BR94" s="354">
        <f>INDEX(AGA!$W:$W,MATCH(BR$2,AGA!$S:$S,0))</f>
        <v>9.7320638050121325E-2</v>
      </c>
      <c r="BS94" s="354">
        <f>INDEX(AGA!$W:$W,MATCH(BS$2,AGA!$S:$S,0))</f>
        <v>7.9423626840040215E-2</v>
      </c>
      <c r="BT94" s="354">
        <f>INDEX(AGA!$W:$W,MATCH(BT$2,AGA!$S:$S,0))</f>
        <v>8.0631087014065739E-2</v>
      </c>
      <c r="BU94" s="354">
        <f>INDEX(AGA!$W:$W,MATCH(BU$2,AGA!$S:$S,0))</f>
        <v>9.73894867511889E-2</v>
      </c>
      <c r="BV94" s="354">
        <f>INDEX(AGA!$W:$W,MATCH(BV$2,AGA!$S:$S,0))</f>
        <v>0.11295985520909534</v>
      </c>
      <c r="BW94" s="354">
        <f>INDEX(AGA!$W:$W,MATCH(BW$2,AGA!$S:$S,0))</f>
        <v>9.9464075451917391E-2</v>
      </c>
      <c r="BX94" s="354">
        <f>INDEX(AGA!$W:$W,MATCH(BX$2,AGA!$S:$S,0))</f>
        <v>7.9707106150875159E-2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80CF-65DD-4E56-B2D7-F379EC42883E}">
  <sheetPr codeName="Sheet9">
    <tabColor theme="8"/>
  </sheetPr>
  <dimension ref="C2:T108"/>
  <sheetViews>
    <sheetView showGridLines="0" zoomScale="115" zoomScaleNormal="115" workbookViewId="0">
      <pane xSplit="3" ySplit="8" topLeftCell="D9" activePane="bottomRight" state="frozen"/>
      <selection activeCell="D9" sqref="D9"/>
      <selection pane="topRight" activeCell="D9" sqref="D9"/>
      <selection pane="bottomLeft" activeCell="D9" sqref="D9"/>
      <selection pane="bottomRight" activeCell="D9" sqref="D9"/>
    </sheetView>
  </sheetViews>
  <sheetFormatPr defaultRowHeight="14.5" outlineLevelRow="1"/>
  <cols>
    <col min="1" max="2" width="1.54296875" customWidth="1"/>
    <col min="3" max="3" width="31.1796875" bestFit="1" customWidth="1"/>
    <col min="4" max="9" width="12.7265625" customWidth="1"/>
    <col min="10" max="10" width="1.7265625" customWidth="1"/>
    <col min="11" max="13" width="10.7265625" customWidth="1"/>
    <col min="14" max="14" width="1.7265625" customWidth="1"/>
    <col min="15" max="18" width="12.7265625" customWidth="1"/>
    <col min="19" max="19" width="1.7265625" customWidth="1"/>
  </cols>
  <sheetData>
    <row r="2" spans="3:20" ht="5.15" customHeight="1"/>
    <row r="3" spans="3:20">
      <c r="C3" s="58" t="str">
        <f>Summary!$C$3</f>
        <v>Hadden Estate</v>
      </c>
    </row>
    <row r="4" spans="3:20">
      <c r="C4" t="s">
        <v>445</v>
      </c>
    </row>
    <row r="5" spans="3:20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3:20" ht="16">
      <c r="C6" s="100" t="s">
        <v>306</v>
      </c>
      <c r="D6" s="2" t="str">
        <f>$C$3</f>
        <v>Hadden Estate</v>
      </c>
      <c r="E6" s="2"/>
      <c r="F6" s="2"/>
      <c r="G6" s="2"/>
      <c r="H6" s="2"/>
      <c r="I6" s="2"/>
      <c r="K6" s="140" t="s">
        <v>328</v>
      </c>
      <c r="L6" s="140"/>
      <c r="M6" s="140"/>
      <c r="O6" s="140" t="s">
        <v>302</v>
      </c>
      <c r="P6" s="140"/>
      <c r="Q6" s="140"/>
      <c r="R6" s="140"/>
    </row>
    <row r="7" spans="3:20" ht="16">
      <c r="C7" s="2"/>
      <c r="D7" s="2" t="s">
        <v>325</v>
      </c>
      <c r="E7" s="2"/>
      <c r="F7" s="2"/>
      <c r="G7" s="2" t="s">
        <v>237</v>
      </c>
      <c r="H7" s="2"/>
      <c r="I7" s="2"/>
      <c r="K7" s="140"/>
      <c r="L7" s="140"/>
      <c r="M7" s="140"/>
      <c r="O7" s="140"/>
      <c r="P7" s="143" t="s">
        <v>394</v>
      </c>
      <c r="Q7" s="143" t="s">
        <v>395</v>
      </c>
      <c r="R7" s="143"/>
    </row>
    <row r="8" spans="3:20" ht="32">
      <c r="C8" s="2"/>
      <c r="D8" s="98">
        <f>Summary!$D$11</f>
        <v>2024</v>
      </c>
      <c r="E8" s="98">
        <f>Summary!$D$12</f>
        <v>2025</v>
      </c>
      <c r="F8" s="2" t="str">
        <f>Summary!$D$13</f>
        <v>LTM Jul-26</v>
      </c>
      <c r="G8" s="2" t="s">
        <v>238</v>
      </c>
      <c r="H8" s="2" t="s">
        <v>239</v>
      </c>
      <c r="I8" s="2" t="s">
        <v>240</v>
      </c>
      <c r="K8" s="142" t="s">
        <v>238</v>
      </c>
      <c r="L8" s="142" t="s">
        <v>239</v>
      </c>
      <c r="M8" s="142" t="s">
        <v>240</v>
      </c>
      <c r="O8" s="142" t="str">
        <f>C3</f>
        <v>Hadden Estate</v>
      </c>
      <c r="P8" s="144" t="s">
        <v>385</v>
      </c>
      <c r="Q8" s="144" t="s">
        <v>385</v>
      </c>
      <c r="R8" s="144" t="s">
        <v>248</v>
      </c>
    </row>
    <row r="9" spans="3:20" ht="5.15" customHeight="1">
      <c r="K9" s="50"/>
      <c r="L9" s="50"/>
      <c r="M9" s="50"/>
      <c r="O9" s="50"/>
      <c r="P9" s="50"/>
      <c r="Q9" s="50"/>
      <c r="R9" s="50"/>
    </row>
    <row r="10" spans="3:20">
      <c r="C10" s="3" t="s">
        <v>222</v>
      </c>
      <c r="K10" s="50"/>
      <c r="L10" s="50"/>
      <c r="M10" s="50"/>
      <c r="O10" s="50"/>
      <c r="P10" s="50"/>
      <c r="Q10" s="50"/>
      <c r="R10" s="50"/>
    </row>
    <row r="11" spans="3:20">
      <c r="C11" s="4" t="s">
        <v>254</v>
      </c>
      <c r="D11" s="14">
        <f>'Events Summary'!$P$10</f>
        <v>42</v>
      </c>
      <c r="E11" s="14">
        <f>'Events Summary'!$P$11</f>
        <v>43</v>
      </c>
      <c r="F11" s="14">
        <f>'Events Summary'!$P$12</f>
        <v>39</v>
      </c>
      <c r="G11" s="14">
        <f>'Events Summary'!$P$14</f>
        <v>24</v>
      </c>
      <c r="H11" s="14">
        <f>'Events Summary'!$P$15</f>
        <v>1</v>
      </c>
      <c r="I11" s="55">
        <v>0</v>
      </c>
      <c r="K11" s="50"/>
      <c r="L11" s="50"/>
      <c r="M11" s="50"/>
      <c r="O11" s="50"/>
      <c r="P11" s="50"/>
      <c r="Q11" s="50"/>
      <c r="R11" s="50"/>
    </row>
    <row r="12" spans="3:20">
      <c r="C12" s="4" t="s">
        <v>286</v>
      </c>
      <c r="D12" s="26"/>
      <c r="E12" s="26"/>
      <c r="F12" s="26"/>
      <c r="G12" s="32">
        <f>G13-G11</f>
        <v>16</v>
      </c>
      <c r="H12" s="32">
        <f t="shared" ref="H12:I12" si="0">H13-H11</f>
        <v>64</v>
      </c>
      <c r="I12" s="32">
        <f t="shared" si="0"/>
        <v>80</v>
      </c>
      <c r="K12" s="50"/>
      <c r="L12" s="50"/>
      <c r="M12" s="50"/>
      <c r="O12" s="50"/>
      <c r="P12" s="135"/>
      <c r="Q12" s="50"/>
      <c r="R12" s="50"/>
    </row>
    <row r="13" spans="3:20">
      <c r="C13" s="66" t="s">
        <v>285</v>
      </c>
      <c r="D13" s="92">
        <f t="shared" ref="D13:F13" si="1">SUM(D11:D12)</f>
        <v>42</v>
      </c>
      <c r="E13" s="92">
        <f t="shared" ref="E13" si="2">SUM(E11:E12)</f>
        <v>43</v>
      </c>
      <c r="F13" s="92">
        <f t="shared" si="1"/>
        <v>39</v>
      </c>
      <c r="G13" s="51">
        <v>40</v>
      </c>
      <c r="H13" s="51">
        <v>65</v>
      </c>
      <c r="I13" s="51">
        <v>80</v>
      </c>
      <c r="K13" s="50"/>
      <c r="L13" s="50"/>
      <c r="M13" s="50"/>
      <c r="O13" s="50"/>
      <c r="P13" s="14">
        <f>INDEX('WH Rev &amp; Events Data'!13:13,MATCH(P$8,'WH Rev &amp; Events Data'!$8:$8,0))</f>
        <v>245</v>
      </c>
      <c r="Q13" s="14">
        <f>INDEX('WH Rev &amp; Events Data'!13:13,MATCH(Q$8,'WH Rev &amp; Events Data'!$8:$8,0))</f>
        <v>245</v>
      </c>
      <c r="R13" s="14">
        <f>INDEX('WH Rev &amp; Events Data'!13:13,MATCH(R$8,'WH Rev &amp; Events Data'!$8:$8,0))</f>
        <v>3035</v>
      </c>
      <c r="T13" s="46"/>
    </row>
    <row r="14" spans="3:20" ht="5.15" customHeight="1">
      <c r="K14" s="50"/>
      <c r="L14" s="50"/>
      <c r="M14" s="50"/>
      <c r="O14" s="50"/>
      <c r="P14" s="50"/>
      <c r="Q14" s="50"/>
      <c r="R14" s="50"/>
    </row>
    <row r="15" spans="3:20">
      <c r="C15" s="3" t="s">
        <v>0</v>
      </c>
      <c r="K15" s="50"/>
      <c r="L15" s="50"/>
      <c r="M15" s="50"/>
      <c r="O15" s="50"/>
      <c r="P15" s="50"/>
      <c r="Q15" s="50"/>
      <c r="R15" s="50"/>
    </row>
    <row r="16" spans="3:20">
      <c r="C16" s="4" t="s">
        <v>254</v>
      </c>
      <c r="D16" s="97">
        <f>('Events Summary'!$Q$10)/1000</f>
        <v>405.27832000000001</v>
      </c>
      <c r="E16" s="97">
        <f>('Events Summary'!$Q$11)/1000</f>
        <v>403.06514000000004</v>
      </c>
      <c r="F16" s="97">
        <f>('Events Summary'!$Q$12)/1000</f>
        <v>545.81012999999996</v>
      </c>
      <c r="G16" s="97">
        <f>('Events Summary'!$Q$14)/1000</f>
        <v>546.40000000300006</v>
      </c>
      <c r="H16" s="97">
        <f>('Events Summary'!$Q$15)/1000</f>
        <v>19.5</v>
      </c>
      <c r="I16" s="56">
        <v>0</v>
      </c>
      <c r="K16" s="50"/>
      <c r="L16" s="50"/>
      <c r="M16" s="50"/>
      <c r="O16" s="50"/>
      <c r="P16" s="50"/>
      <c r="Q16" s="50"/>
      <c r="R16" s="50"/>
    </row>
    <row r="17" spans="3:20">
      <c r="C17" s="4" t="s">
        <v>330</v>
      </c>
      <c r="D17" s="27"/>
      <c r="E17" s="27"/>
      <c r="F17" s="27"/>
      <c r="G17" s="60">
        <f>G71-G16</f>
        <v>0</v>
      </c>
      <c r="H17" s="60">
        <f>H71-H16</f>
        <v>0</v>
      </c>
      <c r="I17" s="60">
        <f>I71-I16</f>
        <v>0</v>
      </c>
      <c r="K17" s="50"/>
      <c r="L17" s="50"/>
      <c r="M17" s="50"/>
      <c r="O17" s="50"/>
      <c r="P17" s="50"/>
      <c r="Q17" s="50"/>
      <c r="R17" s="50"/>
    </row>
    <row r="18" spans="3:20">
      <c r="C18" s="4" t="s">
        <v>310</v>
      </c>
      <c r="D18" s="27"/>
      <c r="E18" s="27"/>
      <c r="F18" s="27"/>
      <c r="G18" s="35">
        <f>G87</f>
        <v>349.02892292171737</v>
      </c>
      <c r="H18" s="35">
        <f t="shared" ref="H18:I18" si="3">H87</f>
        <v>1723.0687094171674</v>
      </c>
      <c r="I18" s="35">
        <f t="shared" si="3"/>
        <v>2598.9092178333472</v>
      </c>
      <c r="K18" s="50"/>
      <c r="L18" s="50"/>
      <c r="M18" s="50"/>
      <c r="O18" s="50"/>
      <c r="P18" s="50"/>
      <c r="Q18" s="50"/>
      <c r="R18" s="50"/>
    </row>
    <row r="19" spans="3:20" s="1" customFormat="1">
      <c r="C19" s="66" t="s">
        <v>285</v>
      </c>
      <c r="D19" s="91">
        <f t="shared" ref="D19:F19" si="4">SUM(D16:D18)</f>
        <v>405.27832000000001</v>
      </c>
      <c r="E19" s="91">
        <f t="shared" ref="E19" si="5">SUM(E16:E18)</f>
        <v>403.06514000000004</v>
      </c>
      <c r="F19" s="91">
        <f t="shared" si="4"/>
        <v>545.81012999999996</v>
      </c>
      <c r="G19" s="43">
        <f>SUM(G16:G18)</f>
        <v>895.42892292471743</v>
      </c>
      <c r="H19" s="43">
        <f t="shared" ref="H19:I19" si="6">SUM(H16:H18)</f>
        <v>1742.5687094171674</v>
      </c>
      <c r="I19" s="43">
        <f t="shared" si="6"/>
        <v>2598.9092178333472</v>
      </c>
      <c r="K19" s="64"/>
      <c r="L19" s="64"/>
      <c r="M19" s="64"/>
      <c r="O19" s="64"/>
      <c r="P19" s="64"/>
      <c r="Q19" s="64"/>
      <c r="R19" s="64"/>
      <c r="T19" s="65"/>
    </row>
    <row r="20" spans="3:20" ht="5.15" customHeight="1">
      <c r="K20" s="50"/>
      <c r="L20" s="50"/>
      <c r="M20" s="50"/>
      <c r="O20" s="50"/>
      <c r="P20" s="50"/>
      <c r="Q20" s="50"/>
      <c r="R20" s="50"/>
    </row>
    <row r="21" spans="3:20">
      <c r="C21" s="3" t="s">
        <v>243</v>
      </c>
      <c r="K21" s="50"/>
      <c r="L21" s="50"/>
      <c r="M21" s="50"/>
      <c r="O21" s="50"/>
      <c r="P21" s="50"/>
      <c r="Q21" s="50"/>
      <c r="R21" s="50"/>
    </row>
    <row r="22" spans="3:20">
      <c r="C22" s="4" t="s">
        <v>254</v>
      </c>
      <c r="D22" s="37">
        <f t="shared" ref="D22:I22" si="7">IFERROR(D16/D11,0)</f>
        <v>9.6494838095238098</v>
      </c>
      <c r="E22" s="37">
        <f t="shared" ref="E22" si="8">IFERROR(E16/E11,0)</f>
        <v>9.373607906976746</v>
      </c>
      <c r="F22" s="37">
        <f t="shared" si="7"/>
        <v>13.995131538461537</v>
      </c>
      <c r="G22" s="37">
        <f t="shared" si="7"/>
        <v>22.766666666791668</v>
      </c>
      <c r="H22" s="37">
        <f t="shared" si="7"/>
        <v>19.5</v>
      </c>
      <c r="I22" s="37">
        <f t="shared" si="7"/>
        <v>0</v>
      </c>
      <c r="K22" s="50"/>
      <c r="L22" s="50"/>
      <c r="M22" s="50"/>
      <c r="O22" s="50"/>
      <c r="P22" s="50"/>
      <c r="Q22" s="50"/>
      <c r="R22" s="50"/>
    </row>
    <row r="23" spans="3:20">
      <c r="C23" s="4" t="s">
        <v>330</v>
      </c>
      <c r="D23" s="36"/>
      <c r="E23" s="36"/>
      <c r="F23" s="36"/>
      <c r="G23" s="37">
        <f>IFERROR(G17/G11,0)</f>
        <v>0</v>
      </c>
      <c r="H23" s="37">
        <f t="shared" ref="H23:I25" si="9">IFERROR(H17/H11,0)</f>
        <v>0</v>
      </c>
      <c r="I23" s="37">
        <f t="shared" si="9"/>
        <v>0</v>
      </c>
      <c r="K23" s="50"/>
      <c r="L23" s="50"/>
      <c r="M23" s="50"/>
      <c r="O23" s="50"/>
      <c r="P23" s="50"/>
      <c r="Q23" s="50"/>
      <c r="R23" s="50"/>
    </row>
    <row r="24" spans="3:20">
      <c r="C24" s="4" t="s">
        <v>310</v>
      </c>
      <c r="D24" s="36"/>
      <c r="E24" s="36"/>
      <c r="F24" s="36"/>
      <c r="G24" s="37">
        <f>IFERROR(G18/G12,0)</f>
        <v>21.814307682607335</v>
      </c>
      <c r="H24" s="37">
        <f t="shared" si="9"/>
        <v>26.92294858464324</v>
      </c>
      <c r="I24" s="37">
        <f t="shared" si="9"/>
        <v>32.486365222916838</v>
      </c>
      <c r="K24" s="50"/>
      <c r="L24" s="50"/>
      <c r="M24" s="50"/>
      <c r="O24" s="50"/>
      <c r="P24" s="50"/>
      <c r="Q24" s="50"/>
      <c r="R24" s="50"/>
    </row>
    <row r="25" spans="3:20">
      <c r="C25" s="66" t="s">
        <v>285</v>
      </c>
      <c r="D25" s="146">
        <f t="shared" ref="D25:F25" si="10">IFERROR(D19/D13,0)</f>
        <v>9.6494838095238098</v>
      </c>
      <c r="E25" s="146">
        <f t="shared" ref="E25" si="11">IFERROR(E19/E13,0)</f>
        <v>9.373607906976746</v>
      </c>
      <c r="F25" s="146">
        <f t="shared" si="10"/>
        <v>13.995131538461537</v>
      </c>
      <c r="G25" s="53">
        <f>IFERROR(G19/G13,0)</f>
        <v>22.385723073117937</v>
      </c>
      <c r="H25" s="53">
        <f t="shared" si="9"/>
        <v>26.808749375648731</v>
      </c>
      <c r="I25" s="53">
        <f t="shared" si="9"/>
        <v>32.486365222916838</v>
      </c>
      <c r="K25" s="50"/>
      <c r="L25" s="50"/>
      <c r="M25" s="50"/>
      <c r="O25" s="50"/>
      <c r="P25" s="50"/>
      <c r="Q25" s="50"/>
      <c r="R25" s="50"/>
    </row>
    <row r="27" spans="3:20" ht="16" outlineLevel="1">
      <c r="C27" s="67" t="s">
        <v>318</v>
      </c>
      <c r="D27" s="68"/>
      <c r="E27" s="68"/>
      <c r="F27" s="68"/>
      <c r="G27" s="68"/>
      <c r="H27" s="68"/>
      <c r="I27" s="68"/>
      <c r="J27" s="68"/>
      <c r="K27" s="69" t="s">
        <v>283</v>
      </c>
      <c r="L27" s="69"/>
      <c r="M27" s="69"/>
      <c r="N27" s="68"/>
      <c r="O27" s="69"/>
      <c r="P27" s="70"/>
      <c r="Q27" s="70"/>
      <c r="R27" s="70"/>
      <c r="S27" s="9"/>
      <c r="T27" s="9"/>
    </row>
    <row r="28" spans="3:20" s="61" customFormat="1" ht="16" outlineLevel="1">
      <c r="C28" s="85" t="s">
        <v>311</v>
      </c>
      <c r="D28" s="86"/>
      <c r="E28" s="86"/>
      <c r="F28" s="86"/>
      <c r="G28" s="86"/>
      <c r="H28" s="86"/>
      <c r="I28" s="86"/>
      <c r="J28" s="86"/>
      <c r="K28" s="87"/>
      <c r="L28" s="87"/>
      <c r="M28" s="87"/>
      <c r="N28" s="86"/>
      <c r="O28" s="87"/>
      <c r="P28" s="88"/>
      <c r="Q28" s="88"/>
      <c r="R28" s="88"/>
      <c r="S28" s="32"/>
      <c r="T28" s="32"/>
    </row>
    <row r="29" spans="3:20" outlineLevel="1">
      <c r="C29" s="4" t="s">
        <v>245</v>
      </c>
      <c r="D29" s="14">
        <f>'Events Summary'!$D$10</f>
        <v>42</v>
      </c>
      <c r="E29" s="14">
        <f>'Events Summary'!$D$11</f>
        <v>43</v>
      </c>
      <c r="F29" s="14">
        <f>'Events Summary'!$D$12</f>
        <v>39</v>
      </c>
      <c r="G29" s="14">
        <f>'Events Summary'!$D$14</f>
        <v>24</v>
      </c>
      <c r="H29" s="14">
        <f>'Events Summary'!$D$15</f>
        <v>1</v>
      </c>
      <c r="I29" s="14">
        <f>'Events Summary'!$D$16</f>
        <v>0</v>
      </c>
      <c r="J29" s="9"/>
      <c r="K29" s="45">
        <v>1</v>
      </c>
      <c r="L29" s="45">
        <v>1</v>
      </c>
      <c r="M29" s="45">
        <v>1</v>
      </c>
      <c r="N29" s="9"/>
      <c r="O29" s="114"/>
      <c r="P29" s="114"/>
      <c r="Q29" s="114"/>
      <c r="R29" s="115"/>
      <c r="S29" s="9"/>
      <c r="T29" s="9"/>
    </row>
    <row r="30" spans="3:20" outlineLevel="1">
      <c r="C30" s="4" t="s">
        <v>244</v>
      </c>
      <c r="D30" s="18"/>
      <c r="E30" s="18"/>
      <c r="F30" s="18"/>
      <c r="G30" s="9">
        <f t="shared" ref="G30:G37" si="12">ROUND(G$11*K30,0)</f>
        <v>0</v>
      </c>
      <c r="H30" s="9">
        <f t="shared" ref="H30:H37" si="13">ROUND(H$11*L30,0)</f>
        <v>0</v>
      </c>
      <c r="I30" s="9">
        <f t="shared" ref="I30:I37" si="14">ROUND(I$11*M30,0)</f>
        <v>0</v>
      </c>
      <c r="J30" s="9"/>
      <c r="K30" s="45">
        <v>0</v>
      </c>
      <c r="L30" s="45">
        <v>0</v>
      </c>
      <c r="M30" s="45">
        <v>0</v>
      </c>
      <c r="N30" s="9"/>
      <c r="O30" s="25">
        <v>0</v>
      </c>
      <c r="P30" s="25">
        <v>0</v>
      </c>
      <c r="Q30" s="25">
        <v>0</v>
      </c>
      <c r="R30" s="25">
        <v>0</v>
      </c>
      <c r="S30" s="9"/>
      <c r="T30" s="46" t="s">
        <v>1196</v>
      </c>
    </row>
    <row r="31" spans="3:20" outlineLevel="1">
      <c r="C31" s="4" t="s">
        <v>246</v>
      </c>
      <c r="D31" s="18"/>
      <c r="E31" s="18"/>
      <c r="F31" s="18"/>
      <c r="G31" s="9">
        <f t="shared" si="12"/>
        <v>0</v>
      </c>
      <c r="H31" s="9">
        <f t="shared" si="13"/>
        <v>0</v>
      </c>
      <c r="I31" s="9">
        <f t="shared" si="14"/>
        <v>0</v>
      </c>
      <c r="J31" s="9"/>
      <c r="K31" s="45">
        <v>0</v>
      </c>
      <c r="L31" s="45">
        <v>0</v>
      </c>
      <c r="M31" s="45">
        <v>0</v>
      </c>
      <c r="N31" s="9"/>
      <c r="O31" s="25">
        <v>0</v>
      </c>
      <c r="P31" s="25">
        <v>0</v>
      </c>
      <c r="Q31" s="25">
        <v>0</v>
      </c>
      <c r="R31" s="25">
        <v>0</v>
      </c>
      <c r="S31" s="9"/>
      <c r="T31" s="46"/>
    </row>
    <row r="32" spans="3:20" outlineLevel="1">
      <c r="C32" s="4" t="s">
        <v>247</v>
      </c>
      <c r="D32" s="14">
        <f>'Events Summary'!$H$10</f>
        <v>9</v>
      </c>
      <c r="E32" s="14">
        <f>'Events Summary'!$H$11</f>
        <v>13</v>
      </c>
      <c r="F32" s="14">
        <f>'Events Summary'!$H$12</f>
        <v>15</v>
      </c>
      <c r="G32" s="14">
        <f>'Events Summary'!$H$14</f>
        <v>12</v>
      </c>
      <c r="H32" s="14">
        <f>'Events Summary'!$H$15</f>
        <v>0</v>
      </c>
      <c r="I32" s="14">
        <f>'Events Summary'!$H$16</f>
        <v>0</v>
      </c>
      <c r="J32" s="9"/>
      <c r="K32" s="276">
        <f>G32/G$29</f>
        <v>0.5</v>
      </c>
      <c r="L32" s="276">
        <f t="shared" ref="L32" si="15">H32/H$29</f>
        <v>0</v>
      </c>
      <c r="M32" s="276">
        <v>0</v>
      </c>
      <c r="N32" s="9"/>
      <c r="O32" s="62">
        <f>G32/G$29</f>
        <v>0.5</v>
      </c>
      <c r="P32" s="25">
        <v>0</v>
      </c>
      <c r="Q32" s="25">
        <v>0</v>
      </c>
      <c r="R32" s="25">
        <v>0</v>
      </c>
      <c r="S32" s="9"/>
      <c r="T32" s="46" t="s">
        <v>1195</v>
      </c>
    </row>
    <row r="33" spans="3:20" outlineLevel="1">
      <c r="C33" s="4" t="s">
        <v>249</v>
      </c>
      <c r="D33" s="18"/>
      <c r="E33" s="18"/>
      <c r="F33" s="18"/>
      <c r="G33" s="9">
        <f t="shared" si="12"/>
        <v>0</v>
      </c>
      <c r="H33" s="9">
        <f t="shared" si="13"/>
        <v>0</v>
      </c>
      <c r="I33" s="9">
        <f t="shared" si="14"/>
        <v>0</v>
      </c>
      <c r="J33" s="9"/>
      <c r="K33" s="45">
        <v>0</v>
      </c>
      <c r="L33" s="45">
        <v>0</v>
      </c>
      <c r="M33" s="45">
        <v>0</v>
      </c>
      <c r="N33" s="9"/>
      <c r="O33" s="25">
        <v>0</v>
      </c>
      <c r="P33" s="25">
        <f>INDEX('WH Rev &amp; Events Data'!27:27,MATCH(P$8,'WH Rev &amp; Events Data'!$8:$8,0))</f>
        <v>0.76734693877551019</v>
      </c>
      <c r="Q33" s="25">
        <f>INDEX('WH Rev &amp; Events Data'!27:27,MATCH(Q$8,'WH Rev &amp; Events Data'!$8:$8,0))</f>
        <v>0.76734693877551019</v>
      </c>
      <c r="R33" s="25">
        <f>INDEX('WH Rev &amp; Events Data'!27:27,MATCH(R$8,'WH Rev &amp; Events Data'!$8:$8,0))</f>
        <v>0.69028006589785829</v>
      </c>
      <c r="S33" s="9"/>
      <c r="T33" s="46"/>
    </row>
    <row r="34" spans="3:20" outlineLevel="1">
      <c r="C34" s="4" t="s">
        <v>250</v>
      </c>
      <c r="D34" s="18"/>
      <c r="E34" s="18"/>
      <c r="F34" s="18"/>
      <c r="G34" s="9">
        <f t="shared" si="12"/>
        <v>0</v>
      </c>
      <c r="H34" s="9">
        <f t="shared" si="13"/>
        <v>0</v>
      </c>
      <c r="I34" s="9">
        <f t="shared" si="14"/>
        <v>0</v>
      </c>
      <c r="J34" s="9"/>
      <c r="K34" s="45">
        <v>0</v>
      </c>
      <c r="L34" s="45">
        <v>0</v>
      </c>
      <c r="M34" s="45">
        <v>0</v>
      </c>
      <c r="N34" s="9"/>
      <c r="O34" s="25">
        <v>0</v>
      </c>
      <c r="P34" s="25">
        <f>INDEX('WH Rev &amp; Events Data'!28:28,MATCH(P$8,'WH Rev &amp; Events Data'!$8:$8,0))</f>
        <v>0.47755102040816327</v>
      </c>
      <c r="Q34" s="25">
        <f>INDEX('WH Rev &amp; Events Data'!28:28,MATCH(Q$8,'WH Rev &amp; Events Data'!$8:$8,0))</f>
        <v>0.47755102040816327</v>
      </c>
      <c r="R34" s="25">
        <f>INDEX('WH Rev &amp; Events Data'!28:28,MATCH(R$8,'WH Rev &amp; Events Data'!$8:$8,0))</f>
        <v>0.53937397034596379</v>
      </c>
      <c r="S34" s="9"/>
      <c r="T34" s="46"/>
    </row>
    <row r="35" spans="3:20" outlineLevel="1">
      <c r="C35" s="4" t="s">
        <v>251</v>
      </c>
      <c r="D35" s="18"/>
      <c r="E35" s="18"/>
      <c r="F35" s="18"/>
      <c r="G35" s="9">
        <f t="shared" si="12"/>
        <v>0</v>
      </c>
      <c r="H35" s="9">
        <f t="shared" si="13"/>
        <v>0</v>
      </c>
      <c r="I35" s="9">
        <f t="shared" si="14"/>
        <v>0</v>
      </c>
      <c r="J35" s="9"/>
      <c r="K35" s="45">
        <v>0</v>
      </c>
      <c r="L35" s="45">
        <v>0</v>
      </c>
      <c r="M35" s="45">
        <v>0</v>
      </c>
      <c r="N35" s="9"/>
      <c r="O35" s="25">
        <v>0</v>
      </c>
      <c r="P35" s="25">
        <f>INDEX('WH Rev &amp; Events Data'!29:29,MATCH(P$8,'WH Rev &amp; Events Data'!$8:$8,0))</f>
        <v>0.32244897959183672</v>
      </c>
      <c r="Q35" s="25">
        <f>INDEX('WH Rev &amp; Events Data'!29:29,MATCH(Q$8,'WH Rev &amp; Events Data'!$8:$8,0))</f>
        <v>0.32244897959183672</v>
      </c>
      <c r="R35" s="25">
        <f>INDEX('WH Rev &amp; Events Data'!29:29,MATCH(R$8,'WH Rev &amp; Events Data'!$8:$8,0))</f>
        <v>0.44250411861614497</v>
      </c>
      <c r="S35" s="9"/>
      <c r="T35" s="46"/>
    </row>
    <row r="36" spans="3:20" outlineLevel="1">
      <c r="C36" s="4" t="s">
        <v>389</v>
      </c>
      <c r="D36" s="18"/>
      <c r="E36" s="18"/>
      <c r="F36" s="18"/>
      <c r="G36" s="9">
        <f t="shared" si="12"/>
        <v>0</v>
      </c>
      <c r="H36" s="9">
        <f t="shared" si="13"/>
        <v>0</v>
      </c>
      <c r="I36" s="9">
        <f t="shared" si="14"/>
        <v>0</v>
      </c>
      <c r="J36" s="9"/>
      <c r="K36" s="45">
        <v>0</v>
      </c>
      <c r="L36" s="45">
        <v>0</v>
      </c>
      <c r="M36" s="45">
        <v>0</v>
      </c>
      <c r="N36" s="9"/>
      <c r="O36" s="25">
        <v>0</v>
      </c>
      <c r="P36" s="25">
        <f>INDEX('WH Rev &amp; Events Data'!30:30,MATCH(P$8,'WH Rev &amp; Events Data'!$8:$8,0))</f>
        <v>0.7795918367346939</v>
      </c>
      <c r="Q36" s="25">
        <f>INDEX('WH Rev &amp; Events Data'!30:30,MATCH(Q$8,'WH Rev &amp; Events Data'!$8:$8,0))</f>
        <v>0.7795918367346939</v>
      </c>
      <c r="R36" s="25">
        <f>INDEX('WH Rev &amp; Events Data'!30:30,MATCH(R$8,'WH Rev &amp; Events Data'!$8:$8,0))</f>
        <v>0.59373970345963756</v>
      </c>
      <c r="S36" s="9"/>
      <c r="T36" s="46"/>
    </row>
    <row r="37" spans="3:20" outlineLevel="1">
      <c r="C37" s="4" t="s">
        <v>252</v>
      </c>
      <c r="D37" s="18"/>
      <c r="E37" s="18"/>
      <c r="F37" s="18"/>
      <c r="G37" s="9">
        <f t="shared" si="12"/>
        <v>0</v>
      </c>
      <c r="H37" s="9">
        <f t="shared" si="13"/>
        <v>0</v>
      </c>
      <c r="I37" s="9">
        <f t="shared" si="14"/>
        <v>0</v>
      </c>
      <c r="J37" s="9"/>
      <c r="K37" s="45">
        <v>0</v>
      </c>
      <c r="L37" s="45">
        <v>0</v>
      </c>
      <c r="M37" s="45">
        <v>0</v>
      </c>
      <c r="N37" s="9"/>
      <c r="O37" s="25">
        <v>0</v>
      </c>
      <c r="P37" s="25">
        <f>INDEX('WH Rev &amp; Events Data'!31:31,MATCH(P$8,'WH Rev &amp; Events Data'!$8:$8,0))</f>
        <v>0.34285714285714286</v>
      </c>
      <c r="Q37" s="25">
        <f>INDEX('WH Rev &amp; Events Data'!31:31,MATCH(Q$8,'WH Rev &amp; Events Data'!$8:$8,0))</f>
        <v>0.34285714285714286</v>
      </c>
      <c r="R37" s="25">
        <f>INDEX('WH Rev &amp; Events Data'!31:31,MATCH(R$8,'WH Rev &amp; Events Data'!$8:$8,0))</f>
        <v>0.44975288303130151</v>
      </c>
      <c r="S37" s="9"/>
      <c r="T37" s="46"/>
    </row>
    <row r="38" spans="3:20" outlineLevel="1">
      <c r="C38" s="4" t="s">
        <v>303</v>
      </c>
      <c r="D38" s="14">
        <f>'Events Summary'!$L$10</f>
        <v>10</v>
      </c>
      <c r="E38" s="14">
        <f>'Events Summary'!$L$11</f>
        <v>9</v>
      </c>
      <c r="F38" s="14">
        <f>'Events Summary'!$L$12</f>
        <v>17</v>
      </c>
      <c r="G38" s="14">
        <f>'Events Summary'!$L$14</f>
        <v>8</v>
      </c>
      <c r="H38" s="14">
        <f>'Events Summary'!$L$15</f>
        <v>0</v>
      </c>
      <c r="I38" s="14">
        <f>'Events Summary'!$L$16</f>
        <v>0</v>
      </c>
      <c r="J38" s="9"/>
      <c r="K38" s="276">
        <f>G38/G$29</f>
        <v>0.33333333333333331</v>
      </c>
      <c r="L38" s="276">
        <f t="shared" ref="L38" si="16">H38/H$29</f>
        <v>0</v>
      </c>
      <c r="M38" s="276">
        <v>0</v>
      </c>
      <c r="N38" s="9"/>
      <c r="O38" s="62">
        <f>G38/G$29</f>
        <v>0.33333333333333331</v>
      </c>
      <c r="P38" s="114"/>
      <c r="Q38" s="114"/>
      <c r="R38" s="114"/>
      <c r="S38" s="9"/>
      <c r="T38" s="46"/>
    </row>
    <row r="39" spans="3:20" ht="5.15" customHeight="1" outlineLevel="1">
      <c r="C39" s="39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8"/>
      <c r="S39" s="37"/>
      <c r="T39" s="9"/>
    </row>
    <row r="40" spans="3:20" s="1" customFormat="1">
      <c r="C40" s="81" t="s">
        <v>312</v>
      </c>
      <c r="D40" s="82">
        <f t="shared" ref="D40:I40" si="17">D11</f>
        <v>42</v>
      </c>
      <c r="E40" s="82">
        <f t="shared" si="17"/>
        <v>43</v>
      </c>
      <c r="F40" s="82">
        <f t="shared" si="17"/>
        <v>39</v>
      </c>
      <c r="G40" s="82">
        <f t="shared" si="17"/>
        <v>24</v>
      </c>
      <c r="H40" s="82">
        <f t="shared" si="17"/>
        <v>1</v>
      </c>
      <c r="I40" s="82">
        <f t="shared" si="17"/>
        <v>0</v>
      </c>
      <c r="J40" s="83"/>
      <c r="K40" s="84"/>
      <c r="L40" s="84"/>
      <c r="M40" s="84"/>
      <c r="N40" s="83"/>
      <c r="O40" s="84"/>
      <c r="P40" s="84"/>
      <c r="Q40" s="84"/>
      <c r="R40" s="84"/>
      <c r="S40" s="11"/>
      <c r="T40" s="11"/>
    </row>
    <row r="41" spans="3:20">
      <c r="C41" s="1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3:20" s="61" customFormat="1" ht="16" outlineLevel="1">
      <c r="C42" s="85" t="s">
        <v>314</v>
      </c>
      <c r="D42" s="86"/>
      <c r="E42" s="86"/>
      <c r="F42" s="86"/>
      <c r="G42" s="86"/>
      <c r="H42" s="86"/>
      <c r="I42" s="86"/>
      <c r="J42" s="86"/>
      <c r="K42" s="87"/>
      <c r="L42" s="87"/>
      <c r="M42" s="87"/>
      <c r="N42" s="86"/>
      <c r="O42" s="87"/>
      <c r="P42" s="88"/>
      <c r="Q42" s="88"/>
      <c r="R42" s="88"/>
      <c r="S42" s="32"/>
      <c r="T42" s="32"/>
    </row>
    <row r="43" spans="3:20" outlineLevel="1">
      <c r="C43" s="4" t="s">
        <v>245</v>
      </c>
      <c r="D43" s="27"/>
      <c r="E43" s="27"/>
      <c r="F43" s="27"/>
      <c r="G43" s="9">
        <f>G$12*K43</f>
        <v>16</v>
      </c>
      <c r="H43" s="9">
        <f t="shared" ref="H43:I43" si="18">H$12*L43</f>
        <v>64</v>
      </c>
      <c r="I43" s="9">
        <f t="shared" si="18"/>
        <v>80</v>
      </c>
      <c r="J43" s="9"/>
      <c r="K43" s="45">
        <v>1</v>
      </c>
      <c r="L43" s="45">
        <v>1</v>
      </c>
      <c r="M43" s="45">
        <v>1</v>
      </c>
      <c r="N43" s="9"/>
      <c r="O43" s="114"/>
      <c r="P43" s="114"/>
      <c r="Q43" s="114"/>
      <c r="R43" s="115"/>
      <c r="S43" s="9"/>
      <c r="T43" s="9"/>
    </row>
    <row r="44" spans="3:20" outlineLevel="1">
      <c r="C44" s="4" t="s">
        <v>244</v>
      </c>
      <c r="D44" s="18"/>
      <c r="E44" s="18"/>
      <c r="F44" s="18"/>
      <c r="G44" s="9">
        <f t="shared" ref="G44:G52" si="19">G$12*K44</f>
        <v>0</v>
      </c>
      <c r="H44" s="9">
        <f t="shared" ref="H44:H52" si="20">H$12*L44</f>
        <v>32</v>
      </c>
      <c r="I44" s="9">
        <f t="shared" ref="I44:I52" si="21">I$12*M44</f>
        <v>80</v>
      </c>
      <c r="J44" s="9"/>
      <c r="K44" s="45">
        <v>0</v>
      </c>
      <c r="L44" s="45">
        <v>0.5</v>
      </c>
      <c r="M44" s="45">
        <v>1</v>
      </c>
      <c r="N44" s="9"/>
      <c r="O44" s="37">
        <v>0</v>
      </c>
      <c r="P44" s="37">
        <v>0</v>
      </c>
      <c r="Q44" s="37">
        <v>0</v>
      </c>
      <c r="R44" s="37">
        <v>0</v>
      </c>
      <c r="S44" s="9"/>
      <c r="T44" s="46" t="s">
        <v>1199</v>
      </c>
    </row>
    <row r="45" spans="3:20" outlineLevel="1">
      <c r="C45" s="4" t="s">
        <v>246</v>
      </c>
      <c r="D45" s="18"/>
      <c r="E45" s="18"/>
      <c r="F45" s="18"/>
      <c r="G45" s="9">
        <f t="shared" si="19"/>
        <v>8</v>
      </c>
      <c r="H45" s="9">
        <f t="shared" si="20"/>
        <v>48</v>
      </c>
      <c r="I45" s="9">
        <f t="shared" si="21"/>
        <v>80</v>
      </c>
      <c r="J45" s="9"/>
      <c r="K45" s="45">
        <v>0.5</v>
      </c>
      <c r="L45" s="45">
        <v>0.75</v>
      </c>
      <c r="M45" s="45">
        <v>1</v>
      </c>
      <c r="N45" s="9"/>
      <c r="O45" s="37">
        <v>0</v>
      </c>
      <c r="P45" s="37">
        <v>0</v>
      </c>
      <c r="Q45" s="37">
        <v>0</v>
      </c>
      <c r="R45" s="37">
        <v>0</v>
      </c>
      <c r="S45" s="9"/>
      <c r="T45" s="371" t="s">
        <v>1206</v>
      </c>
    </row>
    <row r="46" spans="3:20" outlineLevel="1">
      <c r="C46" s="4" t="s">
        <v>247</v>
      </c>
      <c r="D46" s="18"/>
      <c r="E46" s="18"/>
      <c r="F46" s="18"/>
      <c r="G46" s="9">
        <f t="shared" si="19"/>
        <v>8</v>
      </c>
      <c r="H46" s="9">
        <f t="shared" si="20"/>
        <v>32</v>
      </c>
      <c r="I46" s="9">
        <f t="shared" si="21"/>
        <v>40</v>
      </c>
      <c r="J46" s="9"/>
      <c r="K46" s="45">
        <v>0.5</v>
      </c>
      <c r="L46" s="45">
        <v>0.5</v>
      </c>
      <c r="M46" s="45">
        <v>0.5</v>
      </c>
      <c r="N46" s="9"/>
      <c r="O46" s="62">
        <f>O32</f>
        <v>0.5</v>
      </c>
      <c r="P46" s="37">
        <v>0</v>
      </c>
      <c r="Q46" s="37">
        <v>0</v>
      </c>
      <c r="R46" s="37">
        <v>0</v>
      </c>
      <c r="S46" s="9"/>
      <c r="T46" s="46" t="s">
        <v>1203</v>
      </c>
    </row>
    <row r="47" spans="3:20" outlineLevel="1">
      <c r="C47" s="4" t="s">
        <v>249</v>
      </c>
      <c r="D47" s="18"/>
      <c r="E47" s="18"/>
      <c r="F47" s="18"/>
      <c r="G47" s="9">
        <f t="shared" si="19"/>
        <v>1.8416326530612244</v>
      </c>
      <c r="H47" s="9">
        <f t="shared" si="20"/>
        <v>24.555102040816326</v>
      </c>
      <c r="I47" s="9">
        <f t="shared" si="21"/>
        <v>49.110204081632659</v>
      </c>
      <c r="J47" s="9"/>
      <c r="K47" s="45">
        <f>$Q47*0.15</f>
        <v>0.11510204081632652</v>
      </c>
      <c r="L47" s="45">
        <f>$Q47*0.5</f>
        <v>0.3836734693877551</v>
      </c>
      <c r="M47" s="45">
        <f>$Q47*0.8</f>
        <v>0.6138775510204082</v>
      </c>
      <c r="N47" s="9"/>
      <c r="O47" s="62">
        <f>O33</f>
        <v>0</v>
      </c>
      <c r="P47" s="62">
        <f>P33</f>
        <v>0.76734693877551019</v>
      </c>
      <c r="Q47" s="62">
        <f>Q33</f>
        <v>0.76734693877551019</v>
      </c>
      <c r="R47" s="62">
        <f>R33</f>
        <v>0.69028006589785829</v>
      </c>
      <c r="S47" s="9"/>
      <c r="T47" s="46" t="s">
        <v>1204</v>
      </c>
    </row>
    <row r="48" spans="3:20" outlineLevel="1">
      <c r="C48" s="4" t="s">
        <v>250</v>
      </c>
      <c r="D48" s="18"/>
      <c r="E48" s="18"/>
      <c r="F48" s="18"/>
      <c r="G48" s="9">
        <f t="shared" si="19"/>
        <v>1.1461224489795918</v>
      </c>
      <c r="H48" s="9">
        <f t="shared" si="20"/>
        <v>15.281632653061225</v>
      </c>
      <c r="I48" s="9">
        <f t="shared" si="21"/>
        <v>38.204081632653065</v>
      </c>
      <c r="J48" s="9"/>
      <c r="K48" s="45">
        <f t="shared" ref="K48:K49" si="22">$Q48*0.15</f>
        <v>7.1632653061224488E-2</v>
      </c>
      <c r="L48" s="45">
        <f t="shared" ref="L48:L51" si="23">$Q48*0.5</f>
        <v>0.23877551020408164</v>
      </c>
      <c r="M48" s="45">
        <f t="shared" ref="M48:M51" si="24">$Q48*1</f>
        <v>0.47755102040816327</v>
      </c>
      <c r="N48" s="9"/>
      <c r="O48" s="62">
        <f t="shared" ref="O48" si="25">O34</f>
        <v>0</v>
      </c>
      <c r="P48" s="62">
        <f t="shared" ref="P48:R51" si="26">P34</f>
        <v>0.47755102040816327</v>
      </c>
      <c r="Q48" s="62">
        <f t="shared" ref="Q48" si="27">Q34</f>
        <v>0.47755102040816327</v>
      </c>
      <c r="R48" s="62">
        <f t="shared" si="26"/>
        <v>0.53937397034596379</v>
      </c>
      <c r="S48" s="9"/>
      <c r="T48" s="46" t="s">
        <v>1197</v>
      </c>
    </row>
    <row r="49" spans="3:20" outlineLevel="1">
      <c r="C49" s="4" t="s">
        <v>251</v>
      </c>
      <c r="D49" s="18"/>
      <c r="E49" s="18"/>
      <c r="F49" s="18"/>
      <c r="G49" s="9">
        <f t="shared" si="19"/>
        <v>0.77387755102040812</v>
      </c>
      <c r="H49" s="9">
        <f t="shared" si="20"/>
        <v>10.318367346938775</v>
      </c>
      <c r="I49" s="9">
        <f t="shared" si="21"/>
        <v>25.795918367346935</v>
      </c>
      <c r="J49" s="9"/>
      <c r="K49" s="45">
        <f t="shared" si="22"/>
        <v>4.8367346938775507E-2</v>
      </c>
      <c r="L49" s="45">
        <f t="shared" si="23"/>
        <v>0.16122448979591836</v>
      </c>
      <c r="M49" s="45">
        <f t="shared" si="24"/>
        <v>0.32244897959183672</v>
      </c>
      <c r="N49" s="9"/>
      <c r="O49" s="62">
        <f t="shared" ref="O49" si="28">O35</f>
        <v>0</v>
      </c>
      <c r="P49" s="62">
        <f t="shared" si="26"/>
        <v>0.32244897959183672</v>
      </c>
      <c r="Q49" s="62">
        <f t="shared" ref="Q49" si="29">Q35</f>
        <v>0.32244897959183672</v>
      </c>
      <c r="R49" s="62">
        <f t="shared" si="26"/>
        <v>0.44250411861614497</v>
      </c>
      <c r="S49" s="9"/>
      <c r="T49" s="46" t="s">
        <v>1197</v>
      </c>
    </row>
    <row r="50" spans="3:20" outlineLevel="1">
      <c r="C50" s="4" t="s">
        <v>389</v>
      </c>
      <c r="D50" s="18"/>
      <c r="E50" s="18"/>
      <c r="F50" s="18"/>
      <c r="G50" s="9">
        <f t="shared" si="19"/>
        <v>1.8710204081632653</v>
      </c>
      <c r="H50" s="9">
        <f t="shared" si="20"/>
        <v>24.946938775510205</v>
      </c>
      <c r="I50" s="9">
        <f t="shared" si="21"/>
        <v>62.367346938775512</v>
      </c>
      <c r="J50" s="9"/>
      <c r="K50" s="45">
        <f>$Q50*0.15</f>
        <v>0.11693877551020408</v>
      </c>
      <c r="L50" s="45">
        <f t="shared" si="23"/>
        <v>0.38979591836734695</v>
      </c>
      <c r="M50" s="45">
        <f t="shared" si="24"/>
        <v>0.7795918367346939</v>
      </c>
      <c r="N50" s="9"/>
      <c r="O50" s="62">
        <f t="shared" ref="O50" si="30">O36</f>
        <v>0</v>
      </c>
      <c r="P50" s="62">
        <f t="shared" si="26"/>
        <v>0.7795918367346939</v>
      </c>
      <c r="Q50" s="62">
        <f t="shared" ref="Q50" si="31">Q36</f>
        <v>0.7795918367346939</v>
      </c>
      <c r="R50" s="62">
        <f t="shared" si="26"/>
        <v>0.59373970345963756</v>
      </c>
      <c r="S50" s="9"/>
      <c r="T50" s="46" t="s">
        <v>1198</v>
      </c>
    </row>
    <row r="51" spans="3:20" outlineLevel="1">
      <c r="C51" s="4" t="s">
        <v>252</v>
      </c>
      <c r="D51" s="18"/>
      <c r="E51" s="18"/>
      <c r="F51" s="18"/>
      <c r="G51" s="9">
        <f t="shared" si="19"/>
        <v>0.82285714285714284</v>
      </c>
      <c r="H51" s="9">
        <f t="shared" si="20"/>
        <v>10.971428571428572</v>
      </c>
      <c r="I51" s="9">
        <f t="shared" si="21"/>
        <v>27.428571428571431</v>
      </c>
      <c r="J51" s="9"/>
      <c r="K51" s="45">
        <f>$Q51*0.15</f>
        <v>5.1428571428571428E-2</v>
      </c>
      <c r="L51" s="45">
        <f t="shared" si="23"/>
        <v>0.17142857142857143</v>
      </c>
      <c r="M51" s="45">
        <f t="shared" si="24"/>
        <v>0.34285714285714286</v>
      </c>
      <c r="N51" s="9"/>
      <c r="O51" s="62">
        <f t="shared" ref="O51" si="32">O37</f>
        <v>0</v>
      </c>
      <c r="P51" s="62">
        <f t="shared" si="26"/>
        <v>0.34285714285714286</v>
      </c>
      <c r="Q51" s="62">
        <f t="shared" ref="Q51" si="33">Q37</f>
        <v>0.34285714285714286</v>
      </c>
      <c r="R51" s="62">
        <f t="shared" si="26"/>
        <v>0.44975288303130151</v>
      </c>
      <c r="S51" s="9"/>
      <c r="T51" s="46" t="s">
        <v>1198</v>
      </c>
    </row>
    <row r="52" spans="3:20" outlineLevel="1">
      <c r="C52" s="4" t="s">
        <v>303</v>
      </c>
      <c r="D52" s="18"/>
      <c r="E52" s="18"/>
      <c r="F52" s="18"/>
      <c r="G52" s="9">
        <f t="shared" si="19"/>
        <v>5.333333333333333</v>
      </c>
      <c r="H52" s="9">
        <f t="shared" si="20"/>
        <v>21.333333333333332</v>
      </c>
      <c r="I52" s="9">
        <f t="shared" si="21"/>
        <v>26.666666666666664</v>
      </c>
      <c r="J52" s="9"/>
      <c r="K52" s="45">
        <f>$O52</f>
        <v>0.33333333333333331</v>
      </c>
      <c r="L52" s="45">
        <f t="shared" ref="L52:M52" si="34">$O52</f>
        <v>0.33333333333333331</v>
      </c>
      <c r="M52" s="45">
        <f t="shared" si="34"/>
        <v>0.33333333333333331</v>
      </c>
      <c r="N52" s="9"/>
      <c r="O52" s="62">
        <f>O38</f>
        <v>0.33333333333333331</v>
      </c>
      <c r="P52" s="114"/>
      <c r="Q52" s="114"/>
      <c r="R52" s="114"/>
      <c r="S52" s="9"/>
      <c r="T52" s="371" t="s">
        <v>1170</v>
      </c>
    </row>
    <row r="53" spans="3:20" ht="5.15" customHeight="1" outlineLevel="1">
      <c r="C53" s="39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8"/>
      <c r="S53" s="37"/>
      <c r="T53" s="46"/>
    </row>
    <row r="54" spans="3:20" s="1" customFormat="1">
      <c r="C54" s="81" t="s">
        <v>313</v>
      </c>
      <c r="D54" s="82">
        <f t="shared" ref="D54:I54" si="35">D12</f>
        <v>0</v>
      </c>
      <c r="E54" s="82">
        <f t="shared" si="35"/>
        <v>0</v>
      </c>
      <c r="F54" s="82">
        <f t="shared" si="35"/>
        <v>0</v>
      </c>
      <c r="G54" s="82">
        <f t="shared" si="35"/>
        <v>16</v>
      </c>
      <c r="H54" s="82">
        <f t="shared" si="35"/>
        <v>64</v>
      </c>
      <c r="I54" s="82">
        <f t="shared" si="35"/>
        <v>80</v>
      </c>
      <c r="J54" s="83"/>
      <c r="K54" s="84"/>
      <c r="L54" s="84"/>
      <c r="M54" s="84"/>
      <c r="N54" s="83"/>
      <c r="O54" s="83"/>
      <c r="P54" s="83"/>
      <c r="Q54" s="83"/>
      <c r="R54" s="83"/>
      <c r="S54" s="11"/>
      <c r="T54" s="46"/>
    </row>
    <row r="55" spans="3:20">
      <c r="C55" s="1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46"/>
    </row>
    <row r="56" spans="3:20">
      <c r="C56" s="71" t="s">
        <v>253</v>
      </c>
      <c r="D56" s="72">
        <f t="shared" ref="D56:I56" si="36">D40+D54</f>
        <v>42</v>
      </c>
      <c r="E56" s="72">
        <f t="shared" si="36"/>
        <v>43</v>
      </c>
      <c r="F56" s="72">
        <f t="shared" si="36"/>
        <v>39</v>
      </c>
      <c r="G56" s="72">
        <f t="shared" si="36"/>
        <v>40</v>
      </c>
      <c r="H56" s="72">
        <f t="shared" si="36"/>
        <v>65</v>
      </c>
      <c r="I56" s="72">
        <f t="shared" si="36"/>
        <v>80</v>
      </c>
      <c r="J56" s="73"/>
      <c r="K56" s="73"/>
      <c r="L56" s="73"/>
      <c r="M56" s="73"/>
      <c r="N56" s="73"/>
      <c r="O56" s="73"/>
      <c r="P56" s="73"/>
      <c r="Q56" s="73"/>
      <c r="R56" s="73"/>
      <c r="S56" s="9"/>
      <c r="T56" s="46"/>
    </row>
    <row r="57" spans="3:20">
      <c r="C57" s="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46"/>
    </row>
    <row r="58" spans="3:20" ht="16">
      <c r="C58" s="74" t="s">
        <v>319</v>
      </c>
      <c r="D58" s="75"/>
      <c r="E58" s="75"/>
      <c r="F58" s="75"/>
      <c r="G58" s="75"/>
      <c r="H58" s="75"/>
      <c r="I58" s="75"/>
      <c r="J58" s="75"/>
      <c r="K58" s="76" t="s">
        <v>284</v>
      </c>
      <c r="L58" s="76"/>
      <c r="M58" s="76"/>
      <c r="N58" s="75"/>
      <c r="O58" s="76"/>
      <c r="P58" s="77"/>
      <c r="Q58" s="77"/>
      <c r="R58" s="77"/>
      <c r="S58" s="9"/>
      <c r="T58" s="46"/>
    </row>
    <row r="59" spans="3:20" s="61" customFormat="1" ht="16">
      <c r="C59" s="85" t="s">
        <v>315</v>
      </c>
      <c r="D59" s="86"/>
      <c r="E59" s="86"/>
      <c r="F59" s="86"/>
      <c r="G59" s="86"/>
      <c r="H59" s="86"/>
      <c r="I59" s="86"/>
      <c r="J59" s="86"/>
      <c r="K59" s="87"/>
      <c r="L59" s="87"/>
      <c r="M59" s="87"/>
      <c r="N59" s="86"/>
      <c r="O59" s="87"/>
      <c r="P59" s="88"/>
      <c r="Q59" s="88"/>
      <c r="R59" s="88"/>
      <c r="S59" s="32"/>
      <c r="T59" s="46"/>
    </row>
    <row r="60" spans="3:20">
      <c r="C60" s="4" t="s">
        <v>245</v>
      </c>
      <c r="D60" s="97">
        <f>'Events Summary'!$E$10/1000</f>
        <v>352.75965000000002</v>
      </c>
      <c r="E60" s="97">
        <f>'Events Summary'!$E$11/1000</f>
        <v>319.97462999999999</v>
      </c>
      <c r="F60" s="97">
        <f>'Events Summary'!$E$12/1000</f>
        <v>452.64363000000003</v>
      </c>
      <c r="G60" s="97">
        <f>'Events Summary'!$E$14/1000</f>
        <v>485.35</v>
      </c>
      <c r="H60" s="97">
        <f>'Events Summary'!$E$15/1000</f>
        <v>19.5</v>
      </c>
      <c r="I60" s="97">
        <f>'Events Summary'!$E$16/1000</f>
        <v>0</v>
      </c>
      <c r="J60" s="37"/>
      <c r="K60" s="52">
        <f>G22</f>
        <v>22.766666666791668</v>
      </c>
      <c r="L60" s="52">
        <f>H22</f>
        <v>19.5</v>
      </c>
      <c r="M60" s="52">
        <f>I22</f>
        <v>0</v>
      </c>
      <c r="N60" s="37"/>
      <c r="O60" s="37">
        <v>0</v>
      </c>
      <c r="P60" s="38">
        <f>INDEX('WH Rev &amp; Events Data'!42:42,MATCH(P$8,'WH Rev &amp; Events Data'!$8:$8,0))</f>
        <v>6.7207593469387747</v>
      </c>
      <c r="Q60" s="38">
        <f>INDEX('WH Rev &amp; Events Data'!42:42,MATCH(Q$8,'WH Rev &amp; Events Data'!$8:$8,0))</f>
        <v>6.7207593469387747</v>
      </c>
      <c r="R60" s="38">
        <f>INDEX('WH Rev &amp; Events Data'!42:42,MATCH(R$8,'WH Rev &amp; Events Data'!$8:$8,0))</f>
        <v>5.1467523294892921</v>
      </c>
      <c r="S60" s="37"/>
      <c r="T60" s="46"/>
    </row>
    <row r="61" spans="3:20">
      <c r="C61" s="4" t="s">
        <v>244</v>
      </c>
      <c r="D61" s="36"/>
      <c r="E61" s="36"/>
      <c r="F61" s="36"/>
      <c r="G61" s="35">
        <f t="shared" ref="G61:G68" si="37">G30*K61</f>
        <v>0</v>
      </c>
      <c r="H61" s="35">
        <f t="shared" ref="H61:H68" si="38">H30*L61</f>
        <v>0</v>
      </c>
      <c r="I61" s="35">
        <f t="shared" ref="I61:I68" si="39">I30*M61</f>
        <v>0</v>
      </c>
      <c r="J61" s="37"/>
      <c r="K61" s="278"/>
      <c r="L61" s="278"/>
      <c r="M61" s="278"/>
      <c r="N61" s="37"/>
      <c r="O61" s="37">
        <v>0</v>
      </c>
      <c r="P61" s="38">
        <f>INDEX('WH Rev &amp; Events Data'!43:43,MATCH(P$8,'WH Rev &amp; Events Data'!$8:$8,0))</f>
        <v>7.0684667346938772</v>
      </c>
      <c r="Q61" s="38">
        <f>INDEX('WH Rev &amp; Events Data'!43:43,MATCH(Q$8,'WH Rev &amp; Events Data'!$8:$8,0))</f>
        <v>7.0684667346938772</v>
      </c>
      <c r="R61" s="38">
        <f>INDEX('WH Rev &amp; Events Data'!43:43,MATCH(R$8,'WH Rev &amp; Events Data'!$8:$8,0))</f>
        <v>5.0523327479406914</v>
      </c>
      <c r="S61" s="37"/>
      <c r="T61" s="46"/>
    </row>
    <row r="62" spans="3:20">
      <c r="C62" s="4" t="s">
        <v>246</v>
      </c>
      <c r="D62" s="36"/>
      <c r="E62" s="36"/>
      <c r="F62" s="36"/>
      <c r="G62" s="35">
        <f t="shared" si="37"/>
        <v>0</v>
      </c>
      <c r="H62" s="35">
        <f t="shared" si="38"/>
        <v>0</v>
      </c>
      <c r="I62" s="35">
        <f t="shared" si="39"/>
        <v>0</v>
      </c>
      <c r="J62" s="37"/>
      <c r="K62" s="278"/>
      <c r="L62" s="278"/>
      <c r="M62" s="278"/>
      <c r="N62" s="37"/>
      <c r="O62" s="37">
        <v>0</v>
      </c>
      <c r="P62" s="38">
        <f>INDEX('WH Rev &amp; Events Data'!44:44,MATCH(P$8,'WH Rev &amp; Events Data'!$8:$8,0))</f>
        <v>4.0019979591836732</v>
      </c>
      <c r="Q62" s="38">
        <f>INDEX('WH Rev &amp; Events Data'!44:44,MATCH(Q$8,'WH Rev &amp; Events Data'!$8:$8,0))</f>
        <v>4.0019979591836732</v>
      </c>
      <c r="R62" s="38">
        <f>INDEX('WH Rev &amp; Events Data'!44:44,MATCH(R$8,'WH Rev &amp; Events Data'!$8:$8,0))</f>
        <v>3.0830680593080717</v>
      </c>
      <c r="S62" s="37"/>
      <c r="T62" s="46"/>
    </row>
    <row r="63" spans="3:20">
      <c r="C63" s="4" t="s">
        <v>247</v>
      </c>
      <c r="D63" s="97">
        <f>'Events Summary'!$I$10/1000</f>
        <v>41.26</v>
      </c>
      <c r="E63" s="97">
        <f>'Events Summary'!$I$11/1000</f>
        <v>67.8</v>
      </c>
      <c r="F63" s="97">
        <f>'Events Summary'!$I$12/1000</f>
        <v>69.8</v>
      </c>
      <c r="G63" s="97">
        <f>'Events Summary'!$I$14/1000</f>
        <v>54.9</v>
      </c>
      <c r="H63" s="97">
        <f>'Events Summary'!$I$15/1000</f>
        <v>0</v>
      </c>
      <c r="I63" s="97">
        <f>'Events Summary'!$I$16/1000</f>
        <v>0</v>
      </c>
      <c r="J63" s="37"/>
      <c r="K63" s="277">
        <f>G63/G32</f>
        <v>4.5750000000000002</v>
      </c>
      <c r="L63" s="277">
        <v>0</v>
      </c>
      <c r="M63" s="277">
        <v>0</v>
      </c>
      <c r="N63" s="37"/>
      <c r="O63" s="37">
        <v>0</v>
      </c>
      <c r="P63" s="136"/>
      <c r="Q63" s="36"/>
      <c r="R63" s="136"/>
      <c r="S63" s="37"/>
      <c r="T63" s="46"/>
    </row>
    <row r="64" spans="3:20">
      <c r="C64" s="4" t="s">
        <v>249</v>
      </c>
      <c r="D64" s="36"/>
      <c r="E64" s="36"/>
      <c r="F64" s="36"/>
      <c r="G64" s="35">
        <f t="shared" si="37"/>
        <v>0</v>
      </c>
      <c r="H64" s="35">
        <f t="shared" si="38"/>
        <v>0</v>
      </c>
      <c r="I64" s="35">
        <f t="shared" si="39"/>
        <v>0</v>
      </c>
      <c r="J64" s="37"/>
      <c r="K64" s="278"/>
      <c r="L64" s="278"/>
      <c r="M64" s="278"/>
      <c r="N64" s="37"/>
      <c r="O64" s="37">
        <v>0</v>
      </c>
      <c r="P64" s="38">
        <f>INDEX('WH Rev &amp; Events Data'!34:34,MATCH(P$8,'WH Rev &amp; Events Data'!$8:$8,0))</f>
        <v>2.5192819148936172</v>
      </c>
      <c r="Q64" s="38">
        <f>INDEX('WH Rev &amp; Events Data'!34:34,MATCH(Q$8,'WH Rev &amp; Events Data'!$8:$8,0))</f>
        <v>2.5192819148936172</v>
      </c>
      <c r="R64" s="38">
        <f>INDEX('WH Rev &amp; Events Data'!34:34,MATCH(R$8,'WH Rev &amp; Events Data'!$8:$8,0))</f>
        <v>1.6865751837708829</v>
      </c>
      <c r="S64" s="37"/>
      <c r="T64" s="46"/>
    </row>
    <row r="65" spans="3:20">
      <c r="C65" s="4" t="s">
        <v>250</v>
      </c>
      <c r="D65" s="36"/>
      <c r="E65" s="36"/>
      <c r="F65" s="36"/>
      <c r="G65" s="35">
        <f t="shared" si="37"/>
        <v>0</v>
      </c>
      <c r="H65" s="35">
        <f t="shared" si="38"/>
        <v>0</v>
      </c>
      <c r="I65" s="35">
        <f t="shared" si="39"/>
        <v>0</v>
      </c>
      <c r="J65" s="37"/>
      <c r="K65" s="278"/>
      <c r="L65" s="278"/>
      <c r="M65" s="278"/>
      <c r="N65" s="37"/>
      <c r="O65" s="37">
        <v>0</v>
      </c>
      <c r="P65" s="38">
        <f>INDEX('WH Rev &amp; Events Data'!35:35,MATCH(P$8,'WH Rev &amp; Events Data'!$8:$8,0))</f>
        <v>3.0809577777777779</v>
      </c>
      <c r="Q65" s="38">
        <f>INDEX('WH Rev &amp; Events Data'!35:35,MATCH(Q$8,'WH Rev &amp; Events Data'!$8:$8,0))</f>
        <v>3.0809577777777779</v>
      </c>
      <c r="R65" s="38">
        <f>INDEX('WH Rev &amp; Events Data'!35:35,MATCH(R$8,'WH Rev &amp; Events Data'!$8:$8,0))</f>
        <v>3.2563305925473429</v>
      </c>
      <c r="S65" s="37"/>
      <c r="T65" s="46"/>
    </row>
    <row r="66" spans="3:20">
      <c r="C66" s="4" t="s">
        <v>251</v>
      </c>
      <c r="D66" s="36"/>
      <c r="E66" s="36"/>
      <c r="F66" s="36"/>
      <c r="G66" s="35">
        <f t="shared" si="37"/>
        <v>0</v>
      </c>
      <c r="H66" s="35">
        <f t="shared" si="38"/>
        <v>0</v>
      </c>
      <c r="I66" s="35">
        <f t="shared" si="39"/>
        <v>0</v>
      </c>
      <c r="J66" s="37"/>
      <c r="K66" s="278"/>
      <c r="L66" s="278"/>
      <c r="M66" s="278"/>
      <c r="N66" s="37"/>
      <c r="O66" s="37">
        <v>0</v>
      </c>
      <c r="P66" s="38">
        <f>INDEX('WH Rev &amp; Events Data'!36:36,MATCH(P$8,'WH Rev &amp; Events Data'!$8:$8,0))</f>
        <v>1.2525569620253165</v>
      </c>
      <c r="Q66" s="38">
        <f>INDEX('WH Rev &amp; Events Data'!36:36,MATCH(Q$8,'WH Rev &amp; Events Data'!$8:$8,0))</f>
        <v>1.2525569620253165</v>
      </c>
      <c r="R66" s="38">
        <f>INDEX('WH Rev &amp; Events Data'!36:36,MATCH(R$8,'WH Rev &amp; Events Data'!$8:$8,0))</f>
        <v>1.1287598361876396</v>
      </c>
      <c r="S66" s="37"/>
      <c r="T66" s="46"/>
    </row>
    <row r="67" spans="3:20">
      <c r="C67" s="4" t="s">
        <v>389</v>
      </c>
      <c r="D67" s="36"/>
      <c r="E67" s="36"/>
      <c r="F67" s="36"/>
      <c r="G67" s="35">
        <f t="shared" si="37"/>
        <v>0</v>
      </c>
      <c r="H67" s="35">
        <f t="shared" si="38"/>
        <v>0</v>
      </c>
      <c r="I67" s="35">
        <f t="shared" si="39"/>
        <v>0</v>
      </c>
      <c r="J67" s="37"/>
      <c r="K67" s="278"/>
      <c r="L67" s="278"/>
      <c r="M67" s="278"/>
      <c r="N67" s="37"/>
      <c r="O67" s="37">
        <v>0</v>
      </c>
      <c r="P67" s="38">
        <f>INDEX('WH Rev &amp; Events Data'!37:37,MATCH(P$8,'WH Rev &amp; Events Data'!$8:$8,0))</f>
        <v>0.81256937172774868</v>
      </c>
      <c r="Q67" s="38">
        <f>INDEX('WH Rev &amp; Events Data'!37:37,MATCH(Q$8,'WH Rev &amp; Events Data'!$8:$8,0))</f>
        <v>0.81256937172774868</v>
      </c>
      <c r="R67" s="38">
        <f>INDEX('WH Rev &amp; Events Data'!37:37,MATCH(R$8,'WH Rev &amp; Events Data'!$8:$8,0))</f>
        <v>0.79107037180910111</v>
      </c>
      <c r="S67" s="37"/>
      <c r="T67" s="46"/>
    </row>
    <row r="68" spans="3:20">
      <c r="C68" s="4" t="s">
        <v>252</v>
      </c>
      <c r="D68" s="36"/>
      <c r="E68" s="36"/>
      <c r="F68" s="36"/>
      <c r="G68" s="35">
        <f t="shared" si="37"/>
        <v>0</v>
      </c>
      <c r="H68" s="35">
        <f t="shared" si="38"/>
        <v>0</v>
      </c>
      <c r="I68" s="35">
        <f t="shared" si="39"/>
        <v>0</v>
      </c>
      <c r="J68" s="37"/>
      <c r="K68" s="278"/>
      <c r="L68" s="278"/>
      <c r="M68" s="278"/>
      <c r="N68" s="37"/>
      <c r="O68" s="37">
        <v>0</v>
      </c>
      <c r="P68" s="38">
        <f>INDEX('WH Rev &amp; Events Data'!38:38,MATCH(P$8,'WH Rev &amp; Events Data'!$8:$8,0))</f>
        <v>1.1779999999999999</v>
      </c>
      <c r="Q68" s="38">
        <f>INDEX('WH Rev &amp; Events Data'!38:38,MATCH(Q$8,'WH Rev &amp; Events Data'!$8:$8,0))</f>
        <v>1.1779999999999999</v>
      </c>
      <c r="R68" s="38">
        <f>INDEX('WH Rev &amp; Events Data'!38:38,MATCH(R$8,'WH Rev &amp; Events Data'!$8:$8,0))</f>
        <v>1.11056736996337</v>
      </c>
      <c r="S68" s="37"/>
      <c r="T68" s="46"/>
    </row>
    <row r="69" spans="3:20">
      <c r="C69" s="4" t="s">
        <v>303</v>
      </c>
      <c r="D69" s="97">
        <f>'Events Summary'!M$10/1000</f>
        <v>11.25867</v>
      </c>
      <c r="E69" s="97">
        <f>'Events Summary'!M$11/1000</f>
        <v>15.290509999999999</v>
      </c>
      <c r="F69" s="97">
        <f>'Events Summary'!M$12/1000</f>
        <v>23.366499999999998</v>
      </c>
      <c r="G69" s="97">
        <f>'Events Summary'!M$14/1000</f>
        <v>6.1500000030000006</v>
      </c>
      <c r="H69" s="97">
        <f>'Events Summary'!M$15/1000</f>
        <v>0</v>
      </c>
      <c r="I69" s="97">
        <f>'Events Summary'!M$16/1000</f>
        <v>0</v>
      </c>
      <c r="J69" s="37"/>
      <c r="K69" s="277">
        <f>$O69</f>
        <v>0.6301229511270493</v>
      </c>
      <c r="L69" s="277">
        <f t="shared" ref="L69:M69" si="40">$O69</f>
        <v>0.6301229511270493</v>
      </c>
      <c r="M69" s="277">
        <f t="shared" si="40"/>
        <v>0.6301229511270493</v>
      </c>
      <c r="N69" s="37"/>
      <c r="O69" s="38">
        <f>'Events Summary'!N14/1000/(1+$K$85)</f>
        <v>0.6301229511270493</v>
      </c>
      <c r="P69" s="38">
        <f>INDEX('WH Rev &amp; Events Data'!39:39,MATCH(P$8,'WH Rev &amp; Events Data'!$8:$8,0))</f>
        <v>0.46774693877551027</v>
      </c>
      <c r="Q69" s="38">
        <f>INDEX('WH Rev &amp; Events Data'!39:39,MATCH(Q$8,'WH Rev &amp; Events Data'!$8:$8,0))</f>
        <v>0.46774693877551027</v>
      </c>
      <c r="R69" s="38">
        <f>INDEX('WH Rev &amp; Events Data'!39:39,MATCH(R$8,'WH Rev &amp; Events Data'!$8:$8,0))</f>
        <v>0.66640874464579902</v>
      </c>
      <c r="S69" s="37"/>
      <c r="T69" s="46"/>
    </row>
    <row r="70" spans="3:20" ht="5.15" customHeight="1">
      <c r="C70" s="1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46"/>
    </row>
    <row r="71" spans="3:20" s="1" customFormat="1">
      <c r="C71" s="40" t="s">
        <v>320</v>
      </c>
      <c r="D71" s="42">
        <f t="shared" ref="D71:I71" si="41">SUM(D60:D70)</f>
        <v>405.27832000000001</v>
      </c>
      <c r="E71" s="42">
        <f t="shared" si="41"/>
        <v>403.06513999999999</v>
      </c>
      <c r="F71" s="42">
        <f t="shared" si="41"/>
        <v>545.81012999999996</v>
      </c>
      <c r="G71" s="42">
        <f t="shared" si="41"/>
        <v>546.40000000299995</v>
      </c>
      <c r="H71" s="42">
        <f t="shared" si="41"/>
        <v>19.5</v>
      </c>
      <c r="I71" s="42">
        <f t="shared" si="41"/>
        <v>0</v>
      </c>
      <c r="J71" s="16"/>
      <c r="K71" s="41"/>
      <c r="L71" s="41"/>
      <c r="M71" s="41"/>
      <c r="N71" s="16"/>
      <c r="O71" s="41"/>
      <c r="P71" s="41"/>
      <c r="Q71" s="41"/>
      <c r="R71" s="41"/>
      <c r="S71" s="11"/>
      <c r="T71" s="46"/>
    </row>
    <row r="72" spans="3:20" s="22" customFormat="1">
      <c r="C72" s="89" t="s">
        <v>321</v>
      </c>
      <c r="D72" s="90">
        <f t="shared" ref="D72:I72" si="42">IFERROR(D71/D40,0)</f>
        <v>9.6494838095238098</v>
      </c>
      <c r="E72" s="90">
        <f t="shared" si="42"/>
        <v>9.3736079069767442</v>
      </c>
      <c r="F72" s="90">
        <f t="shared" si="42"/>
        <v>13.995131538461537</v>
      </c>
      <c r="G72" s="90">
        <f t="shared" si="42"/>
        <v>22.766666666791664</v>
      </c>
      <c r="H72" s="90">
        <f t="shared" si="42"/>
        <v>19.5</v>
      </c>
      <c r="I72" s="90">
        <f t="shared" si="42"/>
        <v>0</v>
      </c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46"/>
    </row>
    <row r="73" spans="3:20">
      <c r="C73" s="1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46"/>
    </row>
    <row r="74" spans="3:20" s="61" customFormat="1" ht="16">
      <c r="C74" s="85" t="s">
        <v>317</v>
      </c>
      <c r="D74" s="86"/>
      <c r="E74" s="86"/>
      <c r="F74" s="86"/>
      <c r="G74" s="86"/>
      <c r="H74" s="86"/>
      <c r="I74" s="86"/>
      <c r="J74" s="86"/>
      <c r="K74" s="87"/>
      <c r="L74" s="87"/>
      <c r="M74" s="87"/>
      <c r="N74" s="86"/>
      <c r="O74" s="87"/>
      <c r="P74" s="88"/>
      <c r="Q74" s="88"/>
      <c r="R74" s="88"/>
      <c r="S74" s="32"/>
      <c r="T74" s="46"/>
    </row>
    <row r="75" spans="3:20">
      <c r="C75" s="4" t="s">
        <v>245</v>
      </c>
      <c r="D75" s="36"/>
      <c r="E75" s="36"/>
      <c r="F75" s="36"/>
      <c r="G75" s="35">
        <f t="shared" ref="G75:G84" si="43">G43*K75</f>
        <v>242.62295081967213</v>
      </c>
      <c r="H75" s="35">
        <f t="shared" ref="H75:H84" si="44">H43*L75</f>
        <v>970.49180327868851</v>
      </c>
      <c r="I75" s="35">
        <f t="shared" ref="I75:I84" si="45">I43*M75</f>
        <v>1213.1147540983607</v>
      </c>
      <c r="J75" s="37"/>
      <c r="K75" s="138">
        <f>(18.5)/(1+K85)</f>
        <v>15.163934426229508</v>
      </c>
      <c r="L75" s="138">
        <f>(18.5)/(1+L85)</f>
        <v>15.163934426229508</v>
      </c>
      <c r="M75" s="52">
        <f>L75</f>
        <v>15.163934426229508</v>
      </c>
      <c r="N75" s="37"/>
      <c r="O75" s="37">
        <v>0</v>
      </c>
      <c r="P75" s="52">
        <f>P60</f>
        <v>6.7207593469387747</v>
      </c>
      <c r="Q75" s="52">
        <f>Q60</f>
        <v>6.7207593469387747</v>
      </c>
      <c r="R75" s="52">
        <f>R60</f>
        <v>5.1467523294892921</v>
      </c>
      <c r="S75" s="37"/>
      <c r="T75" s="371" t="s">
        <v>1171</v>
      </c>
    </row>
    <row r="76" spans="3:20">
      <c r="C76" s="4" t="s">
        <v>244</v>
      </c>
      <c r="D76" s="36"/>
      <c r="E76" s="36"/>
      <c r="F76" s="36"/>
      <c r="G76" s="35">
        <f t="shared" si="43"/>
        <v>0</v>
      </c>
      <c r="H76" s="35">
        <f t="shared" si="44"/>
        <v>161.67464793410213</v>
      </c>
      <c r="I76" s="35">
        <f t="shared" si="45"/>
        <v>404.18661983525533</v>
      </c>
      <c r="J76" s="37"/>
      <c r="K76" s="277">
        <f>K61</f>
        <v>0</v>
      </c>
      <c r="L76" s="278">
        <f>$R76</f>
        <v>5.0523327479406914</v>
      </c>
      <c r="M76" s="278">
        <f>$R76</f>
        <v>5.0523327479406914</v>
      </c>
      <c r="N76" s="37"/>
      <c r="O76" s="37">
        <v>0</v>
      </c>
      <c r="P76" s="52">
        <f t="shared" ref="P76" si="46">P61</f>
        <v>7.0684667346938772</v>
      </c>
      <c r="Q76" s="52">
        <f t="shared" ref="Q76:R84" si="47">Q61</f>
        <v>7.0684667346938772</v>
      </c>
      <c r="R76" s="52">
        <f t="shared" si="47"/>
        <v>5.0523327479406914</v>
      </c>
      <c r="S76" s="37"/>
      <c r="T76" s="46" t="s">
        <v>1200</v>
      </c>
    </row>
    <row r="77" spans="3:20">
      <c r="C77" s="4" t="s">
        <v>246</v>
      </c>
      <c r="D77" s="36"/>
      <c r="E77" s="36"/>
      <c r="F77" s="36"/>
      <c r="G77" s="35">
        <f t="shared" si="43"/>
        <v>6</v>
      </c>
      <c r="H77" s="35">
        <f t="shared" si="44"/>
        <v>36</v>
      </c>
      <c r="I77" s="35">
        <f t="shared" si="45"/>
        <v>60</v>
      </c>
      <c r="J77" s="37"/>
      <c r="K77" s="278">
        <f>$O77</f>
        <v>0.75</v>
      </c>
      <c r="L77" s="278">
        <f t="shared" ref="L77:M77" si="48">$O77</f>
        <v>0.75</v>
      </c>
      <c r="M77" s="278">
        <f t="shared" si="48"/>
        <v>0.75</v>
      </c>
      <c r="N77" s="37"/>
      <c r="O77" s="138">
        <v>0.75</v>
      </c>
      <c r="P77" s="52">
        <f t="shared" ref="P77" si="49">P62</f>
        <v>4.0019979591836732</v>
      </c>
      <c r="Q77" s="52">
        <f t="shared" si="47"/>
        <v>4.0019979591836732</v>
      </c>
      <c r="R77" s="52">
        <f t="shared" si="47"/>
        <v>3.0830680593080717</v>
      </c>
      <c r="S77" s="37"/>
      <c r="T77" s="371" t="s">
        <v>1206</v>
      </c>
    </row>
    <row r="78" spans="3:20">
      <c r="C78" s="4" t="s">
        <v>247</v>
      </c>
      <c r="D78" s="36"/>
      <c r="E78" s="36"/>
      <c r="F78" s="36"/>
      <c r="G78" s="35">
        <f t="shared" si="43"/>
        <v>24</v>
      </c>
      <c r="H78" s="35">
        <f t="shared" si="44"/>
        <v>96</v>
      </c>
      <c r="I78" s="35">
        <f t="shared" si="45"/>
        <v>120</v>
      </c>
      <c r="J78" s="37"/>
      <c r="K78" s="277">
        <f>$O78</f>
        <v>3</v>
      </c>
      <c r="L78" s="277">
        <f t="shared" ref="L78:M78" si="50">$O78</f>
        <v>3</v>
      </c>
      <c r="M78" s="277">
        <f t="shared" si="50"/>
        <v>3</v>
      </c>
      <c r="N78" s="37"/>
      <c r="O78" s="138">
        <v>3</v>
      </c>
      <c r="P78" s="137"/>
      <c r="Q78" s="137"/>
      <c r="R78" s="137"/>
      <c r="S78" s="37"/>
      <c r="T78" s="46"/>
    </row>
    <row r="79" spans="3:20">
      <c r="C79" s="4" t="s">
        <v>249</v>
      </c>
      <c r="D79" s="36"/>
      <c r="E79" s="36"/>
      <c r="F79" s="36"/>
      <c r="G79" s="35">
        <f t="shared" si="43"/>
        <v>3.1060519302751932</v>
      </c>
      <c r="H79" s="35">
        <f t="shared" si="44"/>
        <v>41.414025737002575</v>
      </c>
      <c r="I79" s="35">
        <f t="shared" si="45"/>
        <v>82.828051474005164</v>
      </c>
      <c r="J79" s="37"/>
      <c r="K79" s="278">
        <f t="shared" ref="K79:M83" si="51">$R79</f>
        <v>1.6865751837708829</v>
      </c>
      <c r="L79" s="278">
        <f t="shared" si="51"/>
        <v>1.6865751837708829</v>
      </c>
      <c r="M79" s="278">
        <f t="shared" si="51"/>
        <v>1.6865751837708829</v>
      </c>
      <c r="N79" s="37"/>
      <c r="O79" s="37">
        <v>0</v>
      </c>
      <c r="P79" s="52">
        <f t="shared" ref="P79" si="52">P64</f>
        <v>2.5192819148936172</v>
      </c>
      <c r="Q79" s="52">
        <f t="shared" si="47"/>
        <v>2.5192819148936172</v>
      </c>
      <c r="R79" s="52">
        <f t="shared" si="47"/>
        <v>1.6865751837708829</v>
      </c>
      <c r="S79" s="37"/>
      <c r="T79" s="46" t="s">
        <v>1200</v>
      </c>
    </row>
    <row r="80" spans="3:20">
      <c r="C80" s="4" t="s">
        <v>250</v>
      </c>
      <c r="D80" s="36"/>
      <c r="E80" s="36"/>
      <c r="F80" s="36"/>
      <c r="G80" s="35">
        <f t="shared" si="43"/>
        <v>3.7321535934175261</v>
      </c>
      <c r="H80" s="35">
        <f t="shared" si="44"/>
        <v>49.762047912233683</v>
      </c>
      <c r="I80" s="35">
        <f t="shared" si="45"/>
        <v>124.40511978058422</v>
      </c>
      <c r="J80" s="37"/>
      <c r="K80" s="278">
        <f t="shared" si="51"/>
        <v>3.2563305925473429</v>
      </c>
      <c r="L80" s="278">
        <f t="shared" si="51"/>
        <v>3.2563305925473429</v>
      </c>
      <c r="M80" s="278">
        <f t="shared" si="51"/>
        <v>3.2563305925473429</v>
      </c>
      <c r="N80" s="37"/>
      <c r="O80" s="37">
        <v>0</v>
      </c>
      <c r="P80" s="52">
        <f t="shared" ref="P80" si="53">P65</f>
        <v>3.0809577777777779</v>
      </c>
      <c r="Q80" s="52">
        <f t="shared" si="47"/>
        <v>3.0809577777777779</v>
      </c>
      <c r="R80" s="52">
        <f t="shared" si="47"/>
        <v>3.2563305925473429</v>
      </c>
      <c r="S80" s="37"/>
      <c r="T80" s="46" t="s">
        <v>1200</v>
      </c>
    </row>
    <row r="81" spans="3:20">
      <c r="C81" s="4" t="s">
        <v>251</v>
      </c>
      <c r="D81" s="36"/>
      <c r="E81" s="36"/>
      <c r="F81" s="36"/>
      <c r="G81" s="35">
        <f t="shared" si="43"/>
        <v>0.87352189771908761</v>
      </c>
      <c r="H81" s="35">
        <f t="shared" si="44"/>
        <v>11.646958636254501</v>
      </c>
      <c r="I81" s="35">
        <f t="shared" si="45"/>
        <v>29.11739659063625</v>
      </c>
      <c r="J81" s="37"/>
      <c r="K81" s="278">
        <f t="shared" si="51"/>
        <v>1.1287598361876396</v>
      </c>
      <c r="L81" s="278">
        <f t="shared" si="51"/>
        <v>1.1287598361876396</v>
      </c>
      <c r="M81" s="278">
        <f t="shared" si="51"/>
        <v>1.1287598361876396</v>
      </c>
      <c r="N81" s="37"/>
      <c r="O81" s="37">
        <v>0</v>
      </c>
      <c r="P81" s="52">
        <f t="shared" ref="P81" si="54">P66</f>
        <v>1.2525569620253165</v>
      </c>
      <c r="Q81" s="52">
        <f t="shared" si="47"/>
        <v>1.2525569620253165</v>
      </c>
      <c r="R81" s="52">
        <f t="shared" si="47"/>
        <v>1.1287598361876396</v>
      </c>
      <c r="S81" s="37"/>
      <c r="T81" s="46" t="s">
        <v>1200</v>
      </c>
    </row>
    <row r="82" spans="3:20">
      <c r="C82" s="4" t="s">
        <v>389</v>
      </c>
      <c r="D82" s="36"/>
      <c r="E82" s="36"/>
      <c r="F82" s="36"/>
      <c r="G82" s="35">
        <f t="shared" si="43"/>
        <v>1.4801088099481303</v>
      </c>
      <c r="H82" s="35">
        <f t="shared" si="44"/>
        <v>19.734784132641739</v>
      </c>
      <c r="I82" s="35">
        <f t="shared" si="45"/>
        <v>49.336960331604345</v>
      </c>
      <c r="J82" s="37"/>
      <c r="K82" s="278">
        <f t="shared" si="51"/>
        <v>0.79107037180910111</v>
      </c>
      <c r="L82" s="278">
        <f t="shared" si="51"/>
        <v>0.79107037180910111</v>
      </c>
      <c r="M82" s="278">
        <f t="shared" si="51"/>
        <v>0.79107037180910111</v>
      </c>
      <c r="N82" s="37"/>
      <c r="O82" s="37">
        <v>0</v>
      </c>
      <c r="P82" s="52">
        <f t="shared" ref="P82" si="55">P67</f>
        <v>0.81256937172774868</v>
      </c>
      <c r="Q82" s="52">
        <f t="shared" si="47"/>
        <v>0.81256937172774868</v>
      </c>
      <c r="R82" s="52">
        <f t="shared" si="47"/>
        <v>0.79107037180910111</v>
      </c>
      <c r="S82" s="37"/>
      <c r="T82" s="46" t="s">
        <v>1200</v>
      </c>
    </row>
    <row r="83" spans="3:20">
      <c r="C83" s="4" t="s">
        <v>252</v>
      </c>
      <c r="D83" s="36"/>
      <c r="E83" s="36"/>
      <c r="F83" s="36"/>
      <c r="G83" s="35">
        <f>G51*K83</f>
        <v>0.91383829299843022</v>
      </c>
      <c r="H83" s="35">
        <f t="shared" si="44"/>
        <v>12.184510573312403</v>
      </c>
      <c r="I83" s="35">
        <f t="shared" si="45"/>
        <v>30.461276433281007</v>
      </c>
      <c r="J83" s="37"/>
      <c r="K83" s="278">
        <f t="shared" si="51"/>
        <v>1.11056736996337</v>
      </c>
      <c r="L83" s="278">
        <f t="shared" si="51"/>
        <v>1.11056736996337</v>
      </c>
      <c r="M83" s="278">
        <f t="shared" si="51"/>
        <v>1.11056736996337</v>
      </c>
      <c r="N83" s="37"/>
      <c r="O83" s="37">
        <v>0</v>
      </c>
      <c r="P83" s="52">
        <f t="shared" ref="P83" si="56">P68</f>
        <v>1.1779999999999999</v>
      </c>
      <c r="Q83" s="52">
        <f t="shared" si="47"/>
        <v>1.1779999999999999</v>
      </c>
      <c r="R83" s="52">
        <f t="shared" si="47"/>
        <v>1.11056736996337</v>
      </c>
      <c r="S83" s="37"/>
      <c r="T83" s="46" t="s">
        <v>1200</v>
      </c>
    </row>
    <row r="84" spans="3:20">
      <c r="C84" s="4" t="s">
        <v>303</v>
      </c>
      <c r="D84" s="36"/>
      <c r="E84" s="36"/>
      <c r="F84" s="36"/>
      <c r="G84" s="35">
        <f t="shared" si="43"/>
        <v>3.3606557393442626</v>
      </c>
      <c r="H84" s="35">
        <f t="shared" si="44"/>
        <v>13.442622957377051</v>
      </c>
      <c r="I84" s="35">
        <f t="shared" si="45"/>
        <v>16.803278696721314</v>
      </c>
      <c r="J84" s="37"/>
      <c r="K84" s="277">
        <f t="shared" ref="K84:M84" si="57">K69</f>
        <v>0.6301229511270493</v>
      </c>
      <c r="L84" s="277">
        <f t="shared" si="57"/>
        <v>0.6301229511270493</v>
      </c>
      <c r="M84" s="277">
        <f t="shared" si="57"/>
        <v>0.6301229511270493</v>
      </c>
      <c r="N84" s="37"/>
      <c r="O84" s="37">
        <f>O69</f>
        <v>0.6301229511270493</v>
      </c>
      <c r="P84" s="52">
        <f t="shared" ref="P84" si="58">P69</f>
        <v>0.46774693877551027</v>
      </c>
      <c r="Q84" s="52">
        <f t="shared" si="47"/>
        <v>0.46774693877551027</v>
      </c>
      <c r="R84" s="52">
        <f t="shared" si="47"/>
        <v>0.66640874464579902</v>
      </c>
      <c r="S84" s="37"/>
      <c r="T84" s="46" t="s">
        <v>1201</v>
      </c>
    </row>
    <row r="85" spans="3:20">
      <c r="C85" s="4" t="s">
        <v>17</v>
      </c>
      <c r="D85" s="36"/>
      <c r="E85" s="36"/>
      <c r="F85" s="36"/>
      <c r="G85" s="35">
        <f>K85*G93</f>
        <v>62.939641838342453</v>
      </c>
      <c r="H85" s="35">
        <f t="shared" ref="H85:I85" si="59">L85*H93</f>
        <v>310.71730825555477</v>
      </c>
      <c r="I85" s="35">
        <f t="shared" si="59"/>
        <v>468.65576059289862</v>
      </c>
      <c r="J85" s="37"/>
      <c r="K85" s="45">
        <v>0.22</v>
      </c>
      <c r="L85" s="45">
        <v>0.22</v>
      </c>
      <c r="M85" s="45">
        <v>0.22</v>
      </c>
      <c r="N85" s="37"/>
      <c r="O85" s="37">
        <v>0</v>
      </c>
      <c r="P85" s="37">
        <f>INDEX('WH Rev &amp; Events Data'!45:45,MATCH(P$8,'WH Rev &amp; Events Data'!$8:$8,0))</f>
        <v>4.9355403673469391</v>
      </c>
      <c r="Q85" s="37">
        <f>INDEX('WH Rev &amp; Events Data'!45:45,MATCH(Q$8,'WH Rev &amp; Events Data'!$8:$8,0))</f>
        <v>4.9355403673469391</v>
      </c>
      <c r="R85" s="37">
        <f>INDEX('WH Rev &amp; Events Data'!45:45,MATCH(R$8,'WH Rev &amp; Events Data'!$8:$8,0))</f>
        <v>3.7751450741350894</v>
      </c>
      <c r="S85" s="37"/>
      <c r="T85" s="46"/>
    </row>
    <row r="86" spans="3:20">
      <c r="C86" s="1"/>
      <c r="D86" s="9"/>
      <c r="E86" s="9"/>
      <c r="F86" s="9"/>
      <c r="G86" s="94"/>
      <c r="H86" s="94"/>
      <c r="I86" s="94"/>
      <c r="J86" s="9"/>
      <c r="K86" s="9"/>
      <c r="L86" s="9"/>
      <c r="M86" s="9"/>
      <c r="N86" s="9"/>
      <c r="O86" s="9"/>
      <c r="P86" s="9"/>
      <c r="Q86" s="9"/>
      <c r="R86" s="9"/>
      <c r="S86" s="9"/>
      <c r="T86" s="46"/>
    </row>
    <row r="87" spans="3:20" s="1" customFormat="1">
      <c r="C87" s="40" t="s">
        <v>316</v>
      </c>
      <c r="D87" s="42">
        <f t="shared" ref="D87:I87" si="60">SUM(D75:D86)</f>
        <v>0</v>
      </c>
      <c r="E87" s="42">
        <f t="shared" si="60"/>
        <v>0</v>
      </c>
      <c r="F87" s="42">
        <f t="shared" si="60"/>
        <v>0</v>
      </c>
      <c r="G87" s="42">
        <f t="shared" si="60"/>
        <v>349.02892292171737</v>
      </c>
      <c r="H87" s="42">
        <f t="shared" si="60"/>
        <v>1723.0687094171674</v>
      </c>
      <c r="I87" s="42">
        <f t="shared" si="60"/>
        <v>2598.9092178333472</v>
      </c>
      <c r="J87" s="16"/>
      <c r="K87" s="41"/>
      <c r="L87" s="41"/>
      <c r="M87" s="41"/>
      <c r="N87" s="16"/>
      <c r="O87" s="41"/>
      <c r="P87" s="41"/>
      <c r="Q87" s="41"/>
      <c r="R87" s="41"/>
      <c r="S87" s="11"/>
      <c r="T87" s="11"/>
    </row>
    <row r="88" spans="3:20" s="22" customFormat="1">
      <c r="C88" s="89" t="s">
        <v>322</v>
      </c>
      <c r="D88" s="90">
        <f t="shared" ref="D88:I88" si="61">IFERROR(D87/D54,0)</f>
        <v>0</v>
      </c>
      <c r="E88" s="90">
        <f t="shared" si="61"/>
        <v>0</v>
      </c>
      <c r="F88" s="90">
        <f t="shared" si="61"/>
        <v>0</v>
      </c>
      <c r="G88" s="90">
        <f t="shared" si="61"/>
        <v>21.814307682607335</v>
      </c>
      <c r="H88" s="90">
        <f t="shared" si="61"/>
        <v>26.92294858464324</v>
      </c>
      <c r="I88" s="90">
        <f t="shared" si="61"/>
        <v>32.486365222916838</v>
      </c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</row>
    <row r="89" spans="3:20">
      <c r="C89" s="1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3:20">
      <c r="C90" s="78" t="s">
        <v>253</v>
      </c>
      <c r="D90" s="80">
        <f t="shared" ref="D90:I90" si="62">D71+D87</f>
        <v>405.27832000000001</v>
      </c>
      <c r="E90" s="80">
        <f t="shared" si="62"/>
        <v>403.06513999999999</v>
      </c>
      <c r="F90" s="80">
        <f t="shared" si="62"/>
        <v>545.81012999999996</v>
      </c>
      <c r="G90" s="80">
        <f t="shared" si="62"/>
        <v>895.42892292471731</v>
      </c>
      <c r="H90" s="80">
        <f t="shared" si="62"/>
        <v>1742.5687094171674</v>
      </c>
      <c r="I90" s="80">
        <f t="shared" si="62"/>
        <v>2598.9092178333472</v>
      </c>
      <c r="J90" s="79"/>
      <c r="K90" s="79"/>
      <c r="L90" s="79"/>
      <c r="M90" s="79"/>
      <c r="N90" s="79"/>
      <c r="O90" s="79"/>
      <c r="P90" s="79"/>
      <c r="Q90" s="79"/>
      <c r="R90" s="79"/>
      <c r="S90" s="9"/>
      <c r="T90" s="9"/>
    </row>
    <row r="91" spans="3:20">
      <c r="C91" s="1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3:20" s="22" customFormat="1">
      <c r="C92" s="23" t="s">
        <v>309</v>
      </c>
      <c r="D92" s="54"/>
      <c r="E92" s="54"/>
      <c r="F92" s="54"/>
      <c r="G92" s="93">
        <f>G16</f>
        <v>546.40000000300006</v>
      </c>
      <c r="H92" s="93">
        <f>H16</f>
        <v>19.5</v>
      </c>
      <c r="I92" s="93">
        <f>I16</f>
        <v>0</v>
      </c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</row>
    <row r="93" spans="3:20" s="22" customFormat="1">
      <c r="C93" s="23" t="s">
        <v>323</v>
      </c>
      <c r="D93" s="54"/>
      <c r="E93" s="54"/>
      <c r="F93" s="54"/>
      <c r="G93" s="93">
        <f>SUM(G$75:G$84)+(G71-G16)</f>
        <v>286.08928108337477</v>
      </c>
      <c r="H93" s="93">
        <f t="shared" ref="H93:I93" si="63">SUM(H$75:H$84)+(H71-H16)</f>
        <v>1412.3514011616126</v>
      </c>
      <c r="I93" s="93">
        <f t="shared" si="63"/>
        <v>2130.2534572404484</v>
      </c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</row>
    <row r="94" spans="3:20">
      <c r="C94" s="4"/>
      <c r="D94" s="9"/>
      <c r="E94" s="9"/>
      <c r="F94" s="9"/>
      <c r="G94" s="35"/>
      <c r="H94" s="35"/>
      <c r="I94" s="3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3:20">
      <c r="C95" s="4"/>
      <c r="D95" s="9"/>
      <c r="E95" s="9"/>
      <c r="F95" s="9"/>
      <c r="G95" s="35"/>
      <c r="H95" s="35"/>
      <c r="I95" s="3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3:20">
      <c r="C96" s="3" t="s">
        <v>324</v>
      </c>
    </row>
    <row r="97" spans="3:10">
      <c r="C97" t="s">
        <v>0</v>
      </c>
      <c r="D97" s="35">
        <f t="shared" ref="D97:I97" si="64">D19-D90</f>
        <v>0</v>
      </c>
      <c r="E97" s="35">
        <f t="shared" si="64"/>
        <v>0</v>
      </c>
      <c r="F97" s="35">
        <f t="shared" si="64"/>
        <v>0</v>
      </c>
      <c r="G97" s="35">
        <f t="shared" si="64"/>
        <v>0</v>
      </c>
      <c r="H97" s="35">
        <f t="shared" si="64"/>
        <v>0</v>
      </c>
      <c r="I97" s="35">
        <f t="shared" si="64"/>
        <v>0</v>
      </c>
    </row>
    <row r="98" spans="3:10">
      <c r="C98" t="s">
        <v>222</v>
      </c>
      <c r="D98" s="9">
        <f t="shared" ref="D98:I98" si="65">D13-D56</f>
        <v>0</v>
      </c>
      <c r="E98" s="9">
        <f t="shared" si="65"/>
        <v>0</v>
      </c>
      <c r="F98" s="9">
        <f t="shared" si="65"/>
        <v>0</v>
      </c>
      <c r="G98" s="9">
        <f t="shared" si="65"/>
        <v>0</v>
      </c>
      <c r="H98" s="9">
        <f t="shared" si="65"/>
        <v>0</v>
      </c>
      <c r="I98" s="9">
        <f t="shared" si="65"/>
        <v>0</v>
      </c>
    </row>
    <row r="100" spans="3:10">
      <c r="G100" s="35"/>
      <c r="H100" s="35"/>
      <c r="I100" s="35"/>
      <c r="J100" s="35"/>
    </row>
    <row r="101" spans="3:10">
      <c r="G101" s="35"/>
      <c r="H101" s="35"/>
      <c r="I101" s="35"/>
      <c r="J101" s="35"/>
    </row>
    <row r="102" spans="3:10">
      <c r="G102" s="35"/>
      <c r="H102" s="35"/>
      <c r="I102" s="35"/>
      <c r="J102" s="35"/>
    </row>
    <row r="103" spans="3:10">
      <c r="G103" s="35"/>
      <c r="H103" s="35"/>
      <c r="I103" s="35"/>
      <c r="J103" s="35"/>
    </row>
    <row r="104" spans="3:10">
      <c r="G104" s="35"/>
      <c r="H104" s="35"/>
      <c r="I104" s="35"/>
      <c r="J104" s="35"/>
    </row>
    <row r="105" spans="3:10">
      <c r="G105" s="35"/>
      <c r="H105" s="35"/>
      <c r="I105" s="35"/>
      <c r="J105" s="35"/>
    </row>
    <row r="106" spans="3:10">
      <c r="G106" s="35"/>
      <c r="H106" s="35"/>
      <c r="I106" s="35"/>
      <c r="J106" s="35"/>
    </row>
    <row r="107" spans="3:10">
      <c r="G107" s="35"/>
      <c r="H107" s="35"/>
      <c r="I107" s="35"/>
      <c r="J107" s="35"/>
    </row>
    <row r="108" spans="3:10">
      <c r="G108" s="35"/>
      <c r="H108" s="35"/>
      <c r="I108" s="35"/>
      <c r="J108" s="35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64C0-52B3-4A3D-8E6E-BCB7FFBA464A}">
  <sheetPr codeName="Sheet10">
    <tabColor theme="8"/>
  </sheetPr>
  <dimension ref="C1:AC86"/>
  <sheetViews>
    <sheetView showGridLines="0" zoomScale="130" zoomScaleNormal="130" workbookViewId="0"/>
  </sheetViews>
  <sheetFormatPr defaultRowHeight="14.5"/>
  <cols>
    <col min="1" max="2" width="1.7265625" customWidth="1"/>
    <col min="3" max="3" width="28.453125" bestFit="1" customWidth="1"/>
    <col min="4" max="4" width="9" bestFit="1" customWidth="1"/>
    <col min="5" max="5" width="10.81640625" bestFit="1" customWidth="1"/>
    <col min="6" max="6" width="10" style="35" bestFit="1" customWidth="1"/>
    <col min="7" max="7" width="1.7265625" customWidth="1"/>
    <col min="8" max="8" width="9" bestFit="1" customWidth="1"/>
    <col min="9" max="9" width="10.81640625" bestFit="1" customWidth="1"/>
    <col min="10" max="10" width="10" style="35" bestFit="1" customWidth="1"/>
    <col min="11" max="11" width="1.7265625" customWidth="1"/>
    <col min="12" max="12" width="9" bestFit="1" customWidth="1"/>
    <col min="13" max="13" width="10.81640625" bestFit="1" customWidth="1"/>
    <col min="14" max="14" width="10" style="35" bestFit="1" customWidth="1"/>
    <col min="15" max="15" width="1.7265625" customWidth="1"/>
    <col min="16" max="16" width="9" bestFit="1" customWidth="1"/>
    <col min="17" max="17" width="10.81640625" bestFit="1" customWidth="1"/>
    <col min="18" max="18" width="10" style="35" bestFit="1" customWidth="1"/>
    <col min="19" max="19" width="1.7265625" customWidth="1"/>
    <col min="20" max="22" width="9.1796875" style="22"/>
    <col min="27" max="27" width="1.7265625" customWidth="1"/>
  </cols>
  <sheetData>
    <row r="1" spans="3:29">
      <c r="C1" s="28" t="s">
        <v>340</v>
      </c>
      <c r="D1" s="147" cm="1">
        <f t="array" ref="D1">INDEX($C:$C,MATCH($V$12,$U:$U,0)+11)</f>
        <v>46234</v>
      </c>
      <c r="H1" s="147"/>
      <c r="L1" s="147"/>
      <c r="P1" s="147"/>
    </row>
    <row r="2" spans="3:29" ht="5.15" customHeight="1"/>
    <row r="3" spans="3:29">
      <c r="C3" s="58" t="str">
        <f>Summary!$C$3</f>
        <v>Hadden Estate</v>
      </c>
      <c r="S3" s="37"/>
      <c r="T3" s="37"/>
      <c r="U3" s="37"/>
    </row>
    <row r="4" spans="3:29">
      <c r="C4" t="s">
        <v>288</v>
      </c>
      <c r="G4" s="37"/>
      <c r="H4" s="37"/>
      <c r="I4" s="37"/>
      <c r="K4" s="37"/>
      <c r="L4" s="37"/>
      <c r="M4" s="37"/>
      <c r="O4" s="37"/>
      <c r="P4" s="37"/>
      <c r="Q4" s="37"/>
      <c r="S4" s="37"/>
      <c r="T4" s="37"/>
      <c r="U4" s="37"/>
    </row>
    <row r="5" spans="3:29">
      <c r="C5" s="19"/>
      <c r="D5" s="7"/>
      <c r="E5" s="7"/>
      <c r="F5" s="149"/>
      <c r="G5" s="250"/>
      <c r="H5" s="250"/>
      <c r="I5" s="250"/>
      <c r="J5" s="149"/>
      <c r="K5" s="250"/>
      <c r="L5" s="250"/>
      <c r="M5" s="250"/>
      <c r="N5" s="149"/>
      <c r="O5" s="250"/>
      <c r="P5" s="250"/>
      <c r="Q5" s="250"/>
      <c r="R5" s="149"/>
      <c r="S5" s="250"/>
      <c r="T5" s="250"/>
      <c r="U5" s="250"/>
    </row>
    <row r="6" spans="3:29" ht="16">
      <c r="C6" s="2"/>
      <c r="D6" s="2" t="s">
        <v>743</v>
      </c>
      <c r="E6" s="2"/>
      <c r="F6" s="345"/>
      <c r="H6" s="2" t="s">
        <v>624</v>
      </c>
      <c r="I6" s="2"/>
      <c r="J6" s="345"/>
      <c r="L6" s="2" t="s">
        <v>625</v>
      </c>
      <c r="M6" s="2"/>
      <c r="N6" s="345"/>
      <c r="P6" s="2" t="s">
        <v>285</v>
      </c>
      <c r="Q6" s="2"/>
      <c r="R6" s="345"/>
      <c r="T6" s="31"/>
      <c r="U6" s="31"/>
    </row>
    <row r="7" spans="3:29" ht="16">
      <c r="C7" s="2" t="s">
        <v>259</v>
      </c>
      <c r="D7" s="2" t="s">
        <v>222</v>
      </c>
      <c r="E7" s="2" t="s">
        <v>0</v>
      </c>
      <c r="F7" s="345" t="s">
        <v>243</v>
      </c>
      <c r="H7" s="2" t="s">
        <v>222</v>
      </c>
      <c r="I7" s="2" t="s">
        <v>0</v>
      </c>
      <c r="J7" s="345" t="s">
        <v>243</v>
      </c>
      <c r="L7" s="2" t="s">
        <v>222</v>
      </c>
      <c r="M7" s="2" t="s">
        <v>0</v>
      </c>
      <c r="N7" s="345" t="s">
        <v>243</v>
      </c>
      <c r="P7" s="2" t="s">
        <v>222</v>
      </c>
      <c r="Q7" s="2" t="s">
        <v>0</v>
      </c>
      <c r="R7" s="345" t="s">
        <v>243</v>
      </c>
      <c r="T7" s="31" t="s">
        <v>291</v>
      </c>
      <c r="U7" s="31" t="s">
        <v>292</v>
      </c>
    </row>
    <row r="8" spans="3:29" ht="5.15" customHeight="1">
      <c r="T8" s="33"/>
      <c r="U8" s="33"/>
      <c r="V8" s="33"/>
    </row>
    <row r="9" spans="3:29">
      <c r="C9" s="20" t="s">
        <v>287</v>
      </c>
      <c r="T9" s="33"/>
      <c r="U9" s="33"/>
      <c r="V9" s="33"/>
    </row>
    <row r="10" spans="3:29">
      <c r="C10" s="30">
        <f>Summary!D11</f>
        <v>2024</v>
      </c>
      <c r="D10" s="32">
        <f>SUMIFS(D$19:D$66,$T$19:$T$66,$C10)</f>
        <v>42</v>
      </c>
      <c r="E10" s="32">
        <f>SUMIFS(E$19:E$66,$T$19:$T$66,$C10)</f>
        <v>352759.65</v>
      </c>
      <c r="F10" s="60">
        <f t="shared" ref="F10:F12" si="0">IFERROR(E10/D10,0)</f>
        <v>8399.039285714287</v>
      </c>
      <c r="H10" s="32">
        <f>SUMIFS(H$19:H$66,$T$19:$T$66,$C10)</f>
        <v>9</v>
      </c>
      <c r="I10" s="32">
        <f>SUMIFS(I$19:I$66,$T$19:$T$66,$C10)</f>
        <v>41260</v>
      </c>
      <c r="J10" s="60">
        <f t="shared" ref="J10:J12" si="1">IFERROR(I10/H10,0)</f>
        <v>4584.4444444444443</v>
      </c>
      <c r="L10" s="32">
        <f>SUMIFS(L$19:L$66,$T$19:$T$66,$C10)</f>
        <v>10</v>
      </c>
      <c r="M10" s="32">
        <f>SUMIFS(M$19:M$66,$T$19:$T$66,$C10)</f>
        <v>11258.67</v>
      </c>
      <c r="N10" s="60">
        <f t="shared" ref="N10:N12" si="2">IFERROR(M10/L10,0)</f>
        <v>1125.867</v>
      </c>
      <c r="P10" s="32">
        <f>SUMIFS(P$19:P$66,$T$19:$T$66,$C10)</f>
        <v>42</v>
      </c>
      <c r="Q10" s="32">
        <f>SUMIFS(Q$19:Q$66,$T$19:$T$66,$C10)</f>
        <v>405278.32</v>
      </c>
      <c r="R10" s="60">
        <f t="shared" ref="R10" si="3">IFERROR(Q10/P10,0)</f>
        <v>9649.4838095238101</v>
      </c>
      <c r="T10" s="33"/>
      <c r="U10" s="33"/>
      <c r="V10" s="33"/>
    </row>
    <row r="11" spans="3:29">
      <c r="C11" s="30">
        <f>Summary!D12</f>
        <v>2025</v>
      </c>
      <c r="D11" s="32">
        <f>SUMIFS(D$19:D$66,$T$19:$T$66,$C11)</f>
        <v>43</v>
      </c>
      <c r="E11" s="32">
        <f>SUMIFS(E$19:E$66,$T$19:$T$66,$C11)</f>
        <v>319974.63</v>
      </c>
      <c r="F11" s="60">
        <f t="shared" si="0"/>
        <v>7441.2704651162794</v>
      </c>
      <c r="H11" s="32">
        <f>SUMIFS(H$19:H$66,$T$19:$T$66,$C11)</f>
        <v>13</v>
      </c>
      <c r="I11" s="32">
        <f>SUMIFS(I$19:I$66,$T$19:$T$66,$C11)</f>
        <v>67800</v>
      </c>
      <c r="J11" s="60">
        <f t="shared" si="1"/>
        <v>5215.3846153846152</v>
      </c>
      <c r="L11" s="32">
        <f>SUMIFS(L$19:L$66,$T$19:$T$66,$C11)</f>
        <v>9</v>
      </c>
      <c r="M11" s="32">
        <f>SUMIFS(M$19:M$66,$T$19:$T$66,$C11)</f>
        <v>15290.51</v>
      </c>
      <c r="N11" s="60">
        <f t="shared" si="2"/>
        <v>1698.9455555555555</v>
      </c>
      <c r="P11" s="32">
        <f>SUMIFS(P$19:P$66,$T$19:$T$66,$C11)</f>
        <v>43</v>
      </c>
      <c r="Q11" s="32">
        <f>SUMIFS(Q$19:Q$66,$T$19:$T$66,$C11)</f>
        <v>403065.14</v>
      </c>
      <c r="R11" s="60">
        <f t="shared" ref="R11" si="4">IFERROR(Q11/P11,0)</f>
        <v>9373.6079069767438</v>
      </c>
      <c r="T11" s="33"/>
      <c r="U11" s="33"/>
      <c r="V11" s="33"/>
    </row>
    <row r="12" spans="3:29">
      <c r="C12" s="30" t="str">
        <f>Summary!D13</f>
        <v>LTM Jul-26</v>
      </c>
      <c r="D12" s="32">
        <f>SUMIFS(D$19:D$66,$U$19:$U$66,$V12)</f>
        <v>39</v>
      </c>
      <c r="E12" s="60">
        <f>SUMIFS(E$19:E$66,$U$19:$U$66,$V12)</f>
        <v>452643.63</v>
      </c>
      <c r="F12" s="60">
        <f t="shared" si="0"/>
        <v>11606.246923076924</v>
      </c>
      <c r="H12" s="32">
        <f>SUMIFS(H$19:H$66,$U$19:$U$66,$V12)</f>
        <v>15</v>
      </c>
      <c r="I12" s="60">
        <f>SUMIFS(I$19:I$66,$U$19:$U$66,$V12)</f>
        <v>69800</v>
      </c>
      <c r="J12" s="60">
        <f t="shared" si="1"/>
        <v>4653.333333333333</v>
      </c>
      <c r="L12" s="32">
        <f>SUMIFS(L$19:L$66,$U$19:$U$66,$V12)</f>
        <v>17</v>
      </c>
      <c r="M12" s="60">
        <f>SUMIFS(M$19:M$66,$U$19:$U$66,$V12)</f>
        <v>23366.5</v>
      </c>
      <c r="N12" s="60">
        <f t="shared" si="2"/>
        <v>1374.5</v>
      </c>
      <c r="P12" s="32">
        <f>SUMIFS(P$19:P$66,$U$19:$U$66,$V12)</f>
        <v>39</v>
      </c>
      <c r="Q12" s="60">
        <f>SUMIFS(Q$19:Q$66,$U$19:$U$66,$V12)</f>
        <v>545810.13</v>
      </c>
      <c r="R12" s="60">
        <f t="shared" ref="R12" si="5">IFERROR(Q12/P12,0)</f>
        <v>13995.131538461539</v>
      </c>
      <c r="T12" s="33"/>
      <c r="U12" s="33"/>
      <c r="V12" s="33" t="s">
        <v>293</v>
      </c>
      <c r="W12" s="33">
        <f>COUNTIFS($U:$U,V12)</f>
        <v>12</v>
      </c>
    </row>
    <row r="13" spans="3:29">
      <c r="C13" s="30"/>
      <c r="D13" s="32"/>
      <c r="E13" s="60"/>
      <c r="F13" s="60"/>
      <c r="H13" s="370"/>
      <c r="I13" s="60"/>
      <c r="J13" s="60"/>
      <c r="L13" s="32"/>
      <c r="M13" s="60"/>
      <c r="N13" s="60"/>
      <c r="P13" s="32"/>
      <c r="Q13" s="60"/>
      <c r="R13" s="60"/>
      <c r="T13" s="33"/>
      <c r="U13" s="33"/>
      <c r="V13" s="33"/>
    </row>
    <row r="14" spans="3:29">
      <c r="C14" s="30" t="str">
        <f>Summary!D14</f>
        <v>LTM Aug-27</v>
      </c>
      <c r="D14" s="32">
        <f t="shared" ref="D14:E16" si="6">SUMIFS(D$19:D$66,$U$19:$U$66,$V14)</f>
        <v>24</v>
      </c>
      <c r="E14" s="60">
        <f t="shared" si="6"/>
        <v>485350</v>
      </c>
      <c r="F14" s="60">
        <f t="shared" ref="F14:F16" si="7">IFERROR(E14/D14,0)</f>
        <v>20222.916666666668</v>
      </c>
      <c r="H14" s="32">
        <f t="shared" ref="H14:I16" si="8">SUMIFS(H$19:H$66,$U$19:$U$66,$V14)</f>
        <v>12</v>
      </c>
      <c r="I14" s="60">
        <f t="shared" si="8"/>
        <v>54900</v>
      </c>
      <c r="J14" s="60">
        <f t="shared" ref="J14:J16" si="9">IFERROR(I14/H14,0)</f>
        <v>4575</v>
      </c>
      <c r="L14" s="32">
        <f t="shared" ref="L14:M16" si="10">SUMIFS(L$19:L$66,$U$19:$U$66,$V14)</f>
        <v>8</v>
      </c>
      <c r="M14" s="60">
        <f t="shared" si="10"/>
        <v>6150.000003000001</v>
      </c>
      <c r="N14" s="60">
        <f t="shared" ref="N14:N16" si="11">IFERROR(M14/L14,0)</f>
        <v>768.75000037500013</v>
      </c>
      <c r="P14" s="32">
        <f t="shared" ref="P14:Q16" si="12">SUMIFS(P$19:P$66,$U$19:$U$66,$V14)</f>
        <v>24</v>
      </c>
      <c r="Q14" s="60">
        <f t="shared" si="12"/>
        <v>546400.00000300002</v>
      </c>
      <c r="R14" s="60">
        <f t="shared" ref="R14" si="13">IFERROR(Q14/P14,0)</f>
        <v>22766.666666791669</v>
      </c>
      <c r="T14" s="33"/>
      <c r="U14" s="33"/>
      <c r="V14" s="33" t="s">
        <v>294</v>
      </c>
      <c r="W14" s="33">
        <f>COUNTIFS($U:$U,V14)</f>
        <v>12</v>
      </c>
    </row>
    <row r="15" spans="3:29" ht="16">
      <c r="C15" s="30" t="str">
        <f>Summary!D15</f>
        <v>LTM Aug-28</v>
      </c>
      <c r="D15" s="32">
        <f t="shared" si="6"/>
        <v>1</v>
      </c>
      <c r="E15" s="60">
        <f t="shared" si="6"/>
        <v>19500</v>
      </c>
      <c r="F15" s="60">
        <f t="shared" si="7"/>
        <v>19500</v>
      </c>
      <c r="H15" s="32">
        <f t="shared" si="8"/>
        <v>0</v>
      </c>
      <c r="I15" s="60">
        <f t="shared" si="8"/>
        <v>0</v>
      </c>
      <c r="J15" s="60">
        <f t="shared" si="9"/>
        <v>0</v>
      </c>
      <c r="L15" s="32">
        <f t="shared" si="10"/>
        <v>0</v>
      </c>
      <c r="M15" s="60">
        <f t="shared" si="10"/>
        <v>0</v>
      </c>
      <c r="N15" s="60">
        <f t="shared" si="11"/>
        <v>0</v>
      </c>
      <c r="P15" s="32">
        <f t="shared" si="12"/>
        <v>1</v>
      </c>
      <c r="Q15" s="60">
        <f t="shared" si="12"/>
        <v>19500</v>
      </c>
      <c r="R15" s="60">
        <f t="shared" ref="R15:R16" si="14">IFERROR(Q15/P15,0)</f>
        <v>19500</v>
      </c>
      <c r="T15" s="33"/>
      <c r="U15" s="33"/>
      <c r="V15" s="33" t="s">
        <v>444</v>
      </c>
      <c r="W15" s="33">
        <f>COUNTIFS($U:$U,V15)</f>
        <v>12</v>
      </c>
      <c r="Y15" s="2" t="s">
        <v>471</v>
      </c>
      <c r="Z15" s="2"/>
      <c r="AA15" s="2"/>
      <c r="AB15" s="2"/>
      <c r="AC15" s="251"/>
    </row>
    <row r="16" spans="3:29" ht="16">
      <c r="C16" s="30" t="str">
        <f>Summary!D16</f>
        <v>LTM Aug-29</v>
      </c>
      <c r="D16" s="32">
        <f t="shared" si="6"/>
        <v>0</v>
      </c>
      <c r="E16" s="60">
        <f t="shared" si="6"/>
        <v>0</v>
      </c>
      <c r="F16" s="60">
        <f t="shared" si="7"/>
        <v>0</v>
      </c>
      <c r="H16" s="32">
        <f t="shared" si="8"/>
        <v>0</v>
      </c>
      <c r="I16" s="60">
        <f t="shared" si="8"/>
        <v>0</v>
      </c>
      <c r="J16" s="60">
        <f t="shared" si="9"/>
        <v>0</v>
      </c>
      <c r="L16" s="32">
        <f t="shared" si="10"/>
        <v>0</v>
      </c>
      <c r="M16" s="60">
        <f t="shared" si="10"/>
        <v>0</v>
      </c>
      <c r="N16" s="60">
        <f t="shared" si="11"/>
        <v>0</v>
      </c>
      <c r="P16" s="32">
        <f t="shared" si="12"/>
        <v>0</v>
      </c>
      <c r="Q16" s="60">
        <f t="shared" si="12"/>
        <v>0</v>
      </c>
      <c r="R16" s="60">
        <f t="shared" si="14"/>
        <v>0</v>
      </c>
      <c r="T16" s="33"/>
      <c r="U16" s="33"/>
      <c r="V16" s="33" t="s">
        <v>450</v>
      </c>
      <c r="W16" s="33">
        <f>COUNTIFS($U:$U,V16)</f>
        <v>12</v>
      </c>
      <c r="Y16" s="2" t="s">
        <v>472</v>
      </c>
      <c r="Z16" s="2" t="s">
        <v>473</v>
      </c>
      <c r="AA16" s="104"/>
      <c r="AB16" s="2" t="s">
        <v>473</v>
      </c>
      <c r="AC16" s="251" t="s">
        <v>474</v>
      </c>
    </row>
    <row r="17" spans="3:29" ht="5.15" customHeight="1">
      <c r="C17" s="4"/>
      <c r="D17" s="9"/>
      <c r="E17" s="9"/>
      <c r="H17" s="9"/>
      <c r="I17" s="9"/>
      <c r="L17" s="9"/>
      <c r="M17" s="9"/>
      <c r="P17" s="9"/>
      <c r="Q17" s="9"/>
      <c r="T17" s="33"/>
      <c r="U17" s="33"/>
      <c r="V17" s="33"/>
    </row>
    <row r="18" spans="3:29">
      <c r="C18" s="20" t="s">
        <v>290</v>
      </c>
      <c r="T18" s="33"/>
      <c r="U18" s="33"/>
      <c r="V18" s="33"/>
    </row>
    <row r="19" spans="3:29">
      <c r="C19" s="29">
        <v>45322</v>
      </c>
      <c r="D19" s="14">
        <f>COUNTIFS('Full Events Detail'!$C:$C,$C19)</f>
        <v>0</v>
      </c>
      <c r="E19" s="97">
        <f>SUMIFS('Full Events Detail'!$F:$F,'Full Events Detail'!$C:$C,$C19)</f>
        <v>0</v>
      </c>
      <c r="F19" s="60">
        <f t="shared" ref="F19:F82" si="15">IFERROR(E19/D19,0)</f>
        <v>0</v>
      </c>
      <c r="H19" s="14">
        <f>COUNTIFS('Full Events Detail'!$C:$C,$C19,'Full Events Detail'!$G:$G,"&gt;"&amp;0)</f>
        <v>0</v>
      </c>
      <c r="I19" s="97">
        <f>SUMIFS('Full Events Detail'!$G:$G,'Full Events Detail'!$C:$C,$C19)</f>
        <v>0</v>
      </c>
      <c r="J19" s="60">
        <f t="shared" ref="J19" si="16">IFERROR(I19/H19,0)</f>
        <v>0</v>
      </c>
      <c r="L19" s="14">
        <f>COUNTIFS('Full Events Detail'!$C:$C,$C19,'Full Events Detail'!$H:$H,"&gt;"&amp;0)</f>
        <v>0</v>
      </c>
      <c r="M19" s="97">
        <f>SUMIFS('Full Events Detail'!$H:$H,'Full Events Detail'!$C:$C,$C19)</f>
        <v>0</v>
      </c>
      <c r="N19" s="60">
        <f t="shared" ref="N19:N82" si="17">IFERROR(M19/L19,0)</f>
        <v>0</v>
      </c>
      <c r="P19" s="32">
        <f>D19</f>
        <v>0</v>
      </c>
      <c r="Q19" s="60">
        <f>E19+I19+M19</f>
        <v>0</v>
      </c>
      <c r="R19" s="60">
        <f t="shared" ref="R19:R30" si="18">IFERROR(Q19/P19,0)</f>
        <v>0</v>
      </c>
      <c r="T19" s="33">
        <f t="shared" ref="T19:T66" si="19">YEAR(C19)</f>
        <v>2024</v>
      </c>
      <c r="U19" s="33"/>
      <c r="V19" s="275">
        <f>INDEX('Detailed P&amp;L'!$3:$3,MATCH($C19,'Detailed P&amp;L'!$9:$9,0))</f>
        <v>0</v>
      </c>
      <c r="Y19" s="255">
        <f t="shared" ref="Y19:Y42" si="20">IFERROR(P19/SUMIFS($P$19:$P$78,$T$19:$T$78,T19),"-")</f>
        <v>0</v>
      </c>
      <c r="Z19">
        <v>1</v>
      </c>
      <c r="AA19" s="255"/>
      <c r="AB19">
        <v>1</v>
      </c>
      <c r="AC19" s="254">
        <f>ROUND(AVERAGEIFS($Y$19:$Y$78,$Z$19:$Z$78,AB19),2)</f>
        <v>0</v>
      </c>
    </row>
    <row r="20" spans="3:29">
      <c r="C20" s="29">
        <f t="shared" ref="C20:C83" si="21">EOMONTH(C19,1)</f>
        <v>45351</v>
      </c>
      <c r="D20" s="14">
        <f>COUNTIFS('Full Events Detail'!$C:$C,$C20)</f>
        <v>3</v>
      </c>
      <c r="E20" s="97">
        <f>SUMIFS('Full Events Detail'!$F:$F,'Full Events Detail'!$C:$C,$C20)</f>
        <v>12126.65</v>
      </c>
      <c r="F20" s="60">
        <f t="shared" si="15"/>
        <v>4042.2166666666667</v>
      </c>
      <c r="H20" s="14">
        <f>COUNTIFS('Full Events Detail'!$C:$C,$C20,'Full Events Detail'!$G:$G,"&gt;"&amp;0)</f>
        <v>1</v>
      </c>
      <c r="I20" s="97">
        <f>SUMIFS('Full Events Detail'!$G:$G,'Full Events Detail'!$C:$C,$C20)</f>
        <v>4800</v>
      </c>
      <c r="J20" s="60">
        <f t="shared" ref="J20:J83" si="22">IFERROR(I20/H20,0)</f>
        <v>4800</v>
      </c>
      <c r="L20" s="14">
        <f>COUNTIFS('Full Events Detail'!$C:$C,$C20,'Full Events Detail'!$H:$H,"&gt;"&amp;0)</f>
        <v>1</v>
      </c>
      <c r="M20" s="97">
        <f>SUMIFS('Full Events Detail'!$H:$H,'Full Events Detail'!$C:$C,$C20)</f>
        <v>1000</v>
      </c>
      <c r="N20" s="60">
        <f t="shared" si="17"/>
        <v>1000</v>
      </c>
      <c r="P20" s="32">
        <f t="shared" ref="P20:P83" si="23">D20</f>
        <v>3</v>
      </c>
      <c r="Q20" s="60">
        <f t="shared" ref="Q20:Q83" si="24">E20+I20+M20</f>
        <v>17926.650000000001</v>
      </c>
      <c r="R20" s="60">
        <f t="shared" si="18"/>
        <v>5975.55</v>
      </c>
      <c r="T20" s="33">
        <f t="shared" si="19"/>
        <v>2024</v>
      </c>
      <c r="U20" s="33"/>
      <c r="V20" s="275">
        <f>INDEX('Detailed P&amp;L'!$3:$3,MATCH($C20,'Detailed P&amp;L'!$9:$9,0))</f>
        <v>0</v>
      </c>
      <c r="Y20" s="255">
        <f t="shared" si="20"/>
        <v>7.1428571428571425E-2</v>
      </c>
      <c r="Z20">
        <f>Z19+1</f>
        <v>2</v>
      </c>
      <c r="AA20" s="255"/>
      <c r="AB20">
        <f>AB19+1</f>
        <v>2</v>
      </c>
      <c r="AC20" s="254">
        <f t="shared" ref="AC20:AC30" si="25">ROUND(AVERAGEIFS($Y$19:$Y$78,$Z$19:$Z$78,AB20),2)</f>
        <v>0.05</v>
      </c>
    </row>
    <row r="21" spans="3:29">
      <c r="C21" s="29">
        <f t="shared" si="21"/>
        <v>45382</v>
      </c>
      <c r="D21" s="14">
        <f>COUNTIFS('Full Events Detail'!$C:$C,$C21)</f>
        <v>5</v>
      </c>
      <c r="E21" s="97">
        <f>SUMIFS('Full Events Detail'!$F:$F,'Full Events Detail'!$C:$C,$C21)</f>
        <v>50200</v>
      </c>
      <c r="F21" s="60">
        <f t="shared" si="15"/>
        <v>10040</v>
      </c>
      <c r="H21" s="14">
        <f>COUNTIFS('Full Events Detail'!$C:$C,$C21,'Full Events Detail'!$G:$G,"&gt;"&amp;0)</f>
        <v>0</v>
      </c>
      <c r="I21" s="97">
        <f>SUMIFS('Full Events Detail'!$G:$G,'Full Events Detail'!$C:$C,$C21)</f>
        <v>0</v>
      </c>
      <c r="J21" s="60">
        <f t="shared" si="22"/>
        <v>0</v>
      </c>
      <c r="L21" s="14">
        <f>COUNTIFS('Full Events Detail'!$C:$C,$C21,'Full Events Detail'!$H:$H,"&gt;"&amp;0)</f>
        <v>0</v>
      </c>
      <c r="M21" s="97">
        <f>SUMIFS('Full Events Detail'!$H:$H,'Full Events Detail'!$C:$C,$C21)</f>
        <v>0</v>
      </c>
      <c r="N21" s="60">
        <f t="shared" si="17"/>
        <v>0</v>
      </c>
      <c r="P21" s="32">
        <f t="shared" si="23"/>
        <v>5</v>
      </c>
      <c r="Q21" s="60">
        <f t="shared" si="24"/>
        <v>50200</v>
      </c>
      <c r="R21" s="60">
        <f t="shared" si="18"/>
        <v>10040</v>
      </c>
      <c r="T21" s="33">
        <f t="shared" si="19"/>
        <v>2024</v>
      </c>
      <c r="U21" s="33"/>
      <c r="V21" s="275">
        <f>INDEX('Detailed P&amp;L'!$3:$3,MATCH($C21,'Detailed P&amp;L'!$9:$9,0))</f>
        <v>0</v>
      </c>
      <c r="Y21" s="255">
        <f t="shared" si="20"/>
        <v>0.11904761904761904</v>
      </c>
      <c r="Z21">
        <f t="shared" ref="Z21:AB30" si="26">Z20+1</f>
        <v>3</v>
      </c>
      <c r="AA21" s="255"/>
      <c r="AB21">
        <f t="shared" si="26"/>
        <v>3</v>
      </c>
      <c r="AC21" s="254">
        <f t="shared" si="25"/>
        <v>0.13</v>
      </c>
    </row>
    <row r="22" spans="3:29">
      <c r="C22" s="29">
        <f t="shared" si="21"/>
        <v>45412</v>
      </c>
      <c r="D22" s="14">
        <f>COUNTIFS('Full Events Detail'!$C:$C,$C22)</f>
        <v>4</v>
      </c>
      <c r="E22" s="97">
        <f>SUMIFS('Full Events Detail'!$F:$F,'Full Events Detail'!$C:$C,$C22)</f>
        <v>58600</v>
      </c>
      <c r="F22" s="60">
        <f t="shared" si="15"/>
        <v>14650</v>
      </c>
      <c r="H22" s="14">
        <f>COUNTIFS('Full Events Detail'!$C:$C,$C22,'Full Events Detail'!$G:$G,"&gt;"&amp;0)</f>
        <v>2</v>
      </c>
      <c r="I22" s="97">
        <f>SUMIFS('Full Events Detail'!$G:$G,'Full Events Detail'!$C:$C,$C22)</f>
        <v>10300</v>
      </c>
      <c r="J22" s="60">
        <f t="shared" si="22"/>
        <v>5150</v>
      </c>
      <c r="L22" s="14">
        <f>COUNTIFS('Full Events Detail'!$C:$C,$C22,'Full Events Detail'!$H:$H,"&gt;"&amp;0)</f>
        <v>3</v>
      </c>
      <c r="M22" s="97">
        <f>SUMIFS('Full Events Detail'!$H:$H,'Full Events Detail'!$C:$C,$C22)</f>
        <v>3929</v>
      </c>
      <c r="N22" s="60">
        <f t="shared" si="17"/>
        <v>1309.6666666666667</v>
      </c>
      <c r="P22" s="32">
        <f t="shared" si="23"/>
        <v>4</v>
      </c>
      <c r="Q22" s="60">
        <f t="shared" si="24"/>
        <v>72829</v>
      </c>
      <c r="R22" s="60">
        <f t="shared" si="18"/>
        <v>18207.25</v>
      </c>
      <c r="T22" s="33">
        <f t="shared" si="19"/>
        <v>2024</v>
      </c>
      <c r="U22" s="33"/>
      <c r="V22" s="275">
        <f>INDEX('Detailed P&amp;L'!$3:$3,MATCH($C22,'Detailed P&amp;L'!$9:$9,0))</f>
        <v>0</v>
      </c>
      <c r="Y22" s="255">
        <f t="shared" si="20"/>
        <v>9.5238095238095233E-2</v>
      </c>
      <c r="Z22">
        <f t="shared" si="26"/>
        <v>4</v>
      </c>
      <c r="AA22" s="255"/>
      <c r="AB22">
        <f t="shared" si="26"/>
        <v>4</v>
      </c>
      <c r="AC22" s="254">
        <f t="shared" si="25"/>
        <v>0.11</v>
      </c>
    </row>
    <row r="23" spans="3:29">
      <c r="C23" s="29">
        <f t="shared" si="21"/>
        <v>45443</v>
      </c>
      <c r="D23" s="14">
        <f>COUNTIFS('Full Events Detail'!$C:$C,$C23)</f>
        <v>8</v>
      </c>
      <c r="E23" s="97">
        <f>SUMIFS('Full Events Detail'!$F:$F,'Full Events Detail'!$C:$C,$C23)</f>
        <v>52982</v>
      </c>
      <c r="F23" s="60">
        <f t="shared" si="15"/>
        <v>6622.75</v>
      </c>
      <c r="H23" s="14">
        <f>COUNTIFS('Full Events Detail'!$C:$C,$C23,'Full Events Detail'!$G:$G,"&gt;"&amp;0)</f>
        <v>1</v>
      </c>
      <c r="I23" s="97">
        <f>SUMIFS('Full Events Detail'!$G:$G,'Full Events Detail'!$C:$C,$C23)</f>
        <v>4700</v>
      </c>
      <c r="J23" s="60">
        <f t="shared" si="22"/>
        <v>4700</v>
      </c>
      <c r="L23" s="14">
        <f>COUNTIFS('Full Events Detail'!$C:$C,$C23,'Full Events Detail'!$H:$H,"&gt;"&amp;0)</f>
        <v>1</v>
      </c>
      <c r="M23" s="97">
        <f>SUMIFS('Full Events Detail'!$H:$H,'Full Events Detail'!$C:$C,$C23)</f>
        <v>520</v>
      </c>
      <c r="N23" s="60">
        <f t="shared" si="17"/>
        <v>520</v>
      </c>
      <c r="P23" s="32">
        <f t="shared" si="23"/>
        <v>8</v>
      </c>
      <c r="Q23" s="60">
        <f t="shared" si="24"/>
        <v>58202</v>
      </c>
      <c r="R23" s="60">
        <f t="shared" si="18"/>
        <v>7275.25</v>
      </c>
      <c r="T23" s="33">
        <f t="shared" si="19"/>
        <v>2024</v>
      </c>
      <c r="U23" s="33"/>
      <c r="V23" s="275">
        <f>INDEX('Detailed P&amp;L'!$3:$3,MATCH($C23,'Detailed P&amp;L'!$9:$9,0))</f>
        <v>0</v>
      </c>
      <c r="Y23" s="255">
        <f t="shared" si="20"/>
        <v>0.19047619047619047</v>
      </c>
      <c r="Z23">
        <f t="shared" si="26"/>
        <v>5</v>
      </c>
      <c r="AA23" s="255"/>
      <c r="AB23">
        <f t="shared" si="26"/>
        <v>5</v>
      </c>
      <c r="AC23" s="254">
        <f t="shared" si="25"/>
        <v>0.23</v>
      </c>
    </row>
    <row r="24" spans="3:29">
      <c r="C24" s="29">
        <f t="shared" si="21"/>
        <v>45473</v>
      </c>
      <c r="D24" s="14">
        <f>COUNTIFS('Full Events Detail'!$C:$C,$C24)</f>
        <v>6</v>
      </c>
      <c r="E24" s="97">
        <f>SUMIFS('Full Events Detail'!$F:$F,'Full Events Detail'!$C:$C,$C24)</f>
        <v>82000</v>
      </c>
      <c r="F24" s="60">
        <f t="shared" si="15"/>
        <v>13666.666666666666</v>
      </c>
      <c r="H24" s="14">
        <f>COUNTIFS('Full Events Detail'!$C:$C,$C24,'Full Events Detail'!$G:$G,"&gt;"&amp;0)</f>
        <v>1</v>
      </c>
      <c r="I24" s="97">
        <f>SUMIFS('Full Events Detail'!$G:$G,'Full Events Detail'!$C:$C,$C24)</f>
        <v>3800</v>
      </c>
      <c r="J24" s="60">
        <f t="shared" si="22"/>
        <v>3800</v>
      </c>
      <c r="L24" s="14">
        <f>COUNTIFS('Full Events Detail'!$C:$C,$C24,'Full Events Detail'!$H:$H,"&gt;"&amp;0)</f>
        <v>1</v>
      </c>
      <c r="M24" s="97">
        <f>SUMIFS('Full Events Detail'!$H:$H,'Full Events Detail'!$C:$C,$C24)</f>
        <v>1248</v>
      </c>
      <c r="N24" s="60">
        <f t="shared" si="17"/>
        <v>1248</v>
      </c>
      <c r="P24" s="32">
        <f t="shared" si="23"/>
        <v>6</v>
      </c>
      <c r="Q24" s="60">
        <f t="shared" si="24"/>
        <v>87048</v>
      </c>
      <c r="R24" s="60">
        <f t="shared" si="18"/>
        <v>14508</v>
      </c>
      <c r="T24" s="33">
        <f t="shared" si="19"/>
        <v>2024</v>
      </c>
      <c r="U24" s="33"/>
      <c r="V24" s="275">
        <f>INDEX('Detailed P&amp;L'!$3:$3,MATCH($C24,'Detailed P&amp;L'!$9:$9,0))</f>
        <v>0</v>
      </c>
      <c r="Y24" s="255">
        <f t="shared" si="20"/>
        <v>0.14285714285714285</v>
      </c>
      <c r="Z24">
        <f t="shared" si="26"/>
        <v>6</v>
      </c>
      <c r="AA24" s="255"/>
      <c r="AB24">
        <f t="shared" si="26"/>
        <v>6</v>
      </c>
      <c r="AC24" s="254">
        <f t="shared" si="25"/>
        <v>0.13</v>
      </c>
    </row>
    <row r="25" spans="3:29">
      <c r="C25" s="29">
        <f t="shared" si="21"/>
        <v>45504</v>
      </c>
      <c r="D25" s="14">
        <f>COUNTIFS('Full Events Detail'!$C:$C,$C25)</f>
        <v>1</v>
      </c>
      <c r="E25" s="97">
        <f>SUMIFS('Full Events Detail'!$F:$F,'Full Events Detail'!$C:$C,$C25)</f>
        <v>14000</v>
      </c>
      <c r="F25" s="60">
        <f t="shared" si="15"/>
        <v>14000</v>
      </c>
      <c r="H25" s="14">
        <f>COUNTIFS('Full Events Detail'!$C:$C,$C25,'Full Events Detail'!$G:$G,"&gt;"&amp;0)</f>
        <v>1</v>
      </c>
      <c r="I25" s="97">
        <f>SUMIFS('Full Events Detail'!$G:$G,'Full Events Detail'!$C:$C,$C25)</f>
        <v>5100</v>
      </c>
      <c r="J25" s="60">
        <f t="shared" si="22"/>
        <v>5100</v>
      </c>
      <c r="L25" s="14">
        <f>COUNTIFS('Full Events Detail'!$C:$C,$C25,'Full Events Detail'!$H:$H,"&gt;"&amp;0)</f>
        <v>1</v>
      </c>
      <c r="M25" s="97">
        <f>SUMIFS('Full Events Detail'!$H:$H,'Full Events Detail'!$C:$C,$C25)</f>
        <v>1079.67</v>
      </c>
      <c r="N25" s="60">
        <f t="shared" si="17"/>
        <v>1079.67</v>
      </c>
      <c r="P25" s="32">
        <f t="shared" si="23"/>
        <v>1</v>
      </c>
      <c r="Q25" s="60">
        <f t="shared" si="24"/>
        <v>20179.669999999998</v>
      </c>
      <c r="R25" s="60">
        <f t="shared" si="18"/>
        <v>20179.669999999998</v>
      </c>
      <c r="T25" s="33">
        <f t="shared" si="19"/>
        <v>2024</v>
      </c>
      <c r="U25" s="33"/>
      <c r="V25" s="275">
        <f>INDEX('Detailed P&amp;L'!$3:$3,MATCH($C25,'Detailed P&amp;L'!$9:$9,0))</f>
        <v>0</v>
      </c>
      <c r="Y25" s="255">
        <f t="shared" si="20"/>
        <v>2.3809523809523808E-2</v>
      </c>
      <c r="Z25">
        <f t="shared" si="26"/>
        <v>7</v>
      </c>
      <c r="AA25" s="255"/>
      <c r="AB25">
        <f t="shared" si="26"/>
        <v>7</v>
      </c>
      <c r="AC25" s="254">
        <f t="shared" si="25"/>
        <v>0.05</v>
      </c>
    </row>
    <row r="26" spans="3:29">
      <c r="C26" s="29">
        <f t="shared" si="21"/>
        <v>45535</v>
      </c>
      <c r="D26" s="14">
        <f>COUNTIFS('Full Events Detail'!$C:$C,$C26)</f>
        <v>0</v>
      </c>
      <c r="E26" s="97">
        <f>SUMIFS('Full Events Detail'!$F:$F,'Full Events Detail'!$C:$C,$C26)</f>
        <v>0</v>
      </c>
      <c r="F26" s="60">
        <f t="shared" si="15"/>
        <v>0</v>
      </c>
      <c r="H26" s="14">
        <f>COUNTIFS('Full Events Detail'!$C:$C,$C26,'Full Events Detail'!$G:$G,"&gt;"&amp;0)</f>
        <v>0</v>
      </c>
      <c r="I26" s="97">
        <f>SUMIFS('Full Events Detail'!$G:$G,'Full Events Detail'!$C:$C,$C26)</f>
        <v>0</v>
      </c>
      <c r="J26" s="60">
        <f t="shared" si="22"/>
        <v>0</v>
      </c>
      <c r="L26" s="14">
        <f>COUNTIFS('Full Events Detail'!$C:$C,$C26,'Full Events Detail'!$H:$H,"&gt;"&amp;0)</f>
        <v>0</v>
      </c>
      <c r="M26" s="97">
        <f>SUMIFS('Full Events Detail'!$H:$H,'Full Events Detail'!$C:$C,$C26)</f>
        <v>0</v>
      </c>
      <c r="N26" s="60">
        <f t="shared" si="17"/>
        <v>0</v>
      </c>
      <c r="P26" s="32">
        <f t="shared" si="23"/>
        <v>0</v>
      </c>
      <c r="Q26" s="60">
        <f t="shared" si="24"/>
        <v>0</v>
      </c>
      <c r="R26" s="60">
        <f t="shared" si="18"/>
        <v>0</v>
      </c>
      <c r="T26" s="33">
        <f t="shared" si="19"/>
        <v>2024</v>
      </c>
      <c r="U26" s="33"/>
      <c r="V26" s="275">
        <f>INDEX('Detailed P&amp;L'!$3:$3,MATCH($C26,'Detailed P&amp;L'!$9:$9,0))</f>
        <v>0</v>
      </c>
      <c r="Y26" s="255">
        <f t="shared" si="20"/>
        <v>0</v>
      </c>
      <c r="Z26">
        <f t="shared" si="26"/>
        <v>8</v>
      </c>
      <c r="AA26" s="255"/>
      <c r="AB26">
        <f t="shared" si="26"/>
        <v>8</v>
      </c>
      <c r="AC26" s="254">
        <f t="shared" si="25"/>
        <v>0.02</v>
      </c>
    </row>
    <row r="27" spans="3:29">
      <c r="C27" s="29">
        <f t="shared" si="21"/>
        <v>45565</v>
      </c>
      <c r="D27" s="14">
        <f>COUNTIFS('Full Events Detail'!$C:$C,$C27)</f>
        <v>2</v>
      </c>
      <c r="E27" s="97">
        <f>SUMIFS('Full Events Detail'!$F:$F,'Full Events Detail'!$C:$C,$C27)</f>
        <v>28000</v>
      </c>
      <c r="F27" s="60">
        <f t="shared" si="15"/>
        <v>14000</v>
      </c>
      <c r="H27" s="14">
        <f>COUNTIFS('Full Events Detail'!$C:$C,$C27,'Full Events Detail'!$G:$G,"&gt;"&amp;0)</f>
        <v>1</v>
      </c>
      <c r="I27" s="97">
        <f>SUMIFS('Full Events Detail'!$G:$G,'Full Events Detail'!$C:$C,$C27)</f>
        <v>2184</v>
      </c>
      <c r="J27" s="60">
        <f t="shared" si="22"/>
        <v>2184</v>
      </c>
      <c r="L27" s="14">
        <f>COUNTIFS('Full Events Detail'!$C:$C,$C27,'Full Events Detail'!$H:$H,"&gt;"&amp;0)</f>
        <v>1</v>
      </c>
      <c r="M27" s="97">
        <f>SUMIFS('Full Events Detail'!$H:$H,'Full Events Detail'!$C:$C,$C27)</f>
        <v>1450</v>
      </c>
      <c r="N27" s="60">
        <f t="shared" si="17"/>
        <v>1450</v>
      </c>
      <c r="P27" s="32">
        <f t="shared" si="23"/>
        <v>2</v>
      </c>
      <c r="Q27" s="60">
        <f t="shared" si="24"/>
        <v>31634</v>
      </c>
      <c r="R27" s="60">
        <f t="shared" si="18"/>
        <v>15817</v>
      </c>
      <c r="T27" s="33">
        <f t="shared" si="19"/>
        <v>2024</v>
      </c>
      <c r="U27" s="33"/>
      <c r="V27" s="275">
        <f>INDEX('Detailed P&amp;L'!$3:$3,MATCH($C27,'Detailed P&amp;L'!$9:$9,0))</f>
        <v>0</v>
      </c>
      <c r="Y27" s="255">
        <f t="shared" si="20"/>
        <v>4.7619047619047616E-2</v>
      </c>
      <c r="Z27">
        <f t="shared" si="26"/>
        <v>9</v>
      </c>
      <c r="AA27" s="255"/>
      <c r="AB27">
        <f t="shared" si="26"/>
        <v>9</v>
      </c>
      <c r="AC27" s="254">
        <f t="shared" si="25"/>
        <v>0.05</v>
      </c>
    </row>
    <row r="28" spans="3:29">
      <c r="C28" s="29">
        <f t="shared" si="21"/>
        <v>45596</v>
      </c>
      <c r="D28" s="14">
        <f>COUNTIFS('Full Events Detail'!$C:$C,$C28)</f>
        <v>6</v>
      </c>
      <c r="E28" s="97">
        <f>SUMIFS('Full Events Detail'!$F:$F,'Full Events Detail'!$C:$C,$C28)</f>
        <v>44356</v>
      </c>
      <c r="F28" s="60">
        <f t="shared" si="15"/>
        <v>7392.666666666667</v>
      </c>
      <c r="H28" s="14">
        <f>COUNTIFS('Full Events Detail'!$C:$C,$C28,'Full Events Detail'!$G:$G,"&gt;"&amp;0)</f>
        <v>2</v>
      </c>
      <c r="I28" s="97">
        <f>SUMIFS('Full Events Detail'!$G:$G,'Full Events Detail'!$C:$C,$C28)</f>
        <v>10376</v>
      </c>
      <c r="J28" s="60">
        <f t="shared" si="22"/>
        <v>5188</v>
      </c>
      <c r="L28" s="14">
        <f>COUNTIFS('Full Events Detail'!$C:$C,$C28,'Full Events Detail'!$H:$H,"&gt;"&amp;0)</f>
        <v>2</v>
      </c>
      <c r="M28" s="97">
        <f>SUMIFS('Full Events Detail'!$H:$H,'Full Events Detail'!$C:$C,$C28)</f>
        <v>2032</v>
      </c>
      <c r="N28" s="60">
        <f t="shared" si="17"/>
        <v>1016</v>
      </c>
      <c r="P28" s="32">
        <f t="shared" si="23"/>
        <v>6</v>
      </c>
      <c r="Q28" s="60">
        <f t="shared" si="24"/>
        <v>56764</v>
      </c>
      <c r="R28" s="60">
        <f t="shared" si="18"/>
        <v>9460.6666666666661</v>
      </c>
      <c r="T28" s="33">
        <f t="shared" si="19"/>
        <v>2024</v>
      </c>
      <c r="U28" s="33"/>
      <c r="V28" s="275">
        <f>INDEX('Detailed P&amp;L'!$3:$3,MATCH($C28,'Detailed P&amp;L'!$9:$9,0))</f>
        <v>0</v>
      </c>
      <c r="Y28" s="255">
        <f t="shared" si="20"/>
        <v>0.14285714285714285</v>
      </c>
      <c r="Z28">
        <f t="shared" si="26"/>
        <v>10</v>
      </c>
      <c r="AA28" s="255"/>
      <c r="AB28">
        <f t="shared" si="26"/>
        <v>10</v>
      </c>
      <c r="AC28" s="254">
        <f t="shared" si="25"/>
        <v>0.12</v>
      </c>
    </row>
    <row r="29" spans="3:29">
      <c r="C29" s="29">
        <f t="shared" si="21"/>
        <v>45626</v>
      </c>
      <c r="D29" s="14">
        <f>COUNTIFS('Full Events Detail'!$C:$C,$C29)</f>
        <v>1</v>
      </c>
      <c r="E29" s="97">
        <f>SUMIFS('Full Events Detail'!$F:$F,'Full Events Detail'!$C:$C,$C29)</f>
        <v>600</v>
      </c>
      <c r="F29" s="60">
        <f t="shared" si="15"/>
        <v>600</v>
      </c>
      <c r="H29" s="14">
        <f>COUNTIFS('Full Events Detail'!$C:$C,$C29,'Full Events Detail'!$G:$G,"&gt;"&amp;0)</f>
        <v>0</v>
      </c>
      <c r="I29" s="97">
        <f>SUMIFS('Full Events Detail'!$G:$G,'Full Events Detail'!$C:$C,$C29)</f>
        <v>0</v>
      </c>
      <c r="J29" s="60">
        <f t="shared" si="22"/>
        <v>0</v>
      </c>
      <c r="L29" s="14">
        <f>COUNTIFS('Full Events Detail'!$C:$C,$C29,'Full Events Detail'!$H:$H,"&gt;"&amp;0)</f>
        <v>0</v>
      </c>
      <c r="M29" s="97">
        <f>SUMIFS('Full Events Detail'!$H:$H,'Full Events Detail'!$C:$C,$C29)</f>
        <v>0</v>
      </c>
      <c r="N29" s="60">
        <f t="shared" si="17"/>
        <v>0</v>
      </c>
      <c r="P29" s="32">
        <f t="shared" si="23"/>
        <v>1</v>
      </c>
      <c r="Q29" s="60">
        <f t="shared" si="24"/>
        <v>600</v>
      </c>
      <c r="R29" s="60">
        <f t="shared" si="18"/>
        <v>600</v>
      </c>
      <c r="T29" s="33">
        <f t="shared" si="19"/>
        <v>2024</v>
      </c>
      <c r="U29" s="33"/>
      <c r="V29" s="275">
        <f>INDEX('Detailed P&amp;L'!$3:$3,MATCH($C29,'Detailed P&amp;L'!$9:$9,0))</f>
        <v>0</v>
      </c>
      <c r="Y29" s="255">
        <f t="shared" si="20"/>
        <v>2.3809523809523808E-2</v>
      </c>
      <c r="Z29">
        <f t="shared" si="26"/>
        <v>11</v>
      </c>
      <c r="AA29" s="255"/>
      <c r="AB29">
        <f t="shared" si="26"/>
        <v>11</v>
      </c>
      <c r="AC29" s="254">
        <f t="shared" si="25"/>
        <v>0.05</v>
      </c>
    </row>
    <row r="30" spans="3:29">
      <c r="C30" s="29">
        <f t="shared" si="21"/>
        <v>45657</v>
      </c>
      <c r="D30" s="14">
        <f>COUNTIFS('Full Events Detail'!$C:$C,$C30)</f>
        <v>6</v>
      </c>
      <c r="E30" s="97">
        <f>SUMIFS('Full Events Detail'!$F:$F,'Full Events Detail'!$C:$C,$C30)</f>
        <v>9895</v>
      </c>
      <c r="F30" s="60">
        <f t="shared" si="15"/>
        <v>1649.1666666666667</v>
      </c>
      <c r="H30" s="14">
        <f>COUNTIFS('Full Events Detail'!$C:$C,$C30,'Full Events Detail'!$G:$G,"&gt;"&amp;0)</f>
        <v>0</v>
      </c>
      <c r="I30" s="97">
        <f>SUMIFS('Full Events Detail'!$G:$G,'Full Events Detail'!$C:$C,$C30)</f>
        <v>0</v>
      </c>
      <c r="J30" s="60">
        <f t="shared" si="22"/>
        <v>0</v>
      </c>
      <c r="L30" s="14">
        <f>COUNTIFS('Full Events Detail'!$C:$C,$C30,'Full Events Detail'!$H:$H,"&gt;"&amp;0)</f>
        <v>0</v>
      </c>
      <c r="M30" s="97">
        <f>SUMIFS('Full Events Detail'!$H:$H,'Full Events Detail'!$C:$C,$C30)</f>
        <v>0</v>
      </c>
      <c r="N30" s="60">
        <f t="shared" si="17"/>
        <v>0</v>
      </c>
      <c r="P30" s="32">
        <f t="shared" si="23"/>
        <v>6</v>
      </c>
      <c r="Q30" s="60">
        <f t="shared" si="24"/>
        <v>9895</v>
      </c>
      <c r="R30" s="60">
        <f t="shared" si="18"/>
        <v>1649.1666666666667</v>
      </c>
      <c r="T30" s="33">
        <f t="shared" si="19"/>
        <v>2024</v>
      </c>
      <c r="U30" s="33"/>
      <c r="V30" s="275">
        <f>INDEX('Detailed P&amp;L'!$3:$3,MATCH($C30,'Detailed P&amp;L'!$9:$9,0))</f>
        <v>0</v>
      </c>
      <c r="Y30" s="255">
        <f t="shared" si="20"/>
        <v>0.14285714285714285</v>
      </c>
      <c r="Z30">
        <f t="shared" si="26"/>
        <v>12</v>
      </c>
      <c r="AA30" s="255"/>
      <c r="AB30">
        <f t="shared" si="26"/>
        <v>12</v>
      </c>
      <c r="AC30" s="254">
        <f t="shared" si="25"/>
        <v>7.0000000000000007E-2</v>
      </c>
    </row>
    <row r="31" spans="3:29">
      <c r="C31" s="29">
        <f>EOMONTH(C30,1)</f>
        <v>45688</v>
      </c>
      <c r="D31" s="14">
        <f>COUNTIFS('Full Events Detail'!$C:$C,$C31)</f>
        <v>0</v>
      </c>
      <c r="E31" s="97">
        <f>SUMIFS('Full Events Detail'!$F:$F,'Full Events Detail'!$C:$C,$C31)</f>
        <v>0</v>
      </c>
      <c r="F31" s="60">
        <f t="shared" si="15"/>
        <v>0</v>
      </c>
      <c r="H31" s="14">
        <f>COUNTIFS('Full Events Detail'!$C:$C,$C31,'Full Events Detail'!$G:$G,"&gt;"&amp;0)</f>
        <v>0</v>
      </c>
      <c r="I31" s="97">
        <f>SUMIFS('Full Events Detail'!$G:$G,'Full Events Detail'!$C:$C,$C31)</f>
        <v>0</v>
      </c>
      <c r="J31" s="60">
        <f t="shared" si="22"/>
        <v>0</v>
      </c>
      <c r="L31" s="14">
        <f>COUNTIFS('Full Events Detail'!$C:$C,$C31,'Full Events Detail'!$H:$H,"&gt;"&amp;0)</f>
        <v>0</v>
      </c>
      <c r="M31" s="97">
        <f>SUMIFS('Full Events Detail'!$H:$H,'Full Events Detail'!$C:$C,$C31)</f>
        <v>0</v>
      </c>
      <c r="N31" s="60">
        <f t="shared" si="17"/>
        <v>0</v>
      </c>
      <c r="P31" s="32">
        <f t="shared" si="23"/>
        <v>0</v>
      </c>
      <c r="Q31" s="60">
        <f t="shared" si="24"/>
        <v>0</v>
      </c>
      <c r="R31" s="60">
        <f t="shared" ref="R31:R66" si="27">IFERROR(Q31/P31,0)</f>
        <v>0</v>
      </c>
      <c r="T31" s="33">
        <f t="shared" si="19"/>
        <v>2025</v>
      </c>
      <c r="U31" s="33"/>
      <c r="V31" s="275">
        <f>INDEX('Detailed P&amp;L'!$3:$3,MATCH($C31,'Detailed P&amp;L'!$9:$9,0))</f>
        <v>0</v>
      </c>
      <c r="Y31" s="255">
        <f t="shared" si="20"/>
        <v>0</v>
      </c>
      <c r="Z31">
        <f>Z19</f>
        <v>1</v>
      </c>
      <c r="AA31" s="255"/>
    </row>
    <row r="32" spans="3:29">
      <c r="C32" s="29">
        <f t="shared" si="21"/>
        <v>45716</v>
      </c>
      <c r="D32" s="14">
        <f>COUNTIFS('Full Events Detail'!$C:$C,$C32)</f>
        <v>1</v>
      </c>
      <c r="E32" s="97">
        <f>SUMIFS('Full Events Detail'!$F:$F,'Full Events Detail'!$C:$C,$C32)</f>
        <v>2415</v>
      </c>
      <c r="F32" s="60">
        <f t="shared" si="15"/>
        <v>2415</v>
      </c>
      <c r="H32" s="14">
        <f>COUNTIFS('Full Events Detail'!$C:$C,$C32,'Full Events Detail'!$G:$G,"&gt;"&amp;0)</f>
        <v>0</v>
      </c>
      <c r="I32" s="97">
        <f>SUMIFS('Full Events Detail'!$G:$G,'Full Events Detail'!$C:$C,$C32)</f>
        <v>0</v>
      </c>
      <c r="J32" s="60">
        <f t="shared" si="22"/>
        <v>0</v>
      </c>
      <c r="L32" s="14">
        <f>COUNTIFS('Full Events Detail'!$C:$C,$C32,'Full Events Detail'!$H:$H,"&gt;"&amp;0)</f>
        <v>0</v>
      </c>
      <c r="M32" s="97">
        <f>SUMIFS('Full Events Detail'!$H:$H,'Full Events Detail'!$C:$C,$C32)</f>
        <v>0</v>
      </c>
      <c r="N32" s="60">
        <f t="shared" si="17"/>
        <v>0</v>
      </c>
      <c r="P32" s="32">
        <f t="shared" si="23"/>
        <v>1</v>
      </c>
      <c r="Q32" s="60">
        <f t="shared" si="24"/>
        <v>2415</v>
      </c>
      <c r="R32" s="60">
        <f t="shared" si="27"/>
        <v>2415</v>
      </c>
      <c r="T32" s="33">
        <f t="shared" si="19"/>
        <v>2025</v>
      </c>
      <c r="U32" s="33"/>
      <c r="V32" s="275">
        <f>INDEX('Detailed P&amp;L'!$3:$3,MATCH($C32,'Detailed P&amp;L'!$9:$9,0))</f>
        <v>0</v>
      </c>
      <c r="Y32" s="255">
        <f t="shared" si="20"/>
        <v>2.3255813953488372E-2</v>
      </c>
      <c r="Z32">
        <f t="shared" ref="Z32:Z42" si="28">Z20</f>
        <v>2</v>
      </c>
      <c r="AA32" s="255"/>
    </row>
    <row r="33" spans="3:27">
      <c r="C33" s="29">
        <f t="shared" si="21"/>
        <v>45747</v>
      </c>
      <c r="D33" s="14">
        <f>COUNTIFS('Full Events Detail'!$C:$C,$C33)</f>
        <v>6</v>
      </c>
      <c r="E33" s="97">
        <f>SUMIFS('Full Events Detail'!$F:$F,'Full Events Detail'!$C:$C,$C33)</f>
        <v>26850</v>
      </c>
      <c r="F33" s="60">
        <f t="shared" si="15"/>
        <v>4475</v>
      </c>
      <c r="H33" s="14">
        <f>COUNTIFS('Full Events Detail'!$C:$C,$C33,'Full Events Detail'!$G:$G,"&gt;"&amp;0)</f>
        <v>1</v>
      </c>
      <c r="I33" s="97">
        <f>SUMIFS('Full Events Detail'!$G:$G,'Full Events Detail'!$C:$C,$C33)</f>
        <v>5000</v>
      </c>
      <c r="J33" s="60">
        <f t="shared" si="22"/>
        <v>5000</v>
      </c>
      <c r="L33" s="14">
        <f>COUNTIFS('Full Events Detail'!$C:$C,$C33,'Full Events Detail'!$H:$H,"&gt;"&amp;0)</f>
        <v>0</v>
      </c>
      <c r="M33" s="97">
        <f>SUMIFS('Full Events Detail'!$H:$H,'Full Events Detail'!$C:$C,$C33)</f>
        <v>0</v>
      </c>
      <c r="N33" s="60">
        <f t="shared" si="17"/>
        <v>0</v>
      </c>
      <c r="P33" s="32">
        <f t="shared" si="23"/>
        <v>6</v>
      </c>
      <c r="Q33" s="60">
        <f t="shared" si="24"/>
        <v>31850</v>
      </c>
      <c r="R33" s="60">
        <f t="shared" si="27"/>
        <v>5308.333333333333</v>
      </c>
      <c r="T33" s="33">
        <f t="shared" si="19"/>
        <v>2025</v>
      </c>
      <c r="U33" s="33"/>
      <c r="V33" s="275">
        <f>INDEX('Detailed P&amp;L'!$3:$3,MATCH($C33,'Detailed P&amp;L'!$9:$9,0))</f>
        <v>0</v>
      </c>
      <c r="Y33" s="255">
        <f t="shared" si="20"/>
        <v>0.13953488372093023</v>
      </c>
      <c r="Z33">
        <f t="shared" si="28"/>
        <v>3</v>
      </c>
      <c r="AA33" s="255"/>
    </row>
    <row r="34" spans="3:27">
      <c r="C34" s="29">
        <f t="shared" si="21"/>
        <v>45777</v>
      </c>
      <c r="D34" s="14">
        <f>COUNTIFS('Full Events Detail'!$C:$C,$C34)</f>
        <v>5</v>
      </c>
      <c r="E34" s="97">
        <f>SUMIFS('Full Events Detail'!$F:$F,'Full Events Detail'!$C:$C,$C34)</f>
        <v>56200</v>
      </c>
      <c r="F34" s="60">
        <f t="shared" si="15"/>
        <v>11240</v>
      </c>
      <c r="H34" s="14">
        <f>COUNTIFS('Full Events Detail'!$C:$C,$C34,'Full Events Detail'!$G:$G,"&gt;"&amp;0)</f>
        <v>3</v>
      </c>
      <c r="I34" s="97">
        <f>SUMIFS('Full Events Detail'!$G:$G,'Full Events Detail'!$C:$C,$C34)</f>
        <v>16100</v>
      </c>
      <c r="J34" s="60">
        <f t="shared" si="22"/>
        <v>5366.666666666667</v>
      </c>
      <c r="L34" s="14">
        <f>COUNTIFS('Full Events Detail'!$C:$C,$C34,'Full Events Detail'!$H:$H,"&gt;"&amp;0)</f>
        <v>1</v>
      </c>
      <c r="M34" s="97">
        <f>SUMIFS('Full Events Detail'!$H:$H,'Full Events Detail'!$C:$C,$C34)</f>
        <v>1248</v>
      </c>
      <c r="N34" s="60">
        <f t="shared" si="17"/>
        <v>1248</v>
      </c>
      <c r="P34" s="32">
        <f t="shared" si="23"/>
        <v>5</v>
      </c>
      <c r="Q34" s="60">
        <f t="shared" si="24"/>
        <v>73548</v>
      </c>
      <c r="R34" s="60">
        <f t="shared" si="27"/>
        <v>14709.6</v>
      </c>
      <c r="T34" s="33">
        <f t="shared" si="19"/>
        <v>2025</v>
      </c>
      <c r="U34" s="33"/>
      <c r="V34" s="275">
        <f>INDEX('Detailed P&amp;L'!$3:$3,MATCH($C34,'Detailed P&amp;L'!$9:$9,0))</f>
        <v>0</v>
      </c>
      <c r="Y34" s="255">
        <f t="shared" si="20"/>
        <v>0.11627906976744186</v>
      </c>
      <c r="Z34">
        <f t="shared" si="28"/>
        <v>4</v>
      </c>
      <c r="AA34" s="255"/>
    </row>
    <row r="35" spans="3:27">
      <c r="C35" s="29">
        <f t="shared" si="21"/>
        <v>45808</v>
      </c>
      <c r="D35" s="14">
        <f>COUNTIFS('Full Events Detail'!$C:$C,$C35)</f>
        <v>12</v>
      </c>
      <c r="E35" s="97">
        <f>SUMIFS('Full Events Detail'!$F:$F,'Full Events Detail'!$C:$C,$C35)</f>
        <v>86466</v>
      </c>
      <c r="F35" s="60">
        <f t="shared" si="15"/>
        <v>7205.5</v>
      </c>
      <c r="H35" s="14">
        <f>COUNTIFS('Full Events Detail'!$C:$C,$C35,'Full Events Detail'!$G:$G,"&gt;"&amp;0)</f>
        <v>3</v>
      </c>
      <c r="I35" s="97">
        <f>SUMIFS('Full Events Detail'!$G:$G,'Full Events Detail'!$C:$C,$C35)</f>
        <v>22350</v>
      </c>
      <c r="J35" s="60">
        <f t="shared" si="22"/>
        <v>7450</v>
      </c>
      <c r="L35" s="14">
        <f>COUNTIFS('Full Events Detail'!$C:$C,$C35,'Full Events Detail'!$H:$H,"&gt;"&amp;0)</f>
        <v>3</v>
      </c>
      <c r="M35" s="97">
        <f>SUMIFS('Full Events Detail'!$H:$H,'Full Events Detail'!$C:$C,$C35)</f>
        <v>4412.01</v>
      </c>
      <c r="N35" s="60">
        <f t="shared" si="17"/>
        <v>1470.67</v>
      </c>
      <c r="P35" s="32">
        <f t="shared" si="23"/>
        <v>12</v>
      </c>
      <c r="Q35" s="60">
        <f t="shared" si="24"/>
        <v>113228.01</v>
      </c>
      <c r="R35" s="60">
        <f t="shared" si="27"/>
        <v>9435.6674999999996</v>
      </c>
      <c r="T35" s="33">
        <f t="shared" si="19"/>
        <v>2025</v>
      </c>
      <c r="U35" s="33"/>
      <c r="V35" s="275">
        <f>INDEX('Detailed P&amp;L'!$3:$3,MATCH($C35,'Detailed P&amp;L'!$9:$9,0))</f>
        <v>0</v>
      </c>
      <c r="Y35" s="255">
        <f t="shared" si="20"/>
        <v>0.27906976744186046</v>
      </c>
      <c r="Z35">
        <f t="shared" si="28"/>
        <v>5</v>
      </c>
      <c r="AA35" s="255"/>
    </row>
    <row r="36" spans="3:27">
      <c r="C36" s="29">
        <f t="shared" si="21"/>
        <v>45838</v>
      </c>
      <c r="D36" s="14">
        <f>COUNTIFS('Full Events Detail'!$C:$C,$C36)</f>
        <v>5</v>
      </c>
      <c r="E36" s="97">
        <f>SUMIFS('Full Events Detail'!$F:$F,'Full Events Detail'!$C:$C,$C36)</f>
        <v>72150</v>
      </c>
      <c r="F36" s="60">
        <f t="shared" si="15"/>
        <v>14430</v>
      </c>
      <c r="H36" s="14">
        <f>COUNTIFS('Full Events Detail'!$C:$C,$C36,'Full Events Detail'!$G:$G,"&gt;"&amp;0)</f>
        <v>3</v>
      </c>
      <c r="I36" s="97">
        <f>SUMIFS('Full Events Detail'!$G:$G,'Full Events Detail'!$C:$C,$C36)</f>
        <v>15050</v>
      </c>
      <c r="J36" s="60">
        <f t="shared" si="22"/>
        <v>5016.666666666667</v>
      </c>
      <c r="L36" s="14">
        <f>COUNTIFS('Full Events Detail'!$C:$C,$C36,'Full Events Detail'!$H:$H,"&gt;"&amp;0)</f>
        <v>1</v>
      </c>
      <c r="M36" s="97">
        <f>SUMIFS('Full Events Detail'!$H:$H,'Full Events Detail'!$C:$C,$C36)</f>
        <v>3114</v>
      </c>
      <c r="N36" s="60">
        <f t="shared" si="17"/>
        <v>3114</v>
      </c>
      <c r="P36" s="32">
        <f t="shared" si="23"/>
        <v>5</v>
      </c>
      <c r="Q36" s="60">
        <f t="shared" si="24"/>
        <v>90314</v>
      </c>
      <c r="R36" s="60">
        <f t="shared" si="27"/>
        <v>18062.8</v>
      </c>
      <c r="T36" s="33">
        <f t="shared" si="19"/>
        <v>2025</v>
      </c>
      <c r="U36" s="33"/>
      <c r="V36" s="275">
        <f>INDEX('Detailed P&amp;L'!$3:$3,MATCH($C36,'Detailed P&amp;L'!$9:$9,0))</f>
        <v>0</v>
      </c>
      <c r="Y36" s="255">
        <f t="shared" si="20"/>
        <v>0.11627906976744186</v>
      </c>
      <c r="Z36">
        <f t="shared" si="28"/>
        <v>6</v>
      </c>
      <c r="AA36" s="255"/>
    </row>
    <row r="37" spans="3:27">
      <c r="C37" s="29">
        <f t="shared" si="21"/>
        <v>45869</v>
      </c>
      <c r="D37" s="14">
        <f>COUNTIFS('Full Events Detail'!$C:$C,$C37)</f>
        <v>3</v>
      </c>
      <c r="E37" s="97">
        <f>SUMIFS('Full Events Detail'!$F:$F,'Full Events Detail'!$C:$C,$C37)</f>
        <v>3800</v>
      </c>
      <c r="F37" s="60">
        <f t="shared" si="15"/>
        <v>1266.6666666666667</v>
      </c>
      <c r="H37" s="14">
        <f>COUNTIFS('Full Events Detail'!$C:$C,$C37,'Full Events Detail'!$G:$G,"&gt;"&amp;0)</f>
        <v>0</v>
      </c>
      <c r="I37" s="97">
        <f>SUMIFS('Full Events Detail'!$G:$G,'Full Events Detail'!$C:$C,$C37)</f>
        <v>0</v>
      </c>
      <c r="J37" s="60">
        <f t="shared" si="22"/>
        <v>0</v>
      </c>
      <c r="L37" s="14">
        <f>COUNTIFS('Full Events Detail'!$C:$C,$C37,'Full Events Detail'!$H:$H,"&gt;"&amp;0)</f>
        <v>0</v>
      </c>
      <c r="M37" s="97">
        <f>SUMIFS('Full Events Detail'!$H:$H,'Full Events Detail'!$C:$C,$C37)</f>
        <v>0</v>
      </c>
      <c r="N37" s="60">
        <f t="shared" si="17"/>
        <v>0</v>
      </c>
      <c r="P37" s="32">
        <f t="shared" si="23"/>
        <v>3</v>
      </c>
      <c r="Q37" s="60">
        <f t="shared" si="24"/>
        <v>3800</v>
      </c>
      <c r="R37" s="60">
        <f t="shared" si="27"/>
        <v>1266.6666666666667</v>
      </c>
      <c r="T37" s="33">
        <f t="shared" si="19"/>
        <v>2025</v>
      </c>
      <c r="U37" s="33"/>
      <c r="V37" s="275">
        <f>INDEX('Detailed P&amp;L'!$3:$3,MATCH($C37,'Detailed P&amp;L'!$9:$9,0))</f>
        <v>0</v>
      </c>
      <c r="Y37" s="255">
        <f t="shared" si="20"/>
        <v>6.9767441860465115E-2</v>
      </c>
      <c r="Z37">
        <f t="shared" si="28"/>
        <v>7</v>
      </c>
      <c r="AA37" s="255"/>
    </row>
    <row r="38" spans="3:27">
      <c r="C38" s="29">
        <f t="shared" si="21"/>
        <v>45900</v>
      </c>
      <c r="D38" s="14">
        <f>COUNTIFS('Full Events Detail'!$C:$C,$C38)</f>
        <v>2</v>
      </c>
      <c r="E38" s="97">
        <f>SUMIFS('Full Events Detail'!$F:$F,'Full Events Detail'!$C:$C,$C38)</f>
        <v>1800</v>
      </c>
      <c r="F38" s="60">
        <f t="shared" si="15"/>
        <v>900</v>
      </c>
      <c r="H38" s="14">
        <f>COUNTIFS('Full Events Detail'!$C:$C,$C38,'Full Events Detail'!$G:$G,"&gt;"&amp;0)</f>
        <v>0</v>
      </c>
      <c r="I38" s="97">
        <f>SUMIFS('Full Events Detail'!$G:$G,'Full Events Detail'!$C:$C,$C38)</f>
        <v>0</v>
      </c>
      <c r="J38" s="60">
        <f t="shared" si="22"/>
        <v>0</v>
      </c>
      <c r="L38" s="14">
        <f>COUNTIFS('Full Events Detail'!$C:$C,$C38,'Full Events Detail'!$H:$H,"&gt;"&amp;0)</f>
        <v>0</v>
      </c>
      <c r="M38" s="97">
        <f>SUMIFS('Full Events Detail'!$H:$H,'Full Events Detail'!$C:$C,$C38)</f>
        <v>0</v>
      </c>
      <c r="N38" s="60">
        <f t="shared" si="17"/>
        <v>0</v>
      </c>
      <c r="P38" s="32">
        <f t="shared" si="23"/>
        <v>2</v>
      </c>
      <c r="Q38" s="60">
        <f t="shared" si="24"/>
        <v>1800</v>
      </c>
      <c r="R38" s="60">
        <f t="shared" si="27"/>
        <v>900</v>
      </c>
      <c r="T38" s="33">
        <f t="shared" si="19"/>
        <v>2025</v>
      </c>
      <c r="U38" s="33" t="s">
        <v>293</v>
      </c>
      <c r="V38" s="275" t="str">
        <f>INDEX('Detailed P&amp;L'!$3:$3,MATCH($C38,'Detailed P&amp;L'!$9:$9,0))</f>
        <v>LTM</v>
      </c>
      <c r="Y38" s="255">
        <f t="shared" si="20"/>
        <v>4.6511627906976744E-2</v>
      </c>
      <c r="Z38">
        <f t="shared" si="28"/>
        <v>8</v>
      </c>
      <c r="AA38" s="255"/>
    </row>
    <row r="39" spans="3:27">
      <c r="C39" s="29">
        <f t="shared" si="21"/>
        <v>45930</v>
      </c>
      <c r="D39" s="14">
        <f>COUNTIFS('Full Events Detail'!$C:$C,$C39)</f>
        <v>2</v>
      </c>
      <c r="E39" s="97">
        <f>SUMIFS('Full Events Detail'!$F:$F,'Full Events Detail'!$C:$C,$C39)</f>
        <v>2200</v>
      </c>
      <c r="F39" s="60">
        <f t="shared" si="15"/>
        <v>1100</v>
      </c>
      <c r="H39" s="14">
        <f>COUNTIFS('Full Events Detail'!$C:$C,$C39,'Full Events Detail'!$G:$G,"&gt;"&amp;0)</f>
        <v>0</v>
      </c>
      <c r="I39" s="97">
        <f>SUMIFS('Full Events Detail'!$G:$G,'Full Events Detail'!$C:$C,$C39)</f>
        <v>0</v>
      </c>
      <c r="J39" s="60">
        <f t="shared" si="22"/>
        <v>0</v>
      </c>
      <c r="L39" s="14">
        <f>COUNTIFS('Full Events Detail'!$C:$C,$C39,'Full Events Detail'!$H:$H,"&gt;"&amp;0)</f>
        <v>0</v>
      </c>
      <c r="M39" s="97">
        <f>SUMIFS('Full Events Detail'!$H:$H,'Full Events Detail'!$C:$C,$C39)</f>
        <v>0</v>
      </c>
      <c r="N39" s="60">
        <f t="shared" si="17"/>
        <v>0</v>
      </c>
      <c r="P39" s="32">
        <f t="shared" si="23"/>
        <v>2</v>
      </c>
      <c r="Q39" s="60">
        <f t="shared" si="24"/>
        <v>2200</v>
      </c>
      <c r="R39" s="60">
        <f t="shared" si="27"/>
        <v>1100</v>
      </c>
      <c r="T39" s="33">
        <f t="shared" si="19"/>
        <v>2025</v>
      </c>
      <c r="U39" s="33" t="s">
        <v>293</v>
      </c>
      <c r="V39" s="275" t="str">
        <f>INDEX('Detailed P&amp;L'!$3:$3,MATCH($C39,'Detailed P&amp;L'!$9:$9,0))</f>
        <v>LTM</v>
      </c>
      <c r="Y39" s="255">
        <f t="shared" si="20"/>
        <v>4.6511627906976744E-2</v>
      </c>
      <c r="Z39">
        <f t="shared" si="28"/>
        <v>9</v>
      </c>
      <c r="AA39" s="255"/>
    </row>
    <row r="40" spans="3:27">
      <c r="C40" s="29">
        <f t="shared" si="21"/>
        <v>45961</v>
      </c>
      <c r="D40" s="14">
        <f>COUNTIFS('Full Events Detail'!$C:$C,$C40)</f>
        <v>4</v>
      </c>
      <c r="E40" s="97">
        <f>SUMIFS('Full Events Detail'!$F:$F,'Full Events Detail'!$C:$C,$C40)</f>
        <v>45630</v>
      </c>
      <c r="F40" s="60">
        <f t="shared" si="15"/>
        <v>11407.5</v>
      </c>
      <c r="H40" s="14">
        <f>COUNTIFS('Full Events Detail'!$C:$C,$C40,'Full Events Detail'!$G:$G,"&gt;"&amp;0)</f>
        <v>2</v>
      </c>
      <c r="I40" s="97">
        <f>SUMIFS('Full Events Detail'!$G:$G,'Full Events Detail'!$C:$C,$C40)</f>
        <v>5100</v>
      </c>
      <c r="J40" s="60">
        <f t="shared" si="22"/>
        <v>2550</v>
      </c>
      <c r="L40" s="14">
        <f>COUNTIFS('Full Events Detail'!$C:$C,$C40,'Full Events Detail'!$H:$H,"&gt;"&amp;0)</f>
        <v>3</v>
      </c>
      <c r="M40" s="97">
        <f>SUMIFS('Full Events Detail'!$H:$H,'Full Events Detail'!$C:$C,$C40)</f>
        <v>4516.5</v>
      </c>
      <c r="N40" s="60">
        <f t="shared" si="17"/>
        <v>1505.5</v>
      </c>
      <c r="P40" s="32">
        <f t="shared" si="23"/>
        <v>4</v>
      </c>
      <c r="Q40" s="60">
        <f t="shared" si="24"/>
        <v>55246.5</v>
      </c>
      <c r="R40" s="60">
        <f t="shared" si="27"/>
        <v>13811.625</v>
      </c>
      <c r="T40" s="33">
        <f t="shared" si="19"/>
        <v>2025</v>
      </c>
      <c r="U40" s="33" t="s">
        <v>293</v>
      </c>
      <c r="V40" s="275" t="str">
        <f>INDEX('Detailed P&amp;L'!$3:$3,MATCH($C40,'Detailed P&amp;L'!$9:$9,0))</f>
        <v>LTM</v>
      </c>
      <c r="Y40" s="255">
        <f t="shared" si="20"/>
        <v>9.3023255813953487E-2</v>
      </c>
      <c r="Z40">
        <f t="shared" si="28"/>
        <v>10</v>
      </c>
      <c r="AA40" s="255"/>
    </row>
    <row r="41" spans="3:27">
      <c r="C41" s="29">
        <f t="shared" si="21"/>
        <v>45991</v>
      </c>
      <c r="D41" s="14">
        <f>COUNTIFS('Full Events Detail'!$C:$C,$C41)</f>
        <v>3</v>
      </c>
      <c r="E41" s="97">
        <f>SUMIFS('Full Events Detail'!$F:$F,'Full Events Detail'!$C:$C,$C41)</f>
        <v>22463.63</v>
      </c>
      <c r="F41" s="60">
        <f t="shared" si="15"/>
        <v>7487.876666666667</v>
      </c>
      <c r="H41" s="14">
        <f>COUNTIFS('Full Events Detail'!$C:$C,$C41,'Full Events Detail'!$G:$G,"&gt;"&amp;0)</f>
        <v>1</v>
      </c>
      <c r="I41" s="97">
        <f>SUMIFS('Full Events Detail'!$G:$G,'Full Events Detail'!$C:$C,$C41)</f>
        <v>4200</v>
      </c>
      <c r="J41" s="60">
        <f t="shared" si="22"/>
        <v>4200</v>
      </c>
      <c r="L41" s="14">
        <f>COUNTIFS('Full Events Detail'!$C:$C,$C41,'Full Events Detail'!$H:$H,"&gt;"&amp;0)</f>
        <v>1</v>
      </c>
      <c r="M41" s="97">
        <f>SUMIFS('Full Events Detail'!$H:$H,'Full Events Detail'!$C:$C,$C41)</f>
        <v>2000</v>
      </c>
      <c r="N41" s="60">
        <f t="shared" si="17"/>
        <v>2000</v>
      </c>
      <c r="P41" s="32">
        <f t="shared" si="23"/>
        <v>3</v>
      </c>
      <c r="Q41" s="60">
        <f t="shared" si="24"/>
        <v>28663.63</v>
      </c>
      <c r="R41" s="60">
        <f t="shared" si="27"/>
        <v>9554.5433333333331</v>
      </c>
      <c r="T41" s="33">
        <f t="shared" si="19"/>
        <v>2025</v>
      </c>
      <c r="U41" s="33" t="s">
        <v>293</v>
      </c>
      <c r="V41" s="275" t="str">
        <f>INDEX('Detailed P&amp;L'!$3:$3,MATCH($C41,'Detailed P&amp;L'!$9:$9,0))</f>
        <v>LTM</v>
      </c>
      <c r="Y41" s="255">
        <f t="shared" si="20"/>
        <v>6.9767441860465115E-2</v>
      </c>
      <c r="Z41">
        <f t="shared" si="28"/>
        <v>11</v>
      </c>
      <c r="AA41" s="255"/>
    </row>
    <row r="42" spans="3:27">
      <c r="C42" s="29">
        <f t="shared" si="21"/>
        <v>46022</v>
      </c>
      <c r="D42" s="14">
        <f>COUNTIFS('Full Events Detail'!$C:$C,$C42)</f>
        <v>0</v>
      </c>
      <c r="E42" s="97">
        <f>SUMIFS('Full Events Detail'!$F:$F,'Full Events Detail'!$C:$C,$C42)</f>
        <v>0</v>
      </c>
      <c r="F42" s="60">
        <f t="shared" si="15"/>
        <v>0</v>
      </c>
      <c r="H42" s="14">
        <f>COUNTIFS('Full Events Detail'!$C:$C,$C42,'Full Events Detail'!$G:$G,"&gt;"&amp;0)</f>
        <v>0</v>
      </c>
      <c r="I42" s="97">
        <f>SUMIFS('Full Events Detail'!$G:$G,'Full Events Detail'!$C:$C,$C42)</f>
        <v>0</v>
      </c>
      <c r="J42" s="60">
        <f t="shared" si="22"/>
        <v>0</v>
      </c>
      <c r="L42" s="14">
        <f>COUNTIFS('Full Events Detail'!$C:$C,$C42,'Full Events Detail'!$H:$H,"&gt;"&amp;0)</f>
        <v>0</v>
      </c>
      <c r="M42" s="97">
        <f>SUMIFS('Full Events Detail'!$H:$H,'Full Events Detail'!$C:$C,$C42)</f>
        <v>0</v>
      </c>
      <c r="N42" s="60">
        <f t="shared" si="17"/>
        <v>0</v>
      </c>
      <c r="P42" s="32">
        <f t="shared" si="23"/>
        <v>0</v>
      </c>
      <c r="Q42" s="60">
        <f t="shared" si="24"/>
        <v>0</v>
      </c>
      <c r="R42" s="60">
        <f t="shared" si="27"/>
        <v>0</v>
      </c>
      <c r="T42" s="33">
        <f t="shared" si="19"/>
        <v>2025</v>
      </c>
      <c r="U42" s="33" t="s">
        <v>293</v>
      </c>
      <c r="V42" s="275" t="str">
        <f>INDEX('Detailed P&amp;L'!$3:$3,MATCH($C42,'Detailed P&amp;L'!$9:$9,0))</f>
        <v>LTM</v>
      </c>
      <c r="Y42" s="255">
        <f t="shared" si="20"/>
        <v>0</v>
      </c>
      <c r="Z42">
        <f t="shared" si="28"/>
        <v>12</v>
      </c>
      <c r="AA42" s="255"/>
    </row>
    <row r="43" spans="3:27">
      <c r="C43" s="29">
        <f>EOMONTH(C42,1)</f>
        <v>46053</v>
      </c>
      <c r="D43" s="14">
        <f>COUNTIFS('Full Events Detail'!$C:$C,$C43)</f>
        <v>1</v>
      </c>
      <c r="E43" s="97">
        <f>SUMIFS('Full Events Detail'!$F:$F,'Full Events Detail'!$C:$C,$C43)</f>
        <v>16000</v>
      </c>
      <c r="F43" s="60">
        <f t="shared" si="15"/>
        <v>16000</v>
      </c>
      <c r="H43" s="14">
        <f>COUNTIFS('Full Events Detail'!$C:$C,$C43,'Full Events Detail'!$G:$G,"&gt;"&amp;0)</f>
        <v>1</v>
      </c>
      <c r="I43" s="97">
        <f>SUMIFS('Full Events Detail'!$G:$G,'Full Events Detail'!$C:$C,$C43)</f>
        <v>5900</v>
      </c>
      <c r="J43" s="60">
        <f t="shared" si="22"/>
        <v>5900</v>
      </c>
      <c r="L43" s="14">
        <f>COUNTIFS('Full Events Detail'!$C:$C,$C43,'Full Events Detail'!$H:$H,"&gt;"&amp;0)</f>
        <v>0</v>
      </c>
      <c r="M43" s="97">
        <f>SUMIFS('Full Events Detail'!$H:$H,'Full Events Detail'!$C:$C,$C43)</f>
        <v>0</v>
      </c>
      <c r="N43" s="60">
        <f t="shared" si="17"/>
        <v>0</v>
      </c>
      <c r="P43" s="32">
        <f t="shared" si="23"/>
        <v>1</v>
      </c>
      <c r="Q43" s="60">
        <f t="shared" si="24"/>
        <v>21900</v>
      </c>
      <c r="R43" s="60">
        <f t="shared" ref="R43" si="29">IFERROR(Q43/P43,0)</f>
        <v>21900</v>
      </c>
      <c r="T43" s="33">
        <f t="shared" si="19"/>
        <v>2026</v>
      </c>
      <c r="U43" s="33" t="s">
        <v>293</v>
      </c>
      <c r="V43" s="275" t="str">
        <f>INDEX('Detailed P&amp;L'!$3:$3,MATCH($C43,'Detailed P&amp;L'!$9:$9,0))</f>
        <v>LTM</v>
      </c>
      <c r="Y43" s="255"/>
      <c r="AA43" s="255"/>
    </row>
    <row r="44" spans="3:27">
      <c r="C44" s="29">
        <f t="shared" si="21"/>
        <v>46081</v>
      </c>
      <c r="D44" s="14">
        <f>COUNTIFS('Full Events Detail'!$C:$C,$C44)</f>
        <v>1</v>
      </c>
      <c r="E44" s="97">
        <f>SUMIFS('Full Events Detail'!$F:$F,'Full Events Detail'!$C:$C,$C44)</f>
        <v>600</v>
      </c>
      <c r="F44" s="60">
        <f t="shared" si="15"/>
        <v>600</v>
      </c>
      <c r="H44" s="14">
        <f>COUNTIFS('Full Events Detail'!$C:$C,$C44,'Full Events Detail'!$G:$G,"&gt;"&amp;0)</f>
        <v>0</v>
      </c>
      <c r="I44" s="97">
        <f>SUMIFS('Full Events Detail'!$G:$G,'Full Events Detail'!$C:$C,$C44)</f>
        <v>0</v>
      </c>
      <c r="J44" s="60">
        <f t="shared" si="22"/>
        <v>0</v>
      </c>
      <c r="L44" s="14">
        <f>COUNTIFS('Full Events Detail'!$C:$C,$C44,'Full Events Detail'!$H:$H,"&gt;"&amp;0)</f>
        <v>0</v>
      </c>
      <c r="M44" s="97">
        <f>SUMIFS('Full Events Detail'!$H:$H,'Full Events Detail'!$C:$C,$C44)</f>
        <v>0</v>
      </c>
      <c r="N44" s="60">
        <f t="shared" si="17"/>
        <v>0</v>
      </c>
      <c r="P44" s="32">
        <f t="shared" si="23"/>
        <v>1</v>
      </c>
      <c r="Q44" s="60">
        <f t="shared" si="24"/>
        <v>600</v>
      </c>
      <c r="R44" s="60">
        <f t="shared" ref="R44:R54" si="30">IFERROR(Q44/P44,0)</f>
        <v>600</v>
      </c>
      <c r="T44" s="33">
        <f t="shared" si="19"/>
        <v>2026</v>
      </c>
      <c r="U44" s="33" t="s">
        <v>293</v>
      </c>
      <c r="V44" s="275" t="str">
        <f>INDEX('Detailed P&amp;L'!$3:$3,MATCH($C44,'Detailed P&amp;L'!$9:$9,0))</f>
        <v>LTM</v>
      </c>
      <c r="Y44" s="255"/>
      <c r="AA44" s="255"/>
    </row>
    <row r="45" spans="3:27">
      <c r="C45" s="29">
        <f t="shared" si="21"/>
        <v>46112</v>
      </c>
      <c r="D45" s="14">
        <f>COUNTIFS('Full Events Detail'!$C:$C,$C45)</f>
        <v>4</v>
      </c>
      <c r="E45" s="97">
        <f>SUMIFS('Full Events Detail'!$F:$F,'Full Events Detail'!$C:$C,$C45)</f>
        <v>55700</v>
      </c>
      <c r="F45" s="60">
        <f t="shared" si="15"/>
        <v>13925</v>
      </c>
      <c r="H45" s="14">
        <f>COUNTIFS('Full Events Detail'!$C:$C,$C45,'Full Events Detail'!$G:$G,"&gt;"&amp;0)</f>
        <v>1</v>
      </c>
      <c r="I45" s="97">
        <f>SUMIFS('Full Events Detail'!$G:$G,'Full Events Detail'!$C:$C,$C45)</f>
        <v>4100</v>
      </c>
      <c r="J45" s="60">
        <f t="shared" si="22"/>
        <v>4100</v>
      </c>
      <c r="L45" s="14">
        <f>COUNTIFS('Full Events Detail'!$C:$C,$C45,'Full Events Detail'!$H:$H,"&gt;"&amp;0)</f>
        <v>1</v>
      </c>
      <c r="M45" s="97">
        <f>SUMIFS('Full Events Detail'!$H:$H,'Full Events Detail'!$C:$C,$C45)</f>
        <v>1700</v>
      </c>
      <c r="N45" s="60">
        <f t="shared" si="17"/>
        <v>1700</v>
      </c>
      <c r="P45" s="32">
        <f t="shared" si="23"/>
        <v>4</v>
      </c>
      <c r="Q45" s="60">
        <f t="shared" si="24"/>
        <v>61500</v>
      </c>
      <c r="R45" s="60">
        <f t="shared" si="30"/>
        <v>15375</v>
      </c>
      <c r="T45" s="33">
        <f t="shared" si="19"/>
        <v>2026</v>
      </c>
      <c r="U45" s="33" t="s">
        <v>293</v>
      </c>
      <c r="V45" s="275" t="str">
        <f>INDEX('Detailed P&amp;L'!$3:$3,MATCH($C45,'Detailed P&amp;L'!$9:$9,0))</f>
        <v>LTM</v>
      </c>
      <c r="Y45" s="255"/>
      <c r="AA45" s="255"/>
    </row>
    <row r="46" spans="3:27">
      <c r="C46" s="29">
        <f t="shared" si="21"/>
        <v>46142</v>
      </c>
      <c r="D46" s="14">
        <f>COUNTIFS('Full Events Detail'!$C:$C,$C46)</f>
        <v>5</v>
      </c>
      <c r="E46" s="97">
        <f>SUMIFS('Full Events Detail'!$F:$F,'Full Events Detail'!$C:$C,$C46)</f>
        <v>78000</v>
      </c>
      <c r="F46" s="60">
        <f t="shared" si="15"/>
        <v>15600</v>
      </c>
      <c r="H46" s="14">
        <f>COUNTIFS('Full Events Detail'!$C:$C,$C46,'Full Events Detail'!$G:$G,"&gt;"&amp;0)</f>
        <v>2</v>
      </c>
      <c r="I46" s="97">
        <f>SUMIFS('Full Events Detail'!$G:$G,'Full Events Detail'!$C:$C,$C46)</f>
        <v>10900</v>
      </c>
      <c r="J46" s="60">
        <f t="shared" si="22"/>
        <v>5450</v>
      </c>
      <c r="L46" s="14">
        <f>COUNTIFS('Full Events Detail'!$C:$C,$C46,'Full Events Detail'!$H:$H,"&gt;"&amp;0)</f>
        <v>3</v>
      </c>
      <c r="M46" s="97">
        <f>SUMIFS('Full Events Detail'!$H:$H,'Full Events Detail'!$C:$C,$C46)</f>
        <v>4400</v>
      </c>
      <c r="N46" s="60">
        <f t="shared" si="17"/>
        <v>1466.6666666666667</v>
      </c>
      <c r="P46" s="32">
        <f t="shared" si="23"/>
        <v>5</v>
      </c>
      <c r="Q46" s="60">
        <f t="shared" si="24"/>
        <v>93300</v>
      </c>
      <c r="R46" s="60">
        <f t="shared" si="30"/>
        <v>18660</v>
      </c>
      <c r="T46" s="33">
        <f t="shared" si="19"/>
        <v>2026</v>
      </c>
      <c r="U46" s="33" t="s">
        <v>293</v>
      </c>
      <c r="V46" s="275" t="str">
        <f>INDEX('Detailed P&amp;L'!$3:$3,MATCH($C46,'Detailed P&amp;L'!$9:$9,0))</f>
        <v>LTM</v>
      </c>
      <c r="Y46" s="255"/>
      <c r="AA46" s="255"/>
    </row>
    <row r="47" spans="3:27">
      <c r="C47" s="29">
        <f t="shared" si="21"/>
        <v>46173</v>
      </c>
      <c r="D47" s="14">
        <f>COUNTIFS('Full Events Detail'!$C:$C,$C47)</f>
        <v>9</v>
      </c>
      <c r="E47" s="97">
        <f>SUMIFS('Full Events Detail'!$F:$F,'Full Events Detail'!$C:$C,$C47)</f>
        <v>107100</v>
      </c>
      <c r="F47" s="60">
        <f t="shared" si="15"/>
        <v>11900</v>
      </c>
      <c r="H47" s="14">
        <f>COUNTIFS('Full Events Detail'!$C:$C,$C47,'Full Events Detail'!$G:$G,"&gt;"&amp;0)</f>
        <v>4</v>
      </c>
      <c r="I47" s="97">
        <f>SUMIFS('Full Events Detail'!$G:$G,'Full Events Detail'!$C:$C,$C47)</f>
        <v>18500</v>
      </c>
      <c r="J47" s="60">
        <f t="shared" si="22"/>
        <v>4625</v>
      </c>
      <c r="L47" s="14">
        <f>COUNTIFS('Full Events Detail'!$C:$C,$C47,'Full Events Detail'!$H:$H,"&gt;"&amp;0)</f>
        <v>5</v>
      </c>
      <c r="M47" s="97">
        <f>SUMIFS('Full Events Detail'!$H:$H,'Full Events Detail'!$C:$C,$C47)</f>
        <v>7000</v>
      </c>
      <c r="N47" s="60">
        <f t="shared" si="17"/>
        <v>1400</v>
      </c>
      <c r="P47" s="32">
        <f t="shared" si="23"/>
        <v>9</v>
      </c>
      <c r="Q47" s="60">
        <f t="shared" si="24"/>
        <v>132600</v>
      </c>
      <c r="R47" s="60">
        <f t="shared" si="30"/>
        <v>14733.333333333334</v>
      </c>
      <c r="T47" s="33">
        <f t="shared" si="19"/>
        <v>2026</v>
      </c>
      <c r="U47" s="33" t="s">
        <v>293</v>
      </c>
      <c r="V47" s="275" t="str">
        <f>INDEX('Detailed P&amp;L'!$3:$3,MATCH($C47,'Detailed P&amp;L'!$9:$9,0))</f>
        <v>LTM</v>
      </c>
      <c r="Y47" s="255"/>
      <c r="AA47" s="255"/>
    </row>
    <row r="48" spans="3:27">
      <c r="C48" s="29">
        <f t="shared" si="21"/>
        <v>46203</v>
      </c>
      <c r="D48" s="14">
        <f>COUNTIFS('Full Events Detail'!$C:$C,$C48)</f>
        <v>6</v>
      </c>
      <c r="E48" s="97">
        <f>SUMIFS('Full Events Detail'!$F:$F,'Full Events Detail'!$C:$C,$C48)</f>
        <v>105150</v>
      </c>
      <c r="F48" s="60">
        <f t="shared" si="15"/>
        <v>17525</v>
      </c>
      <c r="H48" s="14">
        <f>COUNTIFS('Full Events Detail'!$C:$C,$C48,'Full Events Detail'!$G:$G,"&gt;"&amp;0)</f>
        <v>3</v>
      </c>
      <c r="I48" s="97">
        <f>SUMIFS('Full Events Detail'!$G:$G,'Full Events Detail'!$C:$C,$C48)</f>
        <v>15900</v>
      </c>
      <c r="J48" s="60">
        <f t="shared" si="22"/>
        <v>5300</v>
      </c>
      <c r="L48" s="14">
        <f>COUNTIFS('Full Events Detail'!$C:$C,$C48,'Full Events Detail'!$H:$H,"&gt;"&amp;0)</f>
        <v>4</v>
      </c>
      <c r="M48" s="97">
        <f>SUMIFS('Full Events Detail'!$H:$H,'Full Events Detail'!$C:$C,$C48)</f>
        <v>3750</v>
      </c>
      <c r="N48" s="60">
        <f t="shared" si="17"/>
        <v>937.5</v>
      </c>
      <c r="P48" s="32">
        <f t="shared" si="23"/>
        <v>6</v>
      </c>
      <c r="Q48" s="60">
        <f t="shared" si="24"/>
        <v>124800</v>
      </c>
      <c r="R48" s="60">
        <f t="shared" si="30"/>
        <v>20800</v>
      </c>
      <c r="T48" s="33">
        <f t="shared" si="19"/>
        <v>2026</v>
      </c>
      <c r="U48" s="33" t="s">
        <v>293</v>
      </c>
      <c r="V48" s="275" t="str">
        <f>INDEX('Detailed P&amp;L'!$3:$3,MATCH($C48,'Detailed P&amp;L'!$9:$9,0))</f>
        <v>LTM</v>
      </c>
      <c r="Y48" s="255"/>
      <c r="AA48" s="255"/>
    </row>
    <row r="49" spans="3:27">
      <c r="C49" s="29">
        <f t="shared" si="21"/>
        <v>46234</v>
      </c>
      <c r="D49" s="14">
        <f>COUNTIFS('Full Events Detail'!$C:$C,$C49)</f>
        <v>2</v>
      </c>
      <c r="E49" s="97">
        <f>SUMIFS('Full Events Detail'!$F:$F,'Full Events Detail'!$C:$C,$C49)</f>
        <v>18000</v>
      </c>
      <c r="F49" s="60">
        <f t="shared" si="15"/>
        <v>9000</v>
      </c>
      <c r="H49" s="14">
        <f>COUNTIFS('Full Events Detail'!$C:$C,$C49,'Full Events Detail'!$G:$G,"&gt;"&amp;0)</f>
        <v>1</v>
      </c>
      <c r="I49" s="97">
        <f>SUMIFS('Full Events Detail'!$G:$G,'Full Events Detail'!$C:$C,$C49)</f>
        <v>5200</v>
      </c>
      <c r="J49" s="60">
        <f t="shared" si="22"/>
        <v>5200</v>
      </c>
      <c r="L49" s="14">
        <f>COUNTIFS('Full Events Detail'!$C:$C,$C49,'Full Events Detail'!$H:$H,"&gt;"&amp;0)</f>
        <v>0</v>
      </c>
      <c r="M49" s="97">
        <f>SUMIFS('Full Events Detail'!$H:$H,'Full Events Detail'!$C:$C,$C49)</f>
        <v>0</v>
      </c>
      <c r="N49" s="60">
        <f t="shared" si="17"/>
        <v>0</v>
      </c>
      <c r="P49" s="32">
        <f t="shared" si="23"/>
        <v>2</v>
      </c>
      <c r="Q49" s="60">
        <f t="shared" si="24"/>
        <v>23200</v>
      </c>
      <c r="R49" s="60">
        <f t="shared" si="30"/>
        <v>11600</v>
      </c>
      <c r="T49" s="33">
        <f t="shared" si="19"/>
        <v>2026</v>
      </c>
      <c r="U49" s="34" t="s">
        <v>293</v>
      </c>
      <c r="V49" s="275" t="str">
        <f>INDEX('Detailed P&amp;L'!$3:$3,MATCH($C49,'Detailed P&amp;L'!$9:$9,0))</f>
        <v>LTM</v>
      </c>
      <c r="Y49" s="255"/>
      <c r="AA49" s="255"/>
    </row>
    <row r="50" spans="3:27">
      <c r="C50" s="29">
        <f t="shared" si="21"/>
        <v>46265</v>
      </c>
      <c r="D50" s="14">
        <f>COUNTIFS('Full Events Detail'!$C:$C,$C50)</f>
        <v>7</v>
      </c>
      <c r="E50" s="97">
        <f>SUMIFS('Full Events Detail'!$F:$F,'Full Events Detail'!$C:$C,$C50)</f>
        <v>82700</v>
      </c>
      <c r="F50" s="60">
        <f t="shared" si="15"/>
        <v>11814.285714285714</v>
      </c>
      <c r="H50" s="14">
        <f>COUNTIFS('Full Events Detail'!$C:$C,$C50,'Full Events Detail'!$G:$G,"&gt;"&amp;0)</f>
        <v>4</v>
      </c>
      <c r="I50" s="97">
        <f>SUMIFS('Full Events Detail'!$G:$G,'Full Events Detail'!$C:$C,$C50)</f>
        <v>15800</v>
      </c>
      <c r="J50" s="60">
        <f t="shared" si="22"/>
        <v>3950</v>
      </c>
      <c r="L50" s="14">
        <f>COUNTIFS('Full Events Detail'!$C:$C,$C50,'Full Events Detail'!$H:$H,"&gt;"&amp;0)</f>
        <v>3</v>
      </c>
      <c r="M50" s="97">
        <f>SUMIFS('Full Events Detail'!$H:$H,'Full Events Detail'!$C:$C,$C50)</f>
        <v>1250</v>
      </c>
      <c r="N50" s="60">
        <f t="shared" si="17"/>
        <v>416.66666666666669</v>
      </c>
      <c r="P50" s="32">
        <f t="shared" si="23"/>
        <v>7</v>
      </c>
      <c r="Q50" s="60">
        <f t="shared" si="24"/>
        <v>99750</v>
      </c>
      <c r="R50" s="60">
        <f t="shared" si="30"/>
        <v>14250</v>
      </c>
      <c r="T50" s="33">
        <f t="shared" si="19"/>
        <v>2026</v>
      </c>
      <c r="U50" s="33"/>
      <c r="V50" s="275">
        <f>INDEX('Detailed P&amp;L'!$3:$3,MATCH($C50,'Detailed P&amp;L'!$9:$9,0))</f>
        <v>0</v>
      </c>
      <c r="Y50" s="255"/>
      <c r="AA50" s="255"/>
    </row>
    <row r="51" spans="3:27">
      <c r="C51" s="29">
        <f t="shared" si="21"/>
        <v>46295</v>
      </c>
      <c r="D51" s="14">
        <f>COUNTIFS('Full Events Detail'!$C:$C,$C51)</f>
        <v>6</v>
      </c>
      <c r="E51" s="97">
        <f>SUMIFS('Full Events Detail'!$F:$F,'Full Events Detail'!$C:$C,$C51)</f>
        <v>107000</v>
      </c>
      <c r="F51" s="60">
        <f t="shared" si="15"/>
        <v>17833.333333333332</v>
      </c>
      <c r="H51" s="14">
        <f>COUNTIFS('Full Events Detail'!$C:$C,$C51,'Full Events Detail'!$G:$G,"&gt;"&amp;0)</f>
        <v>5</v>
      </c>
      <c r="I51" s="97">
        <f>SUMIFS('Full Events Detail'!$G:$G,'Full Events Detail'!$C:$C,$C51)</f>
        <v>21700</v>
      </c>
      <c r="J51" s="60">
        <f t="shared" si="22"/>
        <v>4340</v>
      </c>
      <c r="L51" s="14">
        <f>COUNTIFS('Full Events Detail'!$C:$C,$C51,'Full Events Detail'!$H:$H,"&gt;"&amp;0)</f>
        <v>2</v>
      </c>
      <c r="M51" s="97">
        <f>SUMIFS('Full Events Detail'!$H:$H,'Full Events Detail'!$C:$C,$C51)</f>
        <v>3500</v>
      </c>
      <c r="N51" s="60">
        <f t="shared" si="17"/>
        <v>1750</v>
      </c>
      <c r="P51" s="32">
        <f t="shared" si="23"/>
        <v>6</v>
      </c>
      <c r="Q51" s="60">
        <f t="shared" si="24"/>
        <v>132200</v>
      </c>
      <c r="R51" s="60">
        <f t="shared" si="30"/>
        <v>22033.333333333332</v>
      </c>
      <c r="T51" s="33">
        <f t="shared" si="19"/>
        <v>2026</v>
      </c>
      <c r="U51" s="33" t="s">
        <v>294</v>
      </c>
      <c r="V51" s="275">
        <f>INDEX('Detailed P&amp;L'!$3:$3,MATCH($C51,'Detailed P&amp;L'!$9:$9,0))</f>
        <v>1</v>
      </c>
      <c r="Y51" s="255"/>
      <c r="AA51" s="255"/>
    </row>
    <row r="52" spans="3:27">
      <c r="C52" s="29">
        <f t="shared" si="21"/>
        <v>46326</v>
      </c>
      <c r="D52" s="14">
        <f>COUNTIFS('Full Events Detail'!$C:$C,$C52)</f>
        <v>6</v>
      </c>
      <c r="E52" s="97">
        <f>SUMIFS('Full Events Detail'!$F:$F,'Full Events Detail'!$C:$C,$C52)</f>
        <v>105150</v>
      </c>
      <c r="F52" s="60">
        <f t="shared" si="15"/>
        <v>17525</v>
      </c>
      <c r="H52" s="14">
        <f>COUNTIFS('Full Events Detail'!$C:$C,$C52,'Full Events Detail'!$G:$G,"&gt;"&amp;0)</f>
        <v>5</v>
      </c>
      <c r="I52" s="97">
        <f>SUMIFS('Full Events Detail'!$G:$G,'Full Events Detail'!$C:$C,$C52)</f>
        <v>24400</v>
      </c>
      <c r="J52" s="60">
        <f t="shared" si="22"/>
        <v>4880</v>
      </c>
      <c r="L52" s="14">
        <f>COUNTIFS('Full Events Detail'!$C:$C,$C52,'Full Events Detail'!$H:$H,"&gt;"&amp;0)</f>
        <v>2</v>
      </c>
      <c r="M52" s="97">
        <f>SUMIFS('Full Events Detail'!$H:$H,'Full Events Detail'!$C:$C,$C52)</f>
        <v>1450</v>
      </c>
      <c r="N52" s="60">
        <f t="shared" si="17"/>
        <v>725</v>
      </c>
      <c r="P52" s="32">
        <f t="shared" si="23"/>
        <v>6</v>
      </c>
      <c r="Q52" s="60">
        <f t="shared" si="24"/>
        <v>131000</v>
      </c>
      <c r="R52" s="60">
        <f t="shared" si="30"/>
        <v>21833.333333333332</v>
      </c>
      <c r="T52" s="33">
        <f t="shared" si="19"/>
        <v>2026</v>
      </c>
      <c r="U52" s="33" t="s">
        <v>294</v>
      </c>
      <c r="V52" s="275">
        <f>INDEX('Detailed P&amp;L'!$3:$3,MATCH($C52,'Detailed P&amp;L'!$9:$9,0))</f>
        <v>1</v>
      </c>
      <c r="Y52" s="255"/>
      <c r="AA52" s="255"/>
    </row>
    <row r="53" spans="3:27">
      <c r="C53" s="29">
        <f t="shared" si="21"/>
        <v>46356</v>
      </c>
      <c r="D53" s="14">
        <f>COUNTIFS('Full Events Detail'!$C:$C,$C53)</f>
        <v>2</v>
      </c>
      <c r="E53" s="97">
        <f>SUMIFS('Full Events Detail'!$F:$F,'Full Events Detail'!$C:$C,$C53)</f>
        <v>18200</v>
      </c>
      <c r="F53" s="60">
        <f t="shared" si="15"/>
        <v>9100</v>
      </c>
      <c r="H53" s="14">
        <f>COUNTIFS('Full Events Detail'!$C:$C,$C53,'Full Events Detail'!$G:$G,"&gt;"&amp;0)</f>
        <v>1</v>
      </c>
      <c r="I53" s="97">
        <f>SUMIFS('Full Events Detail'!$G:$G,'Full Events Detail'!$C:$C,$C53)</f>
        <v>3600</v>
      </c>
      <c r="J53" s="60">
        <f t="shared" si="22"/>
        <v>3600</v>
      </c>
      <c r="L53" s="14">
        <f>COUNTIFS('Full Events Detail'!$C:$C,$C53,'Full Events Detail'!$H:$H,"&gt;"&amp;0)</f>
        <v>1</v>
      </c>
      <c r="M53" s="97">
        <f>SUMIFS('Full Events Detail'!$H:$H,'Full Events Detail'!$C:$C,$C53)</f>
        <v>9.9999999999999995E-7</v>
      </c>
      <c r="N53" s="60">
        <f t="shared" si="17"/>
        <v>9.9999999999999995E-7</v>
      </c>
      <c r="P53" s="32">
        <f t="shared" si="23"/>
        <v>2</v>
      </c>
      <c r="Q53" s="60">
        <f t="shared" si="24"/>
        <v>21800.000001</v>
      </c>
      <c r="R53" s="60">
        <f t="shared" si="30"/>
        <v>10900.0000005</v>
      </c>
      <c r="T53" s="33">
        <f t="shared" si="19"/>
        <v>2026</v>
      </c>
      <c r="U53" s="33" t="s">
        <v>294</v>
      </c>
      <c r="V53" s="275">
        <f>INDEX('Detailed P&amp;L'!$3:$3,MATCH($C53,'Detailed P&amp;L'!$9:$9,0))</f>
        <v>1</v>
      </c>
      <c r="Y53" s="255"/>
      <c r="AA53" s="255"/>
    </row>
    <row r="54" spans="3:27">
      <c r="C54" s="29">
        <f t="shared" si="21"/>
        <v>46387</v>
      </c>
      <c r="D54" s="14">
        <f>COUNTIFS('Full Events Detail'!$C:$C,$C54)</f>
        <v>0</v>
      </c>
      <c r="E54" s="97">
        <f>SUMIFS('Full Events Detail'!$F:$F,'Full Events Detail'!$C:$C,$C54)</f>
        <v>0</v>
      </c>
      <c r="F54" s="60">
        <f t="shared" si="15"/>
        <v>0</v>
      </c>
      <c r="H54" s="14">
        <f>COUNTIFS('Full Events Detail'!$C:$C,$C54,'Full Events Detail'!$G:$G,"&gt;"&amp;0)</f>
        <v>0</v>
      </c>
      <c r="I54" s="97">
        <f>SUMIFS('Full Events Detail'!$G:$G,'Full Events Detail'!$C:$C,$C54)</f>
        <v>0</v>
      </c>
      <c r="J54" s="60">
        <f t="shared" si="22"/>
        <v>0</v>
      </c>
      <c r="L54" s="14">
        <f>COUNTIFS('Full Events Detail'!$C:$C,$C54,'Full Events Detail'!$H:$H,"&gt;"&amp;0)</f>
        <v>0</v>
      </c>
      <c r="M54" s="97">
        <f>SUMIFS('Full Events Detail'!$H:$H,'Full Events Detail'!$C:$C,$C54)</f>
        <v>0</v>
      </c>
      <c r="N54" s="60">
        <f t="shared" si="17"/>
        <v>0</v>
      </c>
      <c r="P54" s="32">
        <f t="shared" si="23"/>
        <v>0</v>
      </c>
      <c r="Q54" s="60">
        <f t="shared" si="24"/>
        <v>0</v>
      </c>
      <c r="R54" s="60">
        <f t="shared" si="30"/>
        <v>0</v>
      </c>
      <c r="T54" s="33">
        <f t="shared" si="19"/>
        <v>2026</v>
      </c>
      <c r="U54" s="33" t="s">
        <v>294</v>
      </c>
      <c r="V54" s="275">
        <f>INDEX('Detailed P&amp;L'!$3:$3,MATCH($C54,'Detailed P&amp;L'!$9:$9,0))</f>
        <v>1</v>
      </c>
      <c r="Y54" s="255"/>
      <c r="AA54" s="255"/>
    </row>
    <row r="55" spans="3:27">
      <c r="C55" s="29">
        <f>EOMONTH(C54,1)</f>
        <v>46418</v>
      </c>
      <c r="D55" s="14">
        <f>COUNTIFS('Full Events Detail'!$C:$C,$C55)</f>
        <v>0</v>
      </c>
      <c r="E55" s="97">
        <f>SUMIFS('Full Events Detail'!$F:$F,'Full Events Detail'!$C:$C,$C55)</f>
        <v>0</v>
      </c>
      <c r="F55" s="60">
        <f t="shared" si="15"/>
        <v>0</v>
      </c>
      <c r="H55" s="14">
        <f>COUNTIFS('Full Events Detail'!$C:$C,$C55,'Full Events Detail'!$G:$G,"&gt;"&amp;0)</f>
        <v>0</v>
      </c>
      <c r="I55" s="97">
        <f>SUMIFS('Full Events Detail'!$G:$G,'Full Events Detail'!$C:$C,$C55)</f>
        <v>0</v>
      </c>
      <c r="J55" s="60">
        <f t="shared" si="22"/>
        <v>0</v>
      </c>
      <c r="L55" s="14">
        <f>COUNTIFS('Full Events Detail'!$C:$C,$C55,'Full Events Detail'!$H:$H,"&gt;"&amp;0)</f>
        <v>0</v>
      </c>
      <c r="M55" s="97">
        <f>SUMIFS('Full Events Detail'!$H:$H,'Full Events Detail'!$C:$C,$C55)</f>
        <v>0</v>
      </c>
      <c r="N55" s="60">
        <f t="shared" si="17"/>
        <v>0</v>
      </c>
      <c r="P55" s="32">
        <f t="shared" si="23"/>
        <v>0</v>
      </c>
      <c r="Q55" s="60">
        <f t="shared" si="24"/>
        <v>0</v>
      </c>
      <c r="R55" s="60">
        <f t="shared" si="27"/>
        <v>0</v>
      </c>
      <c r="T55" s="33">
        <f t="shared" si="19"/>
        <v>2027</v>
      </c>
      <c r="U55" s="33" t="s">
        <v>294</v>
      </c>
      <c r="V55" s="275">
        <f>INDEX('Detailed P&amp;L'!$3:$3,MATCH($C55,'Detailed P&amp;L'!$9:$9,0))</f>
        <v>1</v>
      </c>
      <c r="Y55" s="255"/>
      <c r="AA55" s="255"/>
    </row>
    <row r="56" spans="3:27">
      <c r="C56" s="29">
        <f t="shared" si="21"/>
        <v>46446</v>
      </c>
      <c r="D56" s="14">
        <f>COUNTIFS('Full Events Detail'!$C:$C,$C56)</f>
        <v>0</v>
      </c>
      <c r="E56" s="97">
        <f>SUMIFS('Full Events Detail'!$F:$F,'Full Events Detail'!$C:$C,$C56)</f>
        <v>0</v>
      </c>
      <c r="F56" s="60">
        <f t="shared" si="15"/>
        <v>0</v>
      </c>
      <c r="H56" s="14">
        <f>COUNTIFS('Full Events Detail'!$C:$C,$C56,'Full Events Detail'!$G:$G,"&gt;"&amp;0)</f>
        <v>0</v>
      </c>
      <c r="I56" s="97">
        <f>SUMIFS('Full Events Detail'!$G:$G,'Full Events Detail'!$C:$C,$C56)</f>
        <v>0</v>
      </c>
      <c r="J56" s="60">
        <f t="shared" si="22"/>
        <v>0</v>
      </c>
      <c r="L56" s="14">
        <f>COUNTIFS('Full Events Detail'!$C:$C,$C56,'Full Events Detail'!$H:$H,"&gt;"&amp;0)</f>
        <v>0</v>
      </c>
      <c r="M56" s="97">
        <f>SUMIFS('Full Events Detail'!$H:$H,'Full Events Detail'!$C:$C,$C56)</f>
        <v>0</v>
      </c>
      <c r="N56" s="60">
        <f t="shared" si="17"/>
        <v>0</v>
      </c>
      <c r="P56" s="32">
        <f t="shared" si="23"/>
        <v>0</v>
      </c>
      <c r="Q56" s="60">
        <f t="shared" si="24"/>
        <v>0</v>
      </c>
      <c r="R56" s="60">
        <f t="shared" si="27"/>
        <v>0</v>
      </c>
      <c r="T56" s="33">
        <f t="shared" si="19"/>
        <v>2027</v>
      </c>
      <c r="U56" s="33" t="s">
        <v>294</v>
      </c>
      <c r="V56" s="275">
        <f>INDEX('Detailed P&amp;L'!$3:$3,MATCH($C56,'Detailed P&amp;L'!$9:$9,0))</f>
        <v>1</v>
      </c>
      <c r="Y56" s="255"/>
      <c r="AA56" s="255"/>
    </row>
    <row r="57" spans="3:27">
      <c r="C57" s="29">
        <f t="shared" si="21"/>
        <v>46477</v>
      </c>
      <c r="D57" s="14">
        <f>COUNTIFS('Full Events Detail'!$C:$C,$C57)</f>
        <v>1</v>
      </c>
      <c r="E57" s="97">
        <f>SUMIFS('Full Events Detail'!$F:$F,'Full Events Detail'!$C:$C,$C57)</f>
        <v>19500</v>
      </c>
      <c r="F57" s="60">
        <f t="shared" si="15"/>
        <v>19500</v>
      </c>
      <c r="H57" s="14">
        <f>COUNTIFS('Full Events Detail'!$C:$C,$C57,'Full Events Detail'!$G:$G,"&gt;"&amp;0)</f>
        <v>0</v>
      </c>
      <c r="I57" s="97">
        <f>SUMIFS('Full Events Detail'!$G:$G,'Full Events Detail'!$C:$C,$C57)</f>
        <v>0</v>
      </c>
      <c r="J57" s="60">
        <f t="shared" si="22"/>
        <v>0</v>
      </c>
      <c r="L57" s="14">
        <f>COUNTIFS('Full Events Detail'!$C:$C,$C57,'Full Events Detail'!$H:$H,"&gt;"&amp;0)</f>
        <v>0</v>
      </c>
      <c r="M57" s="97">
        <f>SUMIFS('Full Events Detail'!$H:$H,'Full Events Detail'!$C:$C,$C57)</f>
        <v>0</v>
      </c>
      <c r="N57" s="60">
        <f t="shared" si="17"/>
        <v>0</v>
      </c>
      <c r="P57" s="32">
        <f t="shared" si="23"/>
        <v>1</v>
      </c>
      <c r="Q57" s="60">
        <f t="shared" si="24"/>
        <v>19500</v>
      </c>
      <c r="R57" s="60">
        <f t="shared" si="27"/>
        <v>19500</v>
      </c>
      <c r="T57" s="33">
        <f t="shared" si="19"/>
        <v>2027</v>
      </c>
      <c r="U57" s="33" t="s">
        <v>294</v>
      </c>
      <c r="V57" s="275">
        <f>INDEX('Detailed P&amp;L'!$3:$3,MATCH($C57,'Detailed P&amp;L'!$9:$9,0))</f>
        <v>1</v>
      </c>
      <c r="Y57" s="255"/>
      <c r="AA57" s="255"/>
    </row>
    <row r="58" spans="3:27">
      <c r="C58" s="29">
        <f t="shared" si="21"/>
        <v>46507</v>
      </c>
      <c r="D58" s="14">
        <f>COUNTIFS('Full Events Detail'!$C:$C,$C58)</f>
        <v>2</v>
      </c>
      <c r="E58" s="97">
        <f>SUMIFS('Full Events Detail'!$F:$F,'Full Events Detail'!$C:$C,$C58)</f>
        <v>39000</v>
      </c>
      <c r="F58" s="60">
        <f t="shared" si="15"/>
        <v>19500</v>
      </c>
      <c r="H58" s="14">
        <f>COUNTIFS('Full Events Detail'!$C:$C,$C58,'Full Events Detail'!$G:$G,"&gt;"&amp;0)</f>
        <v>0</v>
      </c>
      <c r="I58" s="97">
        <f>SUMIFS('Full Events Detail'!$G:$G,'Full Events Detail'!$C:$C,$C58)</f>
        <v>0</v>
      </c>
      <c r="J58" s="60">
        <f t="shared" si="22"/>
        <v>0</v>
      </c>
      <c r="L58" s="14">
        <f>COUNTIFS('Full Events Detail'!$C:$C,$C58,'Full Events Detail'!$H:$H,"&gt;"&amp;0)</f>
        <v>0</v>
      </c>
      <c r="M58" s="97">
        <f>SUMIFS('Full Events Detail'!$H:$H,'Full Events Detail'!$C:$C,$C58)</f>
        <v>0</v>
      </c>
      <c r="N58" s="60">
        <f t="shared" si="17"/>
        <v>0</v>
      </c>
      <c r="P58" s="32">
        <f t="shared" si="23"/>
        <v>2</v>
      </c>
      <c r="Q58" s="60">
        <f t="shared" si="24"/>
        <v>39000</v>
      </c>
      <c r="R58" s="60">
        <f t="shared" si="27"/>
        <v>19500</v>
      </c>
      <c r="T58" s="33">
        <f t="shared" si="19"/>
        <v>2027</v>
      </c>
      <c r="U58" s="33" t="s">
        <v>294</v>
      </c>
      <c r="V58" s="275">
        <f>INDEX('Detailed P&amp;L'!$3:$3,MATCH($C58,'Detailed P&amp;L'!$9:$9,0))</f>
        <v>1</v>
      </c>
      <c r="Y58" s="255"/>
      <c r="AA58" s="255"/>
    </row>
    <row r="59" spans="3:27">
      <c r="C59" s="29">
        <f t="shared" si="21"/>
        <v>46538</v>
      </c>
      <c r="D59" s="14">
        <f>COUNTIFS('Full Events Detail'!$C:$C,$C59)</f>
        <v>4</v>
      </c>
      <c r="E59" s="97">
        <f>SUMIFS('Full Events Detail'!$F:$F,'Full Events Detail'!$C:$C,$C59)</f>
        <v>107500</v>
      </c>
      <c r="F59" s="60">
        <f t="shared" si="15"/>
        <v>26875</v>
      </c>
      <c r="H59" s="14">
        <f>COUNTIFS('Full Events Detail'!$C:$C,$C59,'Full Events Detail'!$G:$G,"&gt;"&amp;0)</f>
        <v>0</v>
      </c>
      <c r="I59" s="97">
        <f>SUMIFS('Full Events Detail'!$G:$G,'Full Events Detail'!$C:$C,$C59)</f>
        <v>0</v>
      </c>
      <c r="J59" s="60">
        <f t="shared" si="22"/>
        <v>0</v>
      </c>
      <c r="L59" s="14">
        <f>COUNTIFS('Full Events Detail'!$C:$C,$C59,'Full Events Detail'!$H:$H,"&gt;"&amp;0)</f>
        <v>1</v>
      </c>
      <c r="M59" s="97">
        <f>SUMIFS('Full Events Detail'!$H:$H,'Full Events Detail'!$C:$C,$C59)</f>
        <v>9.9999999999999995E-7</v>
      </c>
      <c r="N59" s="60">
        <f t="shared" si="17"/>
        <v>9.9999999999999995E-7</v>
      </c>
      <c r="P59" s="32">
        <f t="shared" si="23"/>
        <v>4</v>
      </c>
      <c r="Q59" s="60">
        <f t="shared" si="24"/>
        <v>107500.00000099999</v>
      </c>
      <c r="R59" s="60">
        <f t="shared" si="27"/>
        <v>26875.000000249998</v>
      </c>
      <c r="T59" s="33">
        <f t="shared" si="19"/>
        <v>2027</v>
      </c>
      <c r="U59" s="33" t="s">
        <v>294</v>
      </c>
      <c r="V59" s="275">
        <f>INDEX('Detailed P&amp;L'!$3:$3,MATCH($C59,'Detailed P&amp;L'!$9:$9,0))</f>
        <v>1</v>
      </c>
      <c r="Y59" s="255"/>
      <c r="AA59" s="255"/>
    </row>
    <row r="60" spans="3:27">
      <c r="C60" s="29">
        <f t="shared" si="21"/>
        <v>46568</v>
      </c>
      <c r="D60" s="14">
        <f>COUNTIFS('Full Events Detail'!$C:$C,$C60)</f>
        <v>3</v>
      </c>
      <c r="E60" s="97">
        <f>SUMIFS('Full Events Detail'!$F:$F,'Full Events Detail'!$C:$C,$C60)</f>
        <v>89000</v>
      </c>
      <c r="F60" s="60">
        <f t="shared" si="15"/>
        <v>29666.666666666668</v>
      </c>
      <c r="H60" s="14">
        <f>COUNTIFS('Full Events Detail'!$C:$C,$C60,'Full Events Detail'!$G:$G,"&gt;"&amp;0)</f>
        <v>1</v>
      </c>
      <c r="I60" s="97">
        <f>SUMIFS('Full Events Detail'!$G:$G,'Full Events Detail'!$C:$C,$C60)</f>
        <v>5200</v>
      </c>
      <c r="J60" s="60">
        <f t="shared" si="22"/>
        <v>5200</v>
      </c>
      <c r="L60" s="14">
        <f>COUNTIFS('Full Events Detail'!$C:$C,$C60,'Full Events Detail'!$H:$H,"&gt;"&amp;0)</f>
        <v>2</v>
      </c>
      <c r="M60" s="97">
        <f>SUMIFS('Full Events Detail'!$H:$H,'Full Events Detail'!$C:$C,$C60)</f>
        <v>1200.0000010000001</v>
      </c>
      <c r="N60" s="60">
        <f t="shared" si="17"/>
        <v>600.00000050000006</v>
      </c>
      <c r="P60" s="32">
        <f t="shared" si="23"/>
        <v>3</v>
      </c>
      <c r="Q60" s="60">
        <f t="shared" si="24"/>
        <v>95400.000000999993</v>
      </c>
      <c r="R60" s="60">
        <f t="shared" si="27"/>
        <v>31800.00000033333</v>
      </c>
      <c r="T60" s="33">
        <f t="shared" si="19"/>
        <v>2027</v>
      </c>
      <c r="U60" s="33" t="s">
        <v>294</v>
      </c>
      <c r="V60" s="275">
        <f>INDEX('Detailed P&amp;L'!$3:$3,MATCH($C60,'Detailed P&amp;L'!$9:$9,0))</f>
        <v>1</v>
      </c>
      <c r="Y60" s="255"/>
      <c r="AA60" s="255"/>
    </row>
    <row r="61" spans="3:27">
      <c r="C61" s="29">
        <f t="shared" si="21"/>
        <v>46599</v>
      </c>
      <c r="D61" s="14">
        <f>COUNTIFS('Full Events Detail'!$C:$C,$C61)</f>
        <v>0</v>
      </c>
      <c r="E61" s="97">
        <f>SUMIFS('Full Events Detail'!$F:$F,'Full Events Detail'!$C:$C,$C61)</f>
        <v>0</v>
      </c>
      <c r="F61" s="60">
        <f t="shared" si="15"/>
        <v>0</v>
      </c>
      <c r="H61" s="14">
        <f>COUNTIFS('Full Events Detail'!$C:$C,$C61,'Full Events Detail'!$G:$G,"&gt;"&amp;0)</f>
        <v>0</v>
      </c>
      <c r="I61" s="97">
        <f>SUMIFS('Full Events Detail'!$G:$G,'Full Events Detail'!$C:$C,$C61)</f>
        <v>0</v>
      </c>
      <c r="J61" s="60">
        <f t="shared" si="22"/>
        <v>0</v>
      </c>
      <c r="L61" s="14">
        <f>COUNTIFS('Full Events Detail'!$C:$C,$C61,'Full Events Detail'!$H:$H,"&gt;"&amp;0)</f>
        <v>0</v>
      </c>
      <c r="M61" s="97">
        <f>SUMIFS('Full Events Detail'!$H:$H,'Full Events Detail'!$C:$C,$C61)</f>
        <v>0</v>
      </c>
      <c r="N61" s="60">
        <f t="shared" si="17"/>
        <v>0</v>
      </c>
      <c r="P61" s="32">
        <f t="shared" si="23"/>
        <v>0</v>
      </c>
      <c r="Q61" s="60">
        <f t="shared" si="24"/>
        <v>0</v>
      </c>
      <c r="R61" s="60">
        <f t="shared" si="27"/>
        <v>0</v>
      </c>
      <c r="T61" s="33">
        <f t="shared" si="19"/>
        <v>2027</v>
      </c>
      <c r="U61" s="33" t="s">
        <v>294</v>
      </c>
      <c r="V61" s="275">
        <f>INDEX('Detailed P&amp;L'!$3:$3,MATCH($C61,'Detailed P&amp;L'!$9:$9,0))</f>
        <v>1</v>
      </c>
      <c r="Y61" s="255"/>
      <c r="AA61" s="255"/>
    </row>
    <row r="62" spans="3:27">
      <c r="C62" s="29">
        <f t="shared" si="21"/>
        <v>46630</v>
      </c>
      <c r="D62" s="14">
        <f>COUNTIFS('Full Events Detail'!$C:$C,$C62)</f>
        <v>0</v>
      </c>
      <c r="E62" s="97">
        <f>SUMIFS('Full Events Detail'!$F:$F,'Full Events Detail'!$C:$C,$C62)</f>
        <v>0</v>
      </c>
      <c r="F62" s="60">
        <f t="shared" si="15"/>
        <v>0</v>
      </c>
      <c r="H62" s="14">
        <f>COUNTIFS('Full Events Detail'!$C:$C,$C62,'Full Events Detail'!$G:$G,"&gt;"&amp;0)</f>
        <v>0</v>
      </c>
      <c r="I62" s="97">
        <f>SUMIFS('Full Events Detail'!$G:$G,'Full Events Detail'!$C:$C,$C62)</f>
        <v>0</v>
      </c>
      <c r="J62" s="60">
        <f t="shared" si="22"/>
        <v>0</v>
      </c>
      <c r="L62" s="14">
        <f>COUNTIFS('Full Events Detail'!$C:$C,$C62,'Full Events Detail'!$H:$H,"&gt;"&amp;0)</f>
        <v>0</v>
      </c>
      <c r="M62" s="97">
        <f>SUMIFS('Full Events Detail'!$H:$H,'Full Events Detail'!$C:$C,$C62)</f>
        <v>0</v>
      </c>
      <c r="N62" s="60">
        <f t="shared" si="17"/>
        <v>0</v>
      </c>
      <c r="P62" s="32">
        <f t="shared" si="23"/>
        <v>0</v>
      </c>
      <c r="Q62" s="60">
        <f t="shared" si="24"/>
        <v>0</v>
      </c>
      <c r="R62" s="60">
        <f t="shared" si="27"/>
        <v>0</v>
      </c>
      <c r="T62" s="33">
        <f t="shared" si="19"/>
        <v>2027</v>
      </c>
      <c r="U62" s="34" t="s">
        <v>294</v>
      </c>
      <c r="V62" s="275">
        <f>INDEX('Detailed P&amp;L'!$3:$3,MATCH($C62,'Detailed P&amp;L'!$9:$9,0))</f>
        <v>1</v>
      </c>
      <c r="Y62" s="255"/>
      <c r="AA62" s="255"/>
    </row>
    <row r="63" spans="3:27">
      <c r="C63" s="29">
        <f t="shared" si="21"/>
        <v>46660</v>
      </c>
      <c r="D63" s="14">
        <f>COUNTIFS('Full Events Detail'!$C:$C,$C63)</f>
        <v>0</v>
      </c>
      <c r="E63" s="97">
        <f>SUMIFS('Full Events Detail'!$F:$F,'Full Events Detail'!$C:$C,$C63)</f>
        <v>0</v>
      </c>
      <c r="F63" s="60">
        <f t="shared" si="15"/>
        <v>0</v>
      </c>
      <c r="H63" s="14">
        <f>COUNTIFS('Full Events Detail'!$C:$C,$C63,'Full Events Detail'!$G:$G,"&gt;"&amp;0)</f>
        <v>0</v>
      </c>
      <c r="I63" s="97">
        <f>SUMIFS('Full Events Detail'!$G:$G,'Full Events Detail'!$C:$C,$C63)</f>
        <v>0</v>
      </c>
      <c r="J63" s="60">
        <f t="shared" si="22"/>
        <v>0</v>
      </c>
      <c r="L63" s="14">
        <f>COUNTIFS('Full Events Detail'!$C:$C,$C63,'Full Events Detail'!$H:$H,"&gt;"&amp;0)</f>
        <v>0</v>
      </c>
      <c r="M63" s="97">
        <f>SUMIFS('Full Events Detail'!$H:$H,'Full Events Detail'!$C:$C,$C63)</f>
        <v>0</v>
      </c>
      <c r="N63" s="60">
        <f t="shared" si="17"/>
        <v>0</v>
      </c>
      <c r="P63" s="32">
        <f t="shared" si="23"/>
        <v>0</v>
      </c>
      <c r="Q63" s="60">
        <f t="shared" si="24"/>
        <v>0</v>
      </c>
      <c r="R63" s="60">
        <f t="shared" si="27"/>
        <v>0</v>
      </c>
      <c r="T63" s="33">
        <f t="shared" si="19"/>
        <v>2027</v>
      </c>
      <c r="U63" s="33" t="s">
        <v>444</v>
      </c>
      <c r="V63" s="275">
        <f>INDEX('Detailed P&amp;L'!$3:$3,MATCH($C63,'Detailed P&amp;L'!$9:$9,0))</f>
        <v>2</v>
      </c>
      <c r="Y63" s="255"/>
      <c r="AA63" s="255"/>
    </row>
    <row r="64" spans="3:27">
      <c r="C64" s="29">
        <f t="shared" si="21"/>
        <v>46691</v>
      </c>
      <c r="D64" s="14">
        <f>COUNTIFS('Full Events Detail'!$C:$C,$C64)</f>
        <v>1</v>
      </c>
      <c r="E64" s="97">
        <f>SUMIFS('Full Events Detail'!$F:$F,'Full Events Detail'!$C:$C,$C64)</f>
        <v>19500</v>
      </c>
      <c r="F64" s="60">
        <f t="shared" si="15"/>
        <v>19500</v>
      </c>
      <c r="H64" s="14">
        <f>COUNTIFS('Full Events Detail'!$C:$C,$C64,'Full Events Detail'!$G:$G,"&gt;"&amp;0)</f>
        <v>0</v>
      </c>
      <c r="I64" s="97">
        <f>SUMIFS('Full Events Detail'!$G:$G,'Full Events Detail'!$C:$C,$C64)</f>
        <v>0</v>
      </c>
      <c r="J64" s="60">
        <f t="shared" si="22"/>
        <v>0</v>
      </c>
      <c r="L64" s="14">
        <f>COUNTIFS('Full Events Detail'!$C:$C,$C64,'Full Events Detail'!$H:$H,"&gt;"&amp;0)</f>
        <v>0</v>
      </c>
      <c r="M64" s="97">
        <f>SUMIFS('Full Events Detail'!$H:$H,'Full Events Detail'!$C:$C,$C64)</f>
        <v>0</v>
      </c>
      <c r="N64" s="60">
        <f t="shared" si="17"/>
        <v>0</v>
      </c>
      <c r="P64" s="32">
        <f t="shared" si="23"/>
        <v>1</v>
      </c>
      <c r="Q64" s="60">
        <f t="shared" si="24"/>
        <v>19500</v>
      </c>
      <c r="R64" s="60">
        <f t="shared" si="27"/>
        <v>19500</v>
      </c>
      <c r="T64" s="33">
        <f t="shared" si="19"/>
        <v>2027</v>
      </c>
      <c r="U64" s="33" t="s">
        <v>444</v>
      </c>
      <c r="V64" s="275">
        <f>INDEX('Detailed P&amp;L'!$3:$3,MATCH($C64,'Detailed P&amp;L'!$9:$9,0))</f>
        <v>2</v>
      </c>
      <c r="Y64" s="255"/>
      <c r="AA64" s="255"/>
    </row>
    <row r="65" spans="3:27">
      <c r="C65" s="29">
        <f t="shared" si="21"/>
        <v>46721</v>
      </c>
      <c r="D65" s="14">
        <f>COUNTIFS('Full Events Detail'!$C:$C,$C65)</f>
        <v>0</v>
      </c>
      <c r="E65" s="97">
        <f>SUMIFS('Full Events Detail'!$F:$F,'Full Events Detail'!$C:$C,$C65)</f>
        <v>0</v>
      </c>
      <c r="F65" s="60">
        <f t="shared" si="15"/>
        <v>0</v>
      </c>
      <c r="H65" s="14">
        <f>COUNTIFS('Full Events Detail'!$C:$C,$C65,'Full Events Detail'!$G:$G,"&gt;"&amp;0)</f>
        <v>0</v>
      </c>
      <c r="I65" s="97">
        <f>SUMIFS('Full Events Detail'!$G:$G,'Full Events Detail'!$C:$C,$C65)</f>
        <v>0</v>
      </c>
      <c r="J65" s="60">
        <f t="shared" si="22"/>
        <v>0</v>
      </c>
      <c r="L65" s="14">
        <f>COUNTIFS('Full Events Detail'!$C:$C,$C65,'Full Events Detail'!$H:$H,"&gt;"&amp;0)</f>
        <v>0</v>
      </c>
      <c r="M65" s="97">
        <f>SUMIFS('Full Events Detail'!$H:$H,'Full Events Detail'!$C:$C,$C65)</f>
        <v>0</v>
      </c>
      <c r="N65" s="60">
        <f t="shared" si="17"/>
        <v>0</v>
      </c>
      <c r="P65" s="32">
        <f t="shared" si="23"/>
        <v>0</v>
      </c>
      <c r="Q65" s="60">
        <f t="shared" si="24"/>
        <v>0</v>
      </c>
      <c r="R65" s="60">
        <f t="shared" si="27"/>
        <v>0</v>
      </c>
      <c r="T65" s="33">
        <f t="shared" si="19"/>
        <v>2027</v>
      </c>
      <c r="U65" s="33" t="s">
        <v>444</v>
      </c>
      <c r="V65" s="275">
        <f>INDEX('Detailed P&amp;L'!$3:$3,MATCH($C65,'Detailed P&amp;L'!$9:$9,0))</f>
        <v>2</v>
      </c>
      <c r="Y65" s="255"/>
      <c r="AA65" s="255"/>
    </row>
    <row r="66" spans="3:27">
      <c r="C66" s="29">
        <f t="shared" si="21"/>
        <v>46752</v>
      </c>
      <c r="D66" s="14">
        <f>COUNTIFS('Full Events Detail'!$C:$C,$C66)</f>
        <v>0</v>
      </c>
      <c r="E66" s="97">
        <f>SUMIFS('Full Events Detail'!$F:$F,'Full Events Detail'!$C:$C,$C66)</f>
        <v>0</v>
      </c>
      <c r="F66" s="60">
        <f t="shared" si="15"/>
        <v>0</v>
      </c>
      <c r="H66" s="14">
        <f>COUNTIFS('Full Events Detail'!$C:$C,$C66,'Full Events Detail'!$G:$G,"&gt;"&amp;0)</f>
        <v>0</v>
      </c>
      <c r="I66" s="97">
        <f>SUMIFS('Full Events Detail'!$G:$G,'Full Events Detail'!$C:$C,$C66)</f>
        <v>0</v>
      </c>
      <c r="J66" s="60">
        <f t="shared" si="22"/>
        <v>0</v>
      </c>
      <c r="L66" s="14">
        <f>COUNTIFS('Full Events Detail'!$C:$C,$C66,'Full Events Detail'!$H:$H,"&gt;"&amp;0)</f>
        <v>0</v>
      </c>
      <c r="M66" s="97">
        <f>SUMIFS('Full Events Detail'!$H:$H,'Full Events Detail'!$C:$C,$C66)</f>
        <v>0</v>
      </c>
      <c r="N66" s="60">
        <f t="shared" si="17"/>
        <v>0</v>
      </c>
      <c r="P66" s="32">
        <f t="shared" si="23"/>
        <v>0</v>
      </c>
      <c r="Q66" s="60">
        <f t="shared" si="24"/>
        <v>0</v>
      </c>
      <c r="R66" s="60">
        <f t="shared" si="27"/>
        <v>0</v>
      </c>
      <c r="T66" s="33">
        <f t="shared" si="19"/>
        <v>2027</v>
      </c>
      <c r="U66" s="33" t="s">
        <v>444</v>
      </c>
      <c r="V66" s="275">
        <f>INDEX('Detailed P&amp;L'!$3:$3,MATCH($C66,'Detailed P&amp;L'!$9:$9,0))</f>
        <v>2</v>
      </c>
      <c r="Y66" s="255"/>
      <c r="AA66" s="255"/>
    </row>
    <row r="67" spans="3:27">
      <c r="C67" s="29">
        <f>EOMONTH(C66,1)</f>
        <v>46783</v>
      </c>
      <c r="D67" s="14">
        <f>COUNTIFS('Full Events Detail'!$C:$C,$C67)</f>
        <v>0</v>
      </c>
      <c r="E67" s="97">
        <f>SUMIFS('Full Events Detail'!$F:$F,'Full Events Detail'!$C:$C,$C67)</f>
        <v>0</v>
      </c>
      <c r="F67" s="60">
        <f t="shared" si="15"/>
        <v>0</v>
      </c>
      <c r="H67" s="14">
        <f>COUNTIFS('Full Events Detail'!$C:$C,$C67,'Full Events Detail'!$G:$G,"&gt;"&amp;0)</f>
        <v>0</v>
      </c>
      <c r="I67" s="97">
        <f>SUMIFS('Full Events Detail'!$G:$G,'Full Events Detail'!$C:$C,$C67)</f>
        <v>0</v>
      </c>
      <c r="J67" s="60">
        <f t="shared" si="22"/>
        <v>0</v>
      </c>
      <c r="L67" s="14">
        <f>COUNTIFS('Full Events Detail'!$C:$C,$C67,'Full Events Detail'!$H:$H,"&gt;"&amp;0)</f>
        <v>0</v>
      </c>
      <c r="M67" s="97">
        <f>SUMIFS('Full Events Detail'!$H:$H,'Full Events Detail'!$C:$C,$C67)</f>
        <v>0</v>
      </c>
      <c r="N67" s="60">
        <f t="shared" si="17"/>
        <v>0</v>
      </c>
      <c r="P67" s="32">
        <f t="shared" si="23"/>
        <v>0</v>
      </c>
      <c r="Q67" s="60">
        <f t="shared" si="24"/>
        <v>0</v>
      </c>
      <c r="R67" s="60">
        <f t="shared" ref="R67:R78" si="31">IFERROR(Q67/P67,0)</f>
        <v>0</v>
      </c>
      <c r="T67" s="33">
        <f t="shared" ref="T67:T78" si="32">YEAR(C67)</f>
        <v>2028</v>
      </c>
      <c r="U67" s="33" t="s">
        <v>444</v>
      </c>
      <c r="V67" s="275">
        <f>INDEX('Detailed P&amp;L'!$3:$3,MATCH($C67,'Detailed P&amp;L'!$9:$9,0))</f>
        <v>2</v>
      </c>
      <c r="Y67" s="255"/>
      <c r="AA67" s="255"/>
    </row>
    <row r="68" spans="3:27">
      <c r="C68" s="29">
        <f t="shared" si="21"/>
        <v>46812</v>
      </c>
      <c r="D68" s="14">
        <f>COUNTIFS('Full Events Detail'!$C:$C,$C68)</f>
        <v>0</v>
      </c>
      <c r="E68" s="97">
        <f>SUMIFS('Full Events Detail'!$F:$F,'Full Events Detail'!$C:$C,$C68)</f>
        <v>0</v>
      </c>
      <c r="F68" s="60">
        <f t="shared" si="15"/>
        <v>0</v>
      </c>
      <c r="H68" s="14">
        <f>COUNTIFS('Full Events Detail'!$C:$C,$C68,'Full Events Detail'!$G:$G,"&gt;"&amp;0)</f>
        <v>0</v>
      </c>
      <c r="I68" s="97">
        <f>SUMIFS('Full Events Detail'!$G:$G,'Full Events Detail'!$C:$C,$C68)</f>
        <v>0</v>
      </c>
      <c r="J68" s="60">
        <f t="shared" si="22"/>
        <v>0</v>
      </c>
      <c r="L68" s="14">
        <f>COUNTIFS('Full Events Detail'!$C:$C,$C68,'Full Events Detail'!$H:$H,"&gt;"&amp;0)</f>
        <v>0</v>
      </c>
      <c r="M68" s="97">
        <f>SUMIFS('Full Events Detail'!$H:$H,'Full Events Detail'!$C:$C,$C68)</f>
        <v>0</v>
      </c>
      <c r="N68" s="60">
        <f t="shared" si="17"/>
        <v>0</v>
      </c>
      <c r="P68" s="32">
        <f t="shared" si="23"/>
        <v>0</v>
      </c>
      <c r="Q68" s="60">
        <f t="shared" si="24"/>
        <v>0</v>
      </c>
      <c r="R68" s="60">
        <f t="shared" si="31"/>
        <v>0</v>
      </c>
      <c r="T68" s="33">
        <f t="shared" si="32"/>
        <v>2028</v>
      </c>
      <c r="U68" s="33" t="s">
        <v>444</v>
      </c>
      <c r="V68" s="275">
        <f>INDEX('Detailed P&amp;L'!$3:$3,MATCH($C68,'Detailed P&amp;L'!$9:$9,0))</f>
        <v>2</v>
      </c>
      <c r="Y68" s="255"/>
      <c r="AA68" s="255"/>
    </row>
    <row r="69" spans="3:27">
      <c r="C69" s="29">
        <f t="shared" si="21"/>
        <v>46843</v>
      </c>
      <c r="D69" s="14">
        <f>COUNTIFS('Full Events Detail'!$C:$C,$C69)</f>
        <v>0</v>
      </c>
      <c r="E69" s="97">
        <f>SUMIFS('Full Events Detail'!$F:$F,'Full Events Detail'!$C:$C,$C69)</f>
        <v>0</v>
      </c>
      <c r="F69" s="60">
        <f t="shared" si="15"/>
        <v>0</v>
      </c>
      <c r="H69" s="14">
        <f>COUNTIFS('Full Events Detail'!$C:$C,$C69,'Full Events Detail'!$G:$G,"&gt;"&amp;0)</f>
        <v>0</v>
      </c>
      <c r="I69" s="97">
        <f>SUMIFS('Full Events Detail'!$G:$G,'Full Events Detail'!$C:$C,$C69)</f>
        <v>0</v>
      </c>
      <c r="J69" s="60">
        <f t="shared" si="22"/>
        <v>0</v>
      </c>
      <c r="L69" s="14">
        <f>COUNTIFS('Full Events Detail'!$C:$C,$C69,'Full Events Detail'!$H:$H,"&gt;"&amp;0)</f>
        <v>0</v>
      </c>
      <c r="M69" s="97">
        <f>SUMIFS('Full Events Detail'!$H:$H,'Full Events Detail'!$C:$C,$C69)</f>
        <v>0</v>
      </c>
      <c r="N69" s="60">
        <f t="shared" si="17"/>
        <v>0</v>
      </c>
      <c r="P69" s="32">
        <f t="shared" si="23"/>
        <v>0</v>
      </c>
      <c r="Q69" s="60">
        <f t="shared" si="24"/>
        <v>0</v>
      </c>
      <c r="R69" s="60">
        <f t="shared" si="31"/>
        <v>0</v>
      </c>
      <c r="T69" s="33">
        <f t="shared" si="32"/>
        <v>2028</v>
      </c>
      <c r="U69" s="33" t="s">
        <v>444</v>
      </c>
      <c r="V69" s="275">
        <f>INDEX('Detailed P&amp;L'!$3:$3,MATCH($C69,'Detailed P&amp;L'!$9:$9,0))</f>
        <v>2</v>
      </c>
      <c r="Y69" s="255"/>
      <c r="AA69" s="255"/>
    </row>
    <row r="70" spans="3:27">
      <c r="C70" s="29">
        <f t="shared" si="21"/>
        <v>46873</v>
      </c>
      <c r="D70" s="14">
        <f>COUNTIFS('Full Events Detail'!$C:$C,$C70)</f>
        <v>0</v>
      </c>
      <c r="E70" s="97">
        <f>SUMIFS('Full Events Detail'!$F:$F,'Full Events Detail'!$C:$C,$C70)</f>
        <v>0</v>
      </c>
      <c r="F70" s="60">
        <f t="shared" si="15"/>
        <v>0</v>
      </c>
      <c r="H70" s="14">
        <f>COUNTIFS('Full Events Detail'!$C:$C,$C70,'Full Events Detail'!$G:$G,"&gt;"&amp;0)</f>
        <v>0</v>
      </c>
      <c r="I70" s="97">
        <f>SUMIFS('Full Events Detail'!$G:$G,'Full Events Detail'!$C:$C,$C70)</f>
        <v>0</v>
      </c>
      <c r="J70" s="60">
        <f t="shared" si="22"/>
        <v>0</v>
      </c>
      <c r="L70" s="14">
        <f>COUNTIFS('Full Events Detail'!$C:$C,$C70,'Full Events Detail'!$H:$H,"&gt;"&amp;0)</f>
        <v>0</v>
      </c>
      <c r="M70" s="97">
        <f>SUMIFS('Full Events Detail'!$H:$H,'Full Events Detail'!$C:$C,$C70)</f>
        <v>0</v>
      </c>
      <c r="N70" s="60">
        <f t="shared" si="17"/>
        <v>0</v>
      </c>
      <c r="P70" s="32">
        <f t="shared" si="23"/>
        <v>0</v>
      </c>
      <c r="Q70" s="60">
        <f t="shared" si="24"/>
        <v>0</v>
      </c>
      <c r="R70" s="60">
        <f t="shared" si="31"/>
        <v>0</v>
      </c>
      <c r="T70" s="33">
        <f t="shared" si="32"/>
        <v>2028</v>
      </c>
      <c r="U70" s="33" t="s">
        <v>444</v>
      </c>
      <c r="V70" s="275">
        <f>INDEX('Detailed P&amp;L'!$3:$3,MATCH($C70,'Detailed P&amp;L'!$9:$9,0))</f>
        <v>2</v>
      </c>
      <c r="Y70" s="255"/>
      <c r="AA70" s="255"/>
    </row>
    <row r="71" spans="3:27">
      <c r="C71" s="29">
        <f t="shared" si="21"/>
        <v>46904</v>
      </c>
      <c r="D71" s="14">
        <f>COUNTIFS('Full Events Detail'!$C:$C,$C71)</f>
        <v>0</v>
      </c>
      <c r="E71" s="97">
        <f>SUMIFS('Full Events Detail'!$F:$F,'Full Events Detail'!$C:$C,$C71)</f>
        <v>0</v>
      </c>
      <c r="F71" s="60">
        <f t="shared" si="15"/>
        <v>0</v>
      </c>
      <c r="H71" s="14">
        <f>COUNTIFS('Full Events Detail'!$C:$C,$C71,'Full Events Detail'!$G:$G,"&gt;"&amp;0)</f>
        <v>0</v>
      </c>
      <c r="I71" s="97">
        <f>SUMIFS('Full Events Detail'!$G:$G,'Full Events Detail'!$C:$C,$C71)</f>
        <v>0</v>
      </c>
      <c r="J71" s="60">
        <f t="shared" si="22"/>
        <v>0</v>
      </c>
      <c r="L71" s="14">
        <f>COUNTIFS('Full Events Detail'!$C:$C,$C71,'Full Events Detail'!$H:$H,"&gt;"&amp;0)</f>
        <v>0</v>
      </c>
      <c r="M71" s="97">
        <f>SUMIFS('Full Events Detail'!$H:$H,'Full Events Detail'!$C:$C,$C71)</f>
        <v>0</v>
      </c>
      <c r="N71" s="60">
        <f t="shared" si="17"/>
        <v>0</v>
      </c>
      <c r="P71" s="32">
        <f t="shared" si="23"/>
        <v>0</v>
      </c>
      <c r="Q71" s="60">
        <f t="shared" si="24"/>
        <v>0</v>
      </c>
      <c r="R71" s="60">
        <f t="shared" si="31"/>
        <v>0</v>
      </c>
      <c r="T71" s="33">
        <f t="shared" si="32"/>
        <v>2028</v>
      </c>
      <c r="U71" s="33" t="s">
        <v>444</v>
      </c>
      <c r="V71" s="275">
        <f>INDEX('Detailed P&amp;L'!$3:$3,MATCH($C71,'Detailed P&amp;L'!$9:$9,0))</f>
        <v>2</v>
      </c>
      <c r="Y71" s="255"/>
      <c r="AA71" s="255"/>
    </row>
    <row r="72" spans="3:27">
      <c r="C72" s="29">
        <f t="shared" si="21"/>
        <v>46934</v>
      </c>
      <c r="D72" s="14">
        <f>COUNTIFS('Full Events Detail'!$C:$C,$C72)</f>
        <v>0</v>
      </c>
      <c r="E72" s="97">
        <f>SUMIFS('Full Events Detail'!$F:$F,'Full Events Detail'!$C:$C,$C72)</f>
        <v>0</v>
      </c>
      <c r="F72" s="60">
        <f t="shared" si="15"/>
        <v>0</v>
      </c>
      <c r="H72" s="14">
        <f>COUNTIFS('Full Events Detail'!$C:$C,$C72,'Full Events Detail'!$G:$G,"&gt;"&amp;0)</f>
        <v>0</v>
      </c>
      <c r="I72" s="97">
        <f>SUMIFS('Full Events Detail'!$G:$G,'Full Events Detail'!$C:$C,$C72)</f>
        <v>0</v>
      </c>
      <c r="J72" s="60">
        <f t="shared" si="22"/>
        <v>0</v>
      </c>
      <c r="L72" s="14">
        <f>COUNTIFS('Full Events Detail'!$C:$C,$C72,'Full Events Detail'!$H:$H,"&gt;"&amp;0)</f>
        <v>0</v>
      </c>
      <c r="M72" s="97">
        <f>SUMIFS('Full Events Detail'!$H:$H,'Full Events Detail'!$C:$C,$C72)</f>
        <v>0</v>
      </c>
      <c r="N72" s="60">
        <f t="shared" si="17"/>
        <v>0</v>
      </c>
      <c r="P72" s="32">
        <f t="shared" si="23"/>
        <v>0</v>
      </c>
      <c r="Q72" s="60">
        <f t="shared" si="24"/>
        <v>0</v>
      </c>
      <c r="R72" s="60">
        <f t="shared" si="31"/>
        <v>0</v>
      </c>
      <c r="T72" s="33">
        <f t="shared" si="32"/>
        <v>2028</v>
      </c>
      <c r="U72" s="33" t="s">
        <v>444</v>
      </c>
      <c r="V72" s="275">
        <f>INDEX('Detailed P&amp;L'!$3:$3,MATCH($C72,'Detailed P&amp;L'!$9:$9,0))</f>
        <v>2</v>
      </c>
      <c r="Y72" s="255"/>
      <c r="AA72" s="255"/>
    </row>
    <row r="73" spans="3:27">
      <c r="C73" s="29">
        <f t="shared" si="21"/>
        <v>46965</v>
      </c>
      <c r="D73" s="14">
        <f>COUNTIFS('Full Events Detail'!$C:$C,$C73)</f>
        <v>0</v>
      </c>
      <c r="E73" s="97">
        <f>SUMIFS('Full Events Detail'!$F:$F,'Full Events Detail'!$C:$C,$C73)</f>
        <v>0</v>
      </c>
      <c r="F73" s="60">
        <f t="shared" si="15"/>
        <v>0</v>
      </c>
      <c r="H73" s="14">
        <f>COUNTIFS('Full Events Detail'!$C:$C,$C73,'Full Events Detail'!$G:$G,"&gt;"&amp;0)</f>
        <v>0</v>
      </c>
      <c r="I73" s="97">
        <f>SUMIFS('Full Events Detail'!$G:$G,'Full Events Detail'!$C:$C,$C73)</f>
        <v>0</v>
      </c>
      <c r="J73" s="60">
        <f t="shared" si="22"/>
        <v>0</v>
      </c>
      <c r="L73" s="14">
        <f>COUNTIFS('Full Events Detail'!$C:$C,$C73,'Full Events Detail'!$H:$H,"&gt;"&amp;0)</f>
        <v>0</v>
      </c>
      <c r="M73" s="97">
        <f>SUMIFS('Full Events Detail'!$H:$H,'Full Events Detail'!$C:$C,$C73)</f>
        <v>0</v>
      </c>
      <c r="N73" s="60">
        <f t="shared" si="17"/>
        <v>0</v>
      </c>
      <c r="P73" s="32">
        <f t="shared" si="23"/>
        <v>0</v>
      </c>
      <c r="Q73" s="60">
        <f t="shared" si="24"/>
        <v>0</v>
      </c>
      <c r="R73" s="60">
        <f t="shared" si="31"/>
        <v>0</v>
      </c>
      <c r="T73" s="33">
        <f t="shared" si="32"/>
        <v>2028</v>
      </c>
      <c r="U73" s="33" t="s">
        <v>444</v>
      </c>
      <c r="V73" s="275">
        <f>INDEX('Detailed P&amp;L'!$3:$3,MATCH($C73,'Detailed P&amp;L'!$9:$9,0))</f>
        <v>2</v>
      </c>
      <c r="Y73" s="255"/>
      <c r="AA73" s="255"/>
    </row>
    <row r="74" spans="3:27">
      <c r="C74" s="29">
        <f t="shared" si="21"/>
        <v>46996</v>
      </c>
      <c r="D74" s="14">
        <f>COUNTIFS('Full Events Detail'!$C:$C,$C74)</f>
        <v>0</v>
      </c>
      <c r="E74" s="97">
        <f>SUMIFS('Full Events Detail'!$F:$F,'Full Events Detail'!$C:$C,$C74)</f>
        <v>0</v>
      </c>
      <c r="F74" s="60">
        <f t="shared" si="15"/>
        <v>0</v>
      </c>
      <c r="H74" s="14">
        <f>COUNTIFS('Full Events Detail'!$C:$C,$C74,'Full Events Detail'!$G:$G,"&gt;"&amp;0)</f>
        <v>0</v>
      </c>
      <c r="I74" s="97">
        <f>SUMIFS('Full Events Detail'!$G:$G,'Full Events Detail'!$C:$C,$C74)</f>
        <v>0</v>
      </c>
      <c r="J74" s="60">
        <f t="shared" si="22"/>
        <v>0</v>
      </c>
      <c r="L74" s="14">
        <f>COUNTIFS('Full Events Detail'!$C:$C,$C74,'Full Events Detail'!$H:$H,"&gt;"&amp;0)</f>
        <v>0</v>
      </c>
      <c r="M74" s="97">
        <f>SUMIFS('Full Events Detail'!$H:$H,'Full Events Detail'!$C:$C,$C74)</f>
        <v>0</v>
      </c>
      <c r="N74" s="60">
        <f t="shared" si="17"/>
        <v>0</v>
      </c>
      <c r="P74" s="32">
        <f t="shared" si="23"/>
        <v>0</v>
      </c>
      <c r="Q74" s="60">
        <f t="shared" si="24"/>
        <v>0</v>
      </c>
      <c r="R74" s="60">
        <f t="shared" si="31"/>
        <v>0</v>
      </c>
      <c r="T74" s="33">
        <f t="shared" si="32"/>
        <v>2028</v>
      </c>
      <c r="U74" s="34" t="s">
        <v>444</v>
      </c>
      <c r="V74" s="275">
        <f>INDEX('Detailed P&amp;L'!$3:$3,MATCH($C74,'Detailed P&amp;L'!$9:$9,0))</f>
        <v>2</v>
      </c>
      <c r="Y74" s="255"/>
      <c r="AA74" s="255"/>
    </row>
    <row r="75" spans="3:27">
      <c r="C75" s="29">
        <f t="shared" si="21"/>
        <v>47026</v>
      </c>
      <c r="D75" s="14">
        <f>COUNTIFS('Full Events Detail'!$C:$C,$C75)</f>
        <v>0</v>
      </c>
      <c r="E75" s="97">
        <f>SUMIFS('Full Events Detail'!$F:$F,'Full Events Detail'!$C:$C,$C75)</f>
        <v>0</v>
      </c>
      <c r="F75" s="60">
        <f t="shared" si="15"/>
        <v>0</v>
      </c>
      <c r="H75" s="14">
        <f>COUNTIFS('Full Events Detail'!$C:$C,$C75,'Full Events Detail'!$G:$G,"&gt;"&amp;0)</f>
        <v>0</v>
      </c>
      <c r="I75" s="97">
        <f>SUMIFS('Full Events Detail'!$G:$G,'Full Events Detail'!$C:$C,$C75)</f>
        <v>0</v>
      </c>
      <c r="J75" s="60">
        <f t="shared" si="22"/>
        <v>0</v>
      </c>
      <c r="L75" s="14">
        <f>COUNTIFS('Full Events Detail'!$C:$C,$C75,'Full Events Detail'!$H:$H,"&gt;"&amp;0)</f>
        <v>0</v>
      </c>
      <c r="M75" s="97">
        <f>SUMIFS('Full Events Detail'!$H:$H,'Full Events Detail'!$C:$C,$C75)</f>
        <v>0</v>
      </c>
      <c r="N75" s="60">
        <f t="shared" si="17"/>
        <v>0</v>
      </c>
      <c r="P75" s="32">
        <f t="shared" si="23"/>
        <v>0</v>
      </c>
      <c r="Q75" s="60">
        <f t="shared" si="24"/>
        <v>0</v>
      </c>
      <c r="R75" s="60">
        <f t="shared" si="31"/>
        <v>0</v>
      </c>
      <c r="T75" s="33">
        <f t="shared" si="32"/>
        <v>2028</v>
      </c>
      <c r="U75" s="33" t="s">
        <v>450</v>
      </c>
      <c r="V75" s="275">
        <f>INDEX('Detailed P&amp;L'!$3:$3,MATCH($C75,'Detailed P&amp;L'!$9:$9,0))</f>
        <v>3</v>
      </c>
      <c r="Y75" s="255"/>
      <c r="AA75" s="255"/>
    </row>
    <row r="76" spans="3:27">
      <c r="C76" s="29">
        <f t="shared" si="21"/>
        <v>47057</v>
      </c>
      <c r="D76" s="14">
        <f>COUNTIFS('Full Events Detail'!$C:$C,$C76)</f>
        <v>0</v>
      </c>
      <c r="E76" s="97">
        <f>SUMIFS('Full Events Detail'!$F:$F,'Full Events Detail'!$C:$C,$C76)</f>
        <v>0</v>
      </c>
      <c r="F76" s="60">
        <f t="shared" si="15"/>
        <v>0</v>
      </c>
      <c r="H76" s="14">
        <f>COUNTIFS('Full Events Detail'!$C:$C,$C76,'Full Events Detail'!$G:$G,"&gt;"&amp;0)</f>
        <v>0</v>
      </c>
      <c r="I76" s="97">
        <f>SUMIFS('Full Events Detail'!$G:$G,'Full Events Detail'!$C:$C,$C76)</f>
        <v>0</v>
      </c>
      <c r="J76" s="60">
        <f t="shared" si="22"/>
        <v>0</v>
      </c>
      <c r="L76" s="14">
        <f>COUNTIFS('Full Events Detail'!$C:$C,$C76,'Full Events Detail'!$H:$H,"&gt;"&amp;0)</f>
        <v>0</v>
      </c>
      <c r="M76" s="97">
        <f>SUMIFS('Full Events Detail'!$H:$H,'Full Events Detail'!$C:$C,$C76)</f>
        <v>0</v>
      </c>
      <c r="N76" s="60">
        <f t="shared" si="17"/>
        <v>0</v>
      </c>
      <c r="P76" s="32">
        <f t="shared" si="23"/>
        <v>0</v>
      </c>
      <c r="Q76" s="60">
        <f t="shared" si="24"/>
        <v>0</v>
      </c>
      <c r="R76" s="60">
        <f t="shared" si="31"/>
        <v>0</v>
      </c>
      <c r="T76" s="33">
        <f t="shared" si="32"/>
        <v>2028</v>
      </c>
      <c r="U76" s="33" t="s">
        <v>450</v>
      </c>
      <c r="V76" s="275">
        <f>INDEX('Detailed P&amp;L'!$3:$3,MATCH($C76,'Detailed P&amp;L'!$9:$9,0))</f>
        <v>3</v>
      </c>
      <c r="Y76" s="255"/>
      <c r="AA76" s="255"/>
    </row>
    <row r="77" spans="3:27">
      <c r="C77" s="29">
        <f t="shared" si="21"/>
        <v>47087</v>
      </c>
      <c r="D77" s="14">
        <f>COUNTIFS('Full Events Detail'!$C:$C,$C77)</f>
        <v>0</v>
      </c>
      <c r="E77" s="97">
        <f>SUMIFS('Full Events Detail'!$F:$F,'Full Events Detail'!$C:$C,$C77)</f>
        <v>0</v>
      </c>
      <c r="F77" s="60">
        <f t="shared" si="15"/>
        <v>0</v>
      </c>
      <c r="H77" s="14">
        <f>COUNTIFS('Full Events Detail'!$C:$C,$C77,'Full Events Detail'!$G:$G,"&gt;"&amp;0)</f>
        <v>0</v>
      </c>
      <c r="I77" s="97">
        <f>SUMIFS('Full Events Detail'!$G:$G,'Full Events Detail'!$C:$C,$C77)</f>
        <v>0</v>
      </c>
      <c r="J77" s="60">
        <f t="shared" si="22"/>
        <v>0</v>
      </c>
      <c r="L77" s="14">
        <f>COUNTIFS('Full Events Detail'!$C:$C,$C77,'Full Events Detail'!$H:$H,"&gt;"&amp;0)</f>
        <v>0</v>
      </c>
      <c r="M77" s="97">
        <f>SUMIFS('Full Events Detail'!$H:$H,'Full Events Detail'!$C:$C,$C77)</f>
        <v>0</v>
      </c>
      <c r="N77" s="60">
        <f t="shared" si="17"/>
        <v>0</v>
      </c>
      <c r="P77" s="32">
        <f t="shared" si="23"/>
        <v>0</v>
      </c>
      <c r="Q77" s="60">
        <f t="shared" si="24"/>
        <v>0</v>
      </c>
      <c r="R77" s="60">
        <f t="shared" si="31"/>
        <v>0</v>
      </c>
      <c r="T77" s="33">
        <f t="shared" si="32"/>
        <v>2028</v>
      </c>
      <c r="U77" s="33" t="s">
        <v>450</v>
      </c>
      <c r="V77" s="275">
        <f>INDEX('Detailed P&amp;L'!$3:$3,MATCH($C77,'Detailed P&amp;L'!$9:$9,0))</f>
        <v>3</v>
      </c>
      <c r="Y77" s="255"/>
      <c r="AA77" s="255"/>
    </row>
    <row r="78" spans="3:27">
      <c r="C78" s="29">
        <f t="shared" si="21"/>
        <v>47118</v>
      </c>
      <c r="D78" s="14">
        <f>COUNTIFS('Full Events Detail'!$C:$C,$C78)</f>
        <v>0</v>
      </c>
      <c r="E78" s="97">
        <f>SUMIFS('Full Events Detail'!$F:$F,'Full Events Detail'!$C:$C,$C78)</f>
        <v>0</v>
      </c>
      <c r="F78" s="60">
        <f t="shared" si="15"/>
        <v>0</v>
      </c>
      <c r="H78" s="14">
        <f>COUNTIFS('Full Events Detail'!$C:$C,$C78,'Full Events Detail'!$G:$G,"&gt;"&amp;0)</f>
        <v>0</v>
      </c>
      <c r="I78" s="97">
        <f>SUMIFS('Full Events Detail'!$G:$G,'Full Events Detail'!$C:$C,$C78)</f>
        <v>0</v>
      </c>
      <c r="J78" s="60">
        <f t="shared" si="22"/>
        <v>0</v>
      </c>
      <c r="L78" s="14">
        <f>COUNTIFS('Full Events Detail'!$C:$C,$C78,'Full Events Detail'!$H:$H,"&gt;"&amp;0)</f>
        <v>0</v>
      </c>
      <c r="M78" s="97">
        <f>SUMIFS('Full Events Detail'!$H:$H,'Full Events Detail'!$C:$C,$C78)</f>
        <v>0</v>
      </c>
      <c r="N78" s="60">
        <f t="shared" si="17"/>
        <v>0</v>
      </c>
      <c r="P78" s="32">
        <f t="shared" si="23"/>
        <v>0</v>
      </c>
      <c r="Q78" s="60">
        <f t="shared" si="24"/>
        <v>0</v>
      </c>
      <c r="R78" s="60">
        <f t="shared" si="31"/>
        <v>0</v>
      </c>
      <c r="T78" s="33">
        <f t="shared" si="32"/>
        <v>2028</v>
      </c>
      <c r="U78" s="33" t="s">
        <v>450</v>
      </c>
      <c r="V78" s="275">
        <f>INDEX('Detailed P&amp;L'!$3:$3,MATCH($C78,'Detailed P&amp;L'!$9:$9,0))</f>
        <v>3</v>
      </c>
      <c r="Y78" s="255"/>
      <c r="AA78" s="255"/>
    </row>
    <row r="79" spans="3:27">
      <c r="C79" s="29">
        <f t="shared" si="21"/>
        <v>47149</v>
      </c>
      <c r="D79" s="14">
        <f>COUNTIFS('Full Events Detail'!$C:$C,$C79)</f>
        <v>0</v>
      </c>
      <c r="E79" s="97">
        <f>SUMIFS('Full Events Detail'!$F:$F,'Full Events Detail'!$C:$C,$C79)</f>
        <v>0</v>
      </c>
      <c r="F79" s="60">
        <f t="shared" si="15"/>
        <v>0</v>
      </c>
      <c r="H79" s="14">
        <f>COUNTIFS('Full Events Detail'!$C:$C,$C79,'Full Events Detail'!$G:$G,"&gt;"&amp;0)</f>
        <v>0</v>
      </c>
      <c r="I79" s="97">
        <f>SUMIFS('Full Events Detail'!$G:$G,'Full Events Detail'!$C:$C,$C79)</f>
        <v>0</v>
      </c>
      <c r="J79" s="60">
        <f t="shared" si="22"/>
        <v>0</v>
      </c>
      <c r="L79" s="14">
        <f>COUNTIFS('Full Events Detail'!$C:$C,$C79,'Full Events Detail'!$H:$H,"&gt;"&amp;0)</f>
        <v>0</v>
      </c>
      <c r="M79" s="97">
        <f>SUMIFS('Full Events Detail'!$H:$H,'Full Events Detail'!$C:$C,$C79)</f>
        <v>0</v>
      </c>
      <c r="N79" s="60">
        <f t="shared" si="17"/>
        <v>0</v>
      </c>
      <c r="P79" s="32">
        <f t="shared" si="23"/>
        <v>0</v>
      </c>
      <c r="Q79" s="60">
        <f t="shared" si="24"/>
        <v>0</v>
      </c>
      <c r="R79" s="60">
        <f t="shared" ref="R79:R86" si="33">IFERROR(Q79/P79,0)</f>
        <v>0</v>
      </c>
      <c r="T79" s="33">
        <f t="shared" ref="T79:T86" si="34">YEAR(C79)</f>
        <v>2029</v>
      </c>
      <c r="U79" s="33" t="s">
        <v>450</v>
      </c>
      <c r="V79" s="275">
        <f>INDEX('Detailed P&amp;L'!$3:$3,MATCH($C79,'Detailed P&amp;L'!$9:$9,0))</f>
        <v>3</v>
      </c>
    </row>
    <row r="80" spans="3:27">
      <c r="C80" s="29">
        <f t="shared" si="21"/>
        <v>47177</v>
      </c>
      <c r="D80" s="14">
        <f>COUNTIFS('Full Events Detail'!$C:$C,$C80)</f>
        <v>0</v>
      </c>
      <c r="E80" s="97">
        <f>SUMIFS('Full Events Detail'!$F:$F,'Full Events Detail'!$C:$C,$C80)</f>
        <v>0</v>
      </c>
      <c r="F80" s="60">
        <f t="shared" si="15"/>
        <v>0</v>
      </c>
      <c r="H80" s="14">
        <f>COUNTIFS('Full Events Detail'!$C:$C,$C80,'Full Events Detail'!$G:$G,"&gt;"&amp;0)</f>
        <v>0</v>
      </c>
      <c r="I80" s="97">
        <f>SUMIFS('Full Events Detail'!$G:$G,'Full Events Detail'!$C:$C,$C80)</f>
        <v>0</v>
      </c>
      <c r="J80" s="60">
        <f t="shared" si="22"/>
        <v>0</v>
      </c>
      <c r="L80" s="14">
        <f>COUNTIFS('Full Events Detail'!$C:$C,$C80,'Full Events Detail'!$H:$H,"&gt;"&amp;0)</f>
        <v>0</v>
      </c>
      <c r="M80" s="97">
        <f>SUMIFS('Full Events Detail'!$H:$H,'Full Events Detail'!$C:$C,$C80)</f>
        <v>0</v>
      </c>
      <c r="N80" s="60">
        <f t="shared" si="17"/>
        <v>0</v>
      </c>
      <c r="P80" s="32">
        <f t="shared" si="23"/>
        <v>0</v>
      </c>
      <c r="Q80" s="60">
        <f t="shared" si="24"/>
        <v>0</v>
      </c>
      <c r="R80" s="60">
        <f t="shared" si="33"/>
        <v>0</v>
      </c>
      <c r="T80" s="33">
        <f t="shared" si="34"/>
        <v>2029</v>
      </c>
      <c r="U80" s="33" t="s">
        <v>450</v>
      </c>
      <c r="V80" s="275">
        <f>INDEX('Detailed P&amp;L'!$3:$3,MATCH($C80,'Detailed P&amp;L'!$9:$9,0))</f>
        <v>3</v>
      </c>
    </row>
    <row r="81" spans="3:22">
      <c r="C81" s="29">
        <f t="shared" si="21"/>
        <v>47208</v>
      </c>
      <c r="D81" s="14">
        <f>COUNTIFS('Full Events Detail'!$C:$C,$C81)</f>
        <v>0</v>
      </c>
      <c r="E81" s="97">
        <f>SUMIFS('Full Events Detail'!$F:$F,'Full Events Detail'!$C:$C,$C81)</f>
        <v>0</v>
      </c>
      <c r="F81" s="60">
        <f t="shared" si="15"/>
        <v>0</v>
      </c>
      <c r="H81" s="14">
        <f>COUNTIFS('Full Events Detail'!$C:$C,$C81,'Full Events Detail'!$G:$G,"&gt;"&amp;0)</f>
        <v>0</v>
      </c>
      <c r="I81" s="97">
        <f>SUMIFS('Full Events Detail'!$G:$G,'Full Events Detail'!$C:$C,$C81)</f>
        <v>0</v>
      </c>
      <c r="J81" s="60">
        <f t="shared" si="22"/>
        <v>0</v>
      </c>
      <c r="L81" s="14">
        <f>COUNTIFS('Full Events Detail'!$C:$C,$C81,'Full Events Detail'!$H:$H,"&gt;"&amp;0)</f>
        <v>0</v>
      </c>
      <c r="M81" s="97">
        <f>SUMIFS('Full Events Detail'!$H:$H,'Full Events Detail'!$C:$C,$C81)</f>
        <v>0</v>
      </c>
      <c r="N81" s="60">
        <f t="shared" si="17"/>
        <v>0</v>
      </c>
      <c r="P81" s="32">
        <f t="shared" si="23"/>
        <v>0</v>
      </c>
      <c r="Q81" s="60">
        <f t="shared" si="24"/>
        <v>0</v>
      </c>
      <c r="R81" s="60">
        <f t="shared" si="33"/>
        <v>0</v>
      </c>
      <c r="T81" s="33">
        <f t="shared" si="34"/>
        <v>2029</v>
      </c>
      <c r="U81" s="33" t="s">
        <v>450</v>
      </c>
      <c r="V81" s="275">
        <f>INDEX('Detailed P&amp;L'!$3:$3,MATCH($C81,'Detailed P&amp;L'!$9:$9,0))</f>
        <v>3</v>
      </c>
    </row>
    <row r="82" spans="3:22">
      <c r="C82" s="29">
        <f t="shared" si="21"/>
        <v>47238</v>
      </c>
      <c r="D82" s="14">
        <f>COUNTIFS('Full Events Detail'!$C:$C,$C82)</f>
        <v>0</v>
      </c>
      <c r="E82" s="97">
        <f>SUMIFS('Full Events Detail'!$F:$F,'Full Events Detail'!$C:$C,$C82)</f>
        <v>0</v>
      </c>
      <c r="F82" s="60">
        <f t="shared" si="15"/>
        <v>0</v>
      </c>
      <c r="H82" s="14">
        <f>COUNTIFS('Full Events Detail'!$C:$C,$C82,'Full Events Detail'!$G:$G,"&gt;"&amp;0)</f>
        <v>0</v>
      </c>
      <c r="I82" s="97">
        <f>SUMIFS('Full Events Detail'!$G:$G,'Full Events Detail'!$C:$C,$C82)</f>
        <v>0</v>
      </c>
      <c r="J82" s="60">
        <f t="shared" si="22"/>
        <v>0</v>
      </c>
      <c r="L82" s="14">
        <f>COUNTIFS('Full Events Detail'!$C:$C,$C82,'Full Events Detail'!$H:$H,"&gt;"&amp;0)</f>
        <v>0</v>
      </c>
      <c r="M82" s="97">
        <f>SUMIFS('Full Events Detail'!$H:$H,'Full Events Detail'!$C:$C,$C82)</f>
        <v>0</v>
      </c>
      <c r="N82" s="60">
        <f t="shared" si="17"/>
        <v>0</v>
      </c>
      <c r="P82" s="32">
        <f t="shared" si="23"/>
        <v>0</v>
      </c>
      <c r="Q82" s="60">
        <f t="shared" si="24"/>
        <v>0</v>
      </c>
      <c r="R82" s="60">
        <f t="shared" si="33"/>
        <v>0</v>
      </c>
      <c r="T82" s="33">
        <f t="shared" si="34"/>
        <v>2029</v>
      </c>
      <c r="U82" s="33" t="s">
        <v>450</v>
      </c>
      <c r="V82" s="275">
        <f>INDEX('Detailed P&amp;L'!$3:$3,MATCH($C82,'Detailed P&amp;L'!$9:$9,0))</f>
        <v>3</v>
      </c>
    </row>
    <row r="83" spans="3:22">
      <c r="C83" s="29">
        <f t="shared" si="21"/>
        <v>47269</v>
      </c>
      <c r="D83" s="14">
        <f>COUNTIFS('Full Events Detail'!$C:$C,$C83)</f>
        <v>0</v>
      </c>
      <c r="E83" s="97">
        <f>SUMIFS('Full Events Detail'!$F:$F,'Full Events Detail'!$C:$C,$C83)</f>
        <v>0</v>
      </c>
      <c r="F83" s="60">
        <f t="shared" ref="F83:F86" si="35">IFERROR(E83/D83,0)</f>
        <v>0</v>
      </c>
      <c r="H83" s="14">
        <f>COUNTIFS('Full Events Detail'!$C:$C,$C83,'Full Events Detail'!$G:$G,"&gt;"&amp;0)</f>
        <v>0</v>
      </c>
      <c r="I83" s="97">
        <f>SUMIFS('Full Events Detail'!$G:$G,'Full Events Detail'!$C:$C,$C83)</f>
        <v>0</v>
      </c>
      <c r="J83" s="60">
        <f t="shared" si="22"/>
        <v>0</v>
      </c>
      <c r="L83" s="14">
        <f>COUNTIFS('Full Events Detail'!$C:$C,$C83,'Full Events Detail'!$H:$H,"&gt;"&amp;0)</f>
        <v>0</v>
      </c>
      <c r="M83" s="97">
        <f>SUMIFS('Full Events Detail'!$H:$H,'Full Events Detail'!$C:$C,$C83)</f>
        <v>0</v>
      </c>
      <c r="N83" s="60">
        <f t="shared" ref="N83:N86" si="36">IFERROR(M83/L83,0)</f>
        <v>0</v>
      </c>
      <c r="P83" s="32">
        <f t="shared" si="23"/>
        <v>0</v>
      </c>
      <c r="Q83" s="60">
        <f t="shared" si="24"/>
        <v>0</v>
      </c>
      <c r="R83" s="60">
        <f t="shared" si="33"/>
        <v>0</v>
      </c>
      <c r="T83" s="33">
        <f t="shared" si="34"/>
        <v>2029</v>
      </c>
      <c r="U83" s="33" t="s">
        <v>450</v>
      </c>
      <c r="V83" s="275">
        <f>INDEX('Detailed P&amp;L'!$3:$3,MATCH($C83,'Detailed P&amp;L'!$9:$9,0))</f>
        <v>3</v>
      </c>
    </row>
    <row r="84" spans="3:22">
      <c r="C84" s="29">
        <f t="shared" ref="C84:C86" si="37">EOMONTH(C83,1)</f>
        <v>47299</v>
      </c>
      <c r="D84" s="14">
        <f>COUNTIFS('Full Events Detail'!$C:$C,$C84)</f>
        <v>0</v>
      </c>
      <c r="E84" s="97">
        <f>SUMIFS('Full Events Detail'!$F:$F,'Full Events Detail'!$C:$C,$C84)</f>
        <v>0</v>
      </c>
      <c r="F84" s="60">
        <f t="shared" si="35"/>
        <v>0</v>
      </c>
      <c r="H84" s="14">
        <f>COUNTIFS('Full Events Detail'!$C:$C,$C84,'Full Events Detail'!$G:$G,"&gt;"&amp;0)</f>
        <v>0</v>
      </c>
      <c r="I84" s="97">
        <f>SUMIFS('Full Events Detail'!$G:$G,'Full Events Detail'!$C:$C,$C84)</f>
        <v>0</v>
      </c>
      <c r="J84" s="60">
        <f t="shared" ref="J84:J86" si="38">IFERROR(I84/H84,0)</f>
        <v>0</v>
      </c>
      <c r="L84" s="14">
        <f>COUNTIFS('Full Events Detail'!$C:$C,$C84,'Full Events Detail'!$H:$H,"&gt;"&amp;0)</f>
        <v>0</v>
      </c>
      <c r="M84" s="97">
        <f>SUMIFS('Full Events Detail'!$H:$H,'Full Events Detail'!$C:$C,$C84)</f>
        <v>0</v>
      </c>
      <c r="N84" s="60">
        <f t="shared" si="36"/>
        <v>0</v>
      </c>
      <c r="P84" s="32">
        <f t="shared" ref="P84:P86" si="39">D84</f>
        <v>0</v>
      </c>
      <c r="Q84" s="60">
        <f t="shared" ref="Q84:Q86" si="40">E84+I84+M84</f>
        <v>0</v>
      </c>
      <c r="R84" s="60">
        <f t="shared" si="33"/>
        <v>0</v>
      </c>
      <c r="T84" s="33">
        <f t="shared" si="34"/>
        <v>2029</v>
      </c>
      <c r="U84" s="33" t="s">
        <v>450</v>
      </c>
      <c r="V84" s="275">
        <f>INDEX('Detailed P&amp;L'!$3:$3,MATCH($C84,'Detailed P&amp;L'!$9:$9,0))</f>
        <v>3</v>
      </c>
    </row>
    <row r="85" spans="3:22">
      <c r="C85" s="29">
        <f t="shared" si="37"/>
        <v>47330</v>
      </c>
      <c r="D85" s="14">
        <f>COUNTIFS('Full Events Detail'!$C:$C,$C85)</f>
        <v>0</v>
      </c>
      <c r="E85" s="97">
        <f>SUMIFS('Full Events Detail'!$F:$F,'Full Events Detail'!$C:$C,$C85)</f>
        <v>0</v>
      </c>
      <c r="F85" s="60">
        <f t="shared" si="35"/>
        <v>0</v>
      </c>
      <c r="H85" s="14">
        <f>COUNTIFS('Full Events Detail'!$C:$C,$C85,'Full Events Detail'!$G:$G,"&gt;"&amp;0)</f>
        <v>0</v>
      </c>
      <c r="I85" s="97">
        <f>SUMIFS('Full Events Detail'!$G:$G,'Full Events Detail'!$C:$C,$C85)</f>
        <v>0</v>
      </c>
      <c r="J85" s="60">
        <f t="shared" si="38"/>
        <v>0</v>
      </c>
      <c r="L85" s="14">
        <f>COUNTIFS('Full Events Detail'!$C:$C,$C85,'Full Events Detail'!$H:$H,"&gt;"&amp;0)</f>
        <v>0</v>
      </c>
      <c r="M85" s="97">
        <f>SUMIFS('Full Events Detail'!$H:$H,'Full Events Detail'!$C:$C,$C85)</f>
        <v>0</v>
      </c>
      <c r="N85" s="60">
        <f t="shared" si="36"/>
        <v>0</v>
      </c>
      <c r="P85" s="32">
        <f t="shared" si="39"/>
        <v>0</v>
      </c>
      <c r="Q85" s="60">
        <f t="shared" si="40"/>
        <v>0</v>
      </c>
      <c r="R85" s="60">
        <f t="shared" si="33"/>
        <v>0</v>
      </c>
      <c r="T85" s="33">
        <f t="shared" si="34"/>
        <v>2029</v>
      </c>
      <c r="U85" s="33" t="s">
        <v>450</v>
      </c>
      <c r="V85" s="275">
        <f>INDEX('Detailed P&amp;L'!$3:$3,MATCH($C85,'Detailed P&amp;L'!$9:$9,0))</f>
        <v>3</v>
      </c>
    </row>
    <row r="86" spans="3:22">
      <c r="C86" s="29">
        <f t="shared" si="37"/>
        <v>47361</v>
      </c>
      <c r="D86" s="14">
        <f>COUNTIFS('Full Events Detail'!$C:$C,$C86)</f>
        <v>0</v>
      </c>
      <c r="E86" s="97">
        <f>SUMIFS('Full Events Detail'!$F:$F,'Full Events Detail'!$C:$C,$C86)</f>
        <v>0</v>
      </c>
      <c r="F86" s="60">
        <f t="shared" si="35"/>
        <v>0</v>
      </c>
      <c r="H86" s="14">
        <f>COUNTIFS('Full Events Detail'!$C:$C,$C86,'Full Events Detail'!$G:$G,"&gt;"&amp;0)</f>
        <v>0</v>
      </c>
      <c r="I86" s="97">
        <f>SUMIFS('Full Events Detail'!$G:$G,'Full Events Detail'!$C:$C,$C86)</f>
        <v>0</v>
      </c>
      <c r="J86" s="60">
        <f t="shared" si="38"/>
        <v>0</v>
      </c>
      <c r="L86" s="14">
        <f>COUNTIFS('Full Events Detail'!$C:$C,$C86,'Full Events Detail'!$H:$H,"&gt;"&amp;0)</f>
        <v>0</v>
      </c>
      <c r="M86" s="97">
        <f>SUMIFS('Full Events Detail'!$H:$H,'Full Events Detail'!$C:$C,$C86)</f>
        <v>0</v>
      </c>
      <c r="N86" s="60">
        <f t="shared" si="36"/>
        <v>0</v>
      </c>
      <c r="P86" s="32">
        <f t="shared" si="39"/>
        <v>0</v>
      </c>
      <c r="Q86" s="60">
        <f t="shared" si="40"/>
        <v>0</v>
      </c>
      <c r="R86" s="60">
        <f t="shared" si="33"/>
        <v>0</v>
      </c>
      <c r="T86" s="33">
        <f t="shared" si="34"/>
        <v>2029</v>
      </c>
      <c r="U86" s="34" t="s">
        <v>450</v>
      </c>
      <c r="V86" s="275">
        <f>INDEX('Detailed P&amp;L'!$3:$3,MATCH($C86,'Detailed P&amp;L'!$9:$9,0))</f>
        <v>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D2FB-B0D6-419E-B145-6F167B1F2F1C}">
  <sheetPr codeName="Sheet12">
    <tabColor theme="3"/>
  </sheetPr>
  <dimension ref="A1"/>
  <sheetViews>
    <sheetView view="pageBreakPreview" zoomScale="60" zoomScaleNormal="100" workbookViewId="0">
      <selection activeCell="I3" sqref="I3"/>
    </sheetView>
  </sheetViews>
  <sheetFormatPr defaultRowHeight="14.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4342-A7C2-40BE-BCE1-D19C0E649EAB}">
  <sheetPr>
    <tabColor theme="3"/>
  </sheetPr>
  <dimension ref="C2:H11"/>
  <sheetViews>
    <sheetView workbookViewId="0"/>
  </sheetViews>
  <sheetFormatPr defaultRowHeight="14.5"/>
  <cols>
    <col min="1" max="2" width="1.54296875" customWidth="1"/>
    <col min="3" max="3" width="10.54296875" customWidth="1"/>
    <col min="4" max="4" width="11.81640625" bestFit="1" customWidth="1"/>
    <col min="5" max="5" width="10.54296875" customWidth="1"/>
    <col min="7" max="7" width="9.81640625" bestFit="1" customWidth="1"/>
  </cols>
  <sheetData>
    <row r="2" spans="3:8" ht="5.15" customHeight="1"/>
    <row r="3" spans="3:8">
      <c r="C3" s="58" t="str">
        <f>Summary!$C$3</f>
        <v>Hadden Estate</v>
      </c>
    </row>
    <row r="4" spans="3:8">
      <c r="C4" t="s">
        <v>224</v>
      </c>
    </row>
    <row r="5" spans="3:8">
      <c r="C5" s="19"/>
      <c r="D5" s="7"/>
      <c r="E5" s="7"/>
    </row>
    <row r="6" spans="3:8" ht="16">
      <c r="C6" s="2" t="s">
        <v>1174</v>
      </c>
      <c r="D6" s="2" t="s">
        <v>216</v>
      </c>
      <c r="E6" s="2" t="s">
        <v>1175</v>
      </c>
      <c r="F6" s="2" t="s">
        <v>1180</v>
      </c>
      <c r="G6" s="2" t="s">
        <v>1184</v>
      </c>
    </row>
    <row r="7" spans="3:8">
      <c r="C7" t="s">
        <v>1176</v>
      </c>
      <c r="D7" t="s">
        <v>1179</v>
      </c>
      <c r="E7" s="379">
        <v>85000</v>
      </c>
    </row>
    <row r="8" spans="3:8">
      <c r="C8" t="s">
        <v>1178</v>
      </c>
      <c r="D8" t="s">
        <v>1181</v>
      </c>
      <c r="E8" s="351">
        <f>F8*G8*52</f>
        <v>60840</v>
      </c>
      <c r="F8" s="270">
        <v>39</v>
      </c>
      <c r="G8" s="270">
        <v>30</v>
      </c>
      <c r="H8" s="279" t="s">
        <v>1183</v>
      </c>
    </row>
    <row r="9" spans="3:8">
      <c r="C9" t="s">
        <v>1177</v>
      </c>
      <c r="D9" t="s">
        <v>225</v>
      </c>
      <c r="E9" s="351">
        <f>F9*G9*12</f>
        <v>2760</v>
      </c>
      <c r="F9" s="270">
        <v>23</v>
      </c>
      <c r="G9" s="270">
        <v>10</v>
      </c>
      <c r="H9" s="279" t="s">
        <v>1202</v>
      </c>
    </row>
    <row r="10" spans="3:8">
      <c r="C10" t="s">
        <v>1182</v>
      </c>
      <c r="D10" t="s">
        <v>225</v>
      </c>
      <c r="E10" s="379">
        <v>75000</v>
      </c>
    </row>
    <row r="11" spans="3:8">
      <c r="C11" t="s">
        <v>1185</v>
      </c>
      <c r="D11" t="s">
        <v>1186</v>
      </c>
      <c r="E11" s="380">
        <v>75000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753E-8F52-47A8-B1E4-5601A33D89B8}">
  <sheetPr>
    <tabColor theme="3"/>
  </sheetPr>
  <dimension ref="A1:AM94"/>
  <sheetViews>
    <sheetView zoomScale="130" zoomScaleNormal="130" workbookViewId="0">
      <pane xSplit="2" ySplit="5" topLeftCell="AJ6" activePane="bottomRight" state="frozen"/>
      <selection activeCell="I3" sqref="I3"/>
      <selection pane="topRight" activeCell="I3" sqref="I3"/>
      <selection pane="bottomLeft" activeCell="I3" sqref="I3"/>
      <selection pane="bottomRight" activeCell="AJ6" sqref="AJ6"/>
    </sheetView>
  </sheetViews>
  <sheetFormatPr defaultColWidth="12.26953125" defaultRowHeight="16" outlineLevelCol="1"/>
  <cols>
    <col min="1" max="1" width="22.81640625" style="282" bestFit="1" customWidth="1"/>
    <col min="2" max="2" width="43.54296875" style="281" bestFit="1" customWidth="1"/>
    <col min="3" max="33" width="10.54296875" style="281" hidden="1" customWidth="1" outlineLevel="1"/>
    <col min="34" max="34" width="11" style="281" hidden="1" customWidth="1" outlineLevel="1"/>
    <col min="35" max="35" width="10.54296875" style="281" hidden="1" customWidth="1" outlineLevel="1"/>
    <col min="36" max="36" width="12.26953125" style="282" collapsed="1"/>
    <col min="37" max="39" width="10.54296875" style="281" customWidth="1" outlineLevel="1"/>
    <col min="40" max="16384" width="12.26953125" style="282"/>
  </cols>
  <sheetData>
    <row r="1" spans="1:39" ht="16" customHeight="1">
      <c r="B1" s="280" t="s">
        <v>496</v>
      </c>
    </row>
    <row r="2" spans="1:39">
      <c r="B2" s="283" t="s">
        <v>497</v>
      </c>
    </row>
    <row r="3" spans="1:39">
      <c r="B3" s="284" t="s">
        <v>498</v>
      </c>
    </row>
    <row r="5" spans="1:39">
      <c r="B5" s="285" t="s">
        <v>499</v>
      </c>
      <c r="C5" s="285" t="s">
        <v>500</v>
      </c>
      <c r="D5" s="285" t="s">
        <v>501</v>
      </c>
      <c r="E5" s="285" t="s">
        <v>502</v>
      </c>
      <c r="F5" s="285" t="s">
        <v>503</v>
      </c>
      <c r="G5" s="285" t="s">
        <v>504</v>
      </c>
      <c r="H5" s="285" t="s">
        <v>505</v>
      </c>
      <c r="I5" s="285" t="s">
        <v>506</v>
      </c>
      <c r="J5" s="285" t="s">
        <v>507</v>
      </c>
      <c r="K5" s="285" t="s">
        <v>508</v>
      </c>
      <c r="L5" s="285" t="s">
        <v>509</v>
      </c>
      <c r="M5" s="285" t="s">
        <v>510</v>
      </c>
      <c r="N5" s="285" t="s">
        <v>511</v>
      </c>
      <c r="O5" s="285" t="s">
        <v>512</v>
      </c>
      <c r="P5" s="285" t="s">
        <v>513</v>
      </c>
      <c r="Q5" s="285" t="s">
        <v>514</v>
      </c>
      <c r="R5" s="285" t="s">
        <v>515</v>
      </c>
      <c r="S5" s="285" t="s">
        <v>516</v>
      </c>
      <c r="T5" s="285" t="s">
        <v>517</v>
      </c>
      <c r="U5" s="285" t="s">
        <v>518</v>
      </c>
      <c r="V5" s="285" t="s">
        <v>519</v>
      </c>
      <c r="W5" s="285" t="s">
        <v>520</v>
      </c>
      <c r="X5" s="285" t="s">
        <v>521</v>
      </c>
      <c r="Y5" s="285" t="s">
        <v>522</v>
      </c>
      <c r="Z5" s="285" t="s">
        <v>523</v>
      </c>
      <c r="AA5" s="285" t="s">
        <v>524</v>
      </c>
      <c r="AB5" s="285" t="s">
        <v>525</v>
      </c>
      <c r="AC5" s="285" t="s">
        <v>526</v>
      </c>
      <c r="AD5" s="285" t="s">
        <v>527</v>
      </c>
      <c r="AE5" s="285" t="s">
        <v>528</v>
      </c>
      <c r="AF5" s="285" t="s">
        <v>529</v>
      </c>
      <c r="AG5" s="285" t="s">
        <v>530</v>
      </c>
      <c r="AH5" s="285" t="s">
        <v>531</v>
      </c>
      <c r="AI5" s="285" t="s">
        <v>285</v>
      </c>
      <c r="AK5" s="285">
        <v>2024</v>
      </c>
      <c r="AL5" s="285">
        <v>2025</v>
      </c>
      <c r="AM5" s="285" t="s">
        <v>490</v>
      </c>
    </row>
    <row r="6" spans="1:39">
      <c r="B6" s="286" t="s">
        <v>532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</row>
    <row r="7" spans="1:39">
      <c r="B7" s="288" t="s">
        <v>533</v>
      </c>
      <c r="C7" s="289">
        <v>51118.98</v>
      </c>
      <c r="D7" s="289">
        <v>20504.68</v>
      </c>
      <c r="E7" s="289">
        <v>38295.660000000003</v>
      </c>
      <c r="F7" s="289">
        <v>29768.15</v>
      </c>
      <c r="G7" s="289">
        <v>3848.66</v>
      </c>
      <c r="H7" s="289">
        <v>26594.35</v>
      </c>
      <c r="I7" s="289">
        <v>55070.32</v>
      </c>
      <c r="J7" s="289">
        <v>29175.66</v>
      </c>
      <c r="K7" s="289">
        <v>16533.330000000002</v>
      </c>
      <c r="L7" s="289">
        <v>54510.33</v>
      </c>
      <c r="M7" s="289">
        <v>44656</v>
      </c>
      <c r="N7" s="289">
        <v>23186.880000000001</v>
      </c>
      <c r="O7" s="289">
        <v>63409.97</v>
      </c>
      <c r="P7" s="289">
        <v>44512.43</v>
      </c>
      <c r="Q7" s="289">
        <v>43506.84</v>
      </c>
      <c r="R7" s="289">
        <v>69964.33</v>
      </c>
      <c r="S7" s="289">
        <v>56609.82</v>
      </c>
      <c r="T7" s="289">
        <v>10723.18</v>
      </c>
      <c r="U7" s="289">
        <v>44895.67</v>
      </c>
      <c r="V7" s="289">
        <v>45117</v>
      </c>
      <c r="W7" s="289">
        <v>53091</v>
      </c>
      <c r="X7" s="289">
        <v>80416.33</v>
      </c>
      <c r="Y7" s="289">
        <v>41100</v>
      </c>
      <c r="Z7" s="289">
        <v>67116</v>
      </c>
      <c r="AA7" s="289">
        <v>73244.66</v>
      </c>
      <c r="AB7" s="289">
        <v>113432.32000000001</v>
      </c>
      <c r="AC7" s="289">
        <v>80334.350000000006</v>
      </c>
      <c r="AD7" s="289">
        <v>65729.67</v>
      </c>
      <c r="AE7" s="289">
        <v>71311.67</v>
      </c>
      <c r="AF7" s="289">
        <v>59751</v>
      </c>
      <c r="AG7" s="289">
        <v>32851</v>
      </c>
      <c r="AH7" s="289">
        <v>14700</v>
      </c>
      <c r="AI7" s="289">
        <f t="shared" ref="AI7:AI26" si="0">C7+D7+E7+F7+G7+H7+I7+J7+K7+L7+M7+N7+O7+P7+Q7+R7+S7+T7+U7+V7+W7+X7+Y7+Z7+AA7+AB7+AC7+AD7+AE7+AF7+AG7+AH7</f>
        <v>1525080.24</v>
      </c>
      <c r="AK7" s="289">
        <f>SUM(C7:N7)</f>
        <v>393263.00000000006</v>
      </c>
      <c r="AL7" s="289">
        <f>SUM(O7:Z7)</f>
        <v>620462.57000000007</v>
      </c>
      <c r="AM7" s="289">
        <f>SUM(V7:AG7)</f>
        <v>783495.00000000012</v>
      </c>
    </row>
    <row r="8" spans="1:39">
      <c r="B8" s="288" t="s">
        <v>534</v>
      </c>
      <c r="C8" s="287"/>
      <c r="D8" s="287"/>
      <c r="E8" s="287"/>
      <c r="F8" s="287"/>
      <c r="G8" s="287"/>
      <c r="H8" s="287"/>
      <c r="I8" s="287"/>
      <c r="J8" s="287"/>
      <c r="K8" s="287"/>
      <c r="L8" s="289">
        <v>150</v>
      </c>
      <c r="M8" s="289">
        <v>50</v>
      </c>
      <c r="N8" s="289">
        <v>50</v>
      </c>
      <c r="O8" s="289">
        <v>100</v>
      </c>
      <c r="P8" s="287"/>
      <c r="Q8" s="287"/>
      <c r="R8" s="289">
        <v>50</v>
      </c>
      <c r="S8" s="287"/>
      <c r="T8" s="289">
        <v>50</v>
      </c>
      <c r="U8" s="289">
        <v>150</v>
      </c>
      <c r="V8" s="287"/>
      <c r="W8" s="287"/>
      <c r="X8" s="289">
        <v>150</v>
      </c>
      <c r="Y8" s="289">
        <v>50</v>
      </c>
      <c r="Z8" s="289">
        <v>50</v>
      </c>
      <c r="AA8" s="287"/>
      <c r="AB8" s="287"/>
      <c r="AC8" s="287"/>
      <c r="AD8" s="287"/>
      <c r="AE8" s="287"/>
      <c r="AF8" s="287"/>
      <c r="AG8" s="287"/>
      <c r="AH8" s="287"/>
      <c r="AI8" s="289">
        <f t="shared" si="0"/>
        <v>850</v>
      </c>
      <c r="AK8" s="289">
        <f t="shared" ref="AK8:AK25" si="1">SUM(C8:N8)</f>
        <v>250</v>
      </c>
      <c r="AL8" s="289">
        <f t="shared" ref="AL8:AL25" si="2">SUM(O8:Z8)</f>
        <v>600</v>
      </c>
      <c r="AM8" s="289">
        <f t="shared" ref="AM8:AM25" si="3">SUM(V8:AG8)</f>
        <v>250</v>
      </c>
    </row>
    <row r="9" spans="1:39">
      <c r="B9" s="288" t="s">
        <v>535</v>
      </c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9">
        <v>0.65</v>
      </c>
      <c r="N9" s="289">
        <v>3.72</v>
      </c>
      <c r="O9" s="289">
        <v>3.67</v>
      </c>
      <c r="P9" s="289">
        <v>1.54</v>
      </c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9">
        <f t="shared" si="0"/>
        <v>9.5799999999999983</v>
      </c>
      <c r="AK9" s="289">
        <f t="shared" si="1"/>
        <v>4.37</v>
      </c>
      <c r="AL9" s="289">
        <f t="shared" si="2"/>
        <v>5.21</v>
      </c>
      <c r="AM9" s="289">
        <f t="shared" si="3"/>
        <v>0</v>
      </c>
    </row>
    <row r="10" spans="1:39">
      <c r="B10" s="288" t="s">
        <v>536</v>
      </c>
      <c r="C10" s="289">
        <v>4053.97</v>
      </c>
      <c r="D10" s="289">
        <v>5346.93</v>
      </c>
      <c r="E10" s="289">
        <v>6526.96</v>
      </c>
      <c r="F10" s="289">
        <v>5829.07</v>
      </c>
      <c r="G10" s="289">
        <v>4004.34</v>
      </c>
      <c r="H10" s="289">
        <v>5666.78</v>
      </c>
      <c r="I10" s="289">
        <v>3231.15</v>
      </c>
      <c r="J10" s="289">
        <v>84</v>
      </c>
      <c r="K10" s="289">
        <v>1165</v>
      </c>
      <c r="L10" s="289">
        <v>633</v>
      </c>
      <c r="M10" s="289">
        <v>75</v>
      </c>
      <c r="N10" s="289">
        <v>266</v>
      </c>
      <c r="O10" s="287"/>
      <c r="P10" s="287"/>
      <c r="Q10" s="287"/>
      <c r="R10" s="289">
        <v>771</v>
      </c>
      <c r="S10" s="289">
        <v>811.85</v>
      </c>
      <c r="T10" s="289">
        <v>601.66</v>
      </c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9">
        <f t="shared" si="0"/>
        <v>39066.71</v>
      </c>
      <c r="AK10" s="289">
        <f t="shared" si="1"/>
        <v>36882.199999999997</v>
      </c>
      <c r="AL10" s="289">
        <f t="shared" si="2"/>
        <v>2184.5099999999998</v>
      </c>
      <c r="AM10" s="289">
        <f t="shared" si="3"/>
        <v>0</v>
      </c>
    </row>
    <row r="11" spans="1:39">
      <c r="B11" s="288" t="s">
        <v>537</v>
      </c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9">
        <v>290</v>
      </c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9">
        <f t="shared" si="0"/>
        <v>290</v>
      </c>
      <c r="AK11" s="289">
        <f t="shared" si="1"/>
        <v>290</v>
      </c>
      <c r="AL11" s="289">
        <f t="shared" si="2"/>
        <v>0</v>
      </c>
      <c r="AM11" s="289">
        <f t="shared" si="3"/>
        <v>0</v>
      </c>
    </row>
    <row r="12" spans="1:39">
      <c r="A12" s="4" t="s">
        <v>45</v>
      </c>
      <c r="B12" s="288" t="s">
        <v>538</v>
      </c>
      <c r="C12" s="289">
        <v>382.45</v>
      </c>
      <c r="D12" s="287"/>
      <c r="E12" s="287"/>
      <c r="F12" s="287"/>
      <c r="G12" s="289">
        <v>2183.56</v>
      </c>
      <c r="H12" s="289">
        <v>1662.94</v>
      </c>
      <c r="I12" s="289">
        <v>119</v>
      </c>
      <c r="J12" s="287"/>
      <c r="K12" s="289">
        <v>27</v>
      </c>
      <c r="L12" s="287"/>
      <c r="M12" s="287"/>
      <c r="N12" s="287"/>
      <c r="O12" s="287"/>
      <c r="P12" s="287"/>
      <c r="Q12" s="287"/>
      <c r="R12" s="287"/>
      <c r="S12" s="287"/>
      <c r="T12" s="289">
        <v>232.5</v>
      </c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9">
        <v>1702.99</v>
      </c>
      <c r="AG12" s="289">
        <v>589</v>
      </c>
      <c r="AH12" s="287"/>
      <c r="AI12" s="289">
        <f t="shared" si="0"/>
        <v>6899.44</v>
      </c>
      <c r="AK12" s="289">
        <f t="shared" si="1"/>
        <v>4374.95</v>
      </c>
      <c r="AL12" s="289">
        <f t="shared" si="2"/>
        <v>232.5</v>
      </c>
      <c r="AM12" s="289">
        <f t="shared" si="3"/>
        <v>2291.9899999999998</v>
      </c>
    </row>
    <row r="13" spans="1:39">
      <c r="A13" s="4" t="s">
        <v>45</v>
      </c>
      <c r="B13" s="288" t="s">
        <v>539</v>
      </c>
      <c r="C13" s="287"/>
      <c r="D13" s="287"/>
      <c r="E13" s="287"/>
      <c r="F13" s="287"/>
      <c r="G13" s="289">
        <v>2095.2399999999998</v>
      </c>
      <c r="H13" s="289">
        <v>12652.25</v>
      </c>
      <c r="I13" s="289">
        <v>16</v>
      </c>
      <c r="J13" s="287"/>
      <c r="K13" s="289">
        <v>171</v>
      </c>
      <c r="L13" s="287"/>
      <c r="M13" s="287"/>
      <c r="N13" s="287"/>
      <c r="O13" s="287"/>
      <c r="P13" s="287"/>
      <c r="Q13" s="287"/>
      <c r="R13" s="289">
        <v>8</v>
      </c>
      <c r="S13" s="289">
        <v>944.16</v>
      </c>
      <c r="T13" s="289">
        <v>12679.42</v>
      </c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9">
        <v>9471</v>
      </c>
      <c r="AG13" s="289">
        <v>1792.66</v>
      </c>
      <c r="AH13" s="287"/>
      <c r="AI13" s="289">
        <f t="shared" si="0"/>
        <v>39829.730000000003</v>
      </c>
      <c r="AK13" s="289">
        <f t="shared" si="1"/>
        <v>14934.49</v>
      </c>
      <c r="AL13" s="289">
        <f t="shared" si="2"/>
        <v>13631.58</v>
      </c>
      <c r="AM13" s="289">
        <f t="shared" si="3"/>
        <v>11263.66</v>
      </c>
    </row>
    <row r="14" spans="1:39">
      <c r="A14" s="4" t="s">
        <v>45</v>
      </c>
      <c r="B14" s="288" t="s">
        <v>540</v>
      </c>
      <c r="C14" s="287"/>
      <c r="D14" s="287"/>
      <c r="E14" s="287"/>
      <c r="F14" s="289">
        <v>3761.6</v>
      </c>
      <c r="G14" s="289">
        <v>10401</v>
      </c>
      <c r="H14" s="289">
        <v>9083</v>
      </c>
      <c r="I14" s="289">
        <v>2956</v>
      </c>
      <c r="J14" s="289">
        <v>586</v>
      </c>
      <c r="K14" s="289">
        <v>3409</v>
      </c>
      <c r="L14" s="289">
        <v>298</v>
      </c>
      <c r="M14" s="289">
        <v>1740</v>
      </c>
      <c r="N14" s="289">
        <v>773</v>
      </c>
      <c r="O14" s="287"/>
      <c r="P14" s="289">
        <v>293</v>
      </c>
      <c r="Q14" s="289">
        <v>190</v>
      </c>
      <c r="R14" s="289">
        <v>2771</v>
      </c>
      <c r="S14" s="289">
        <v>3114</v>
      </c>
      <c r="T14" s="289">
        <v>2607</v>
      </c>
      <c r="U14" s="289">
        <v>175</v>
      </c>
      <c r="V14" s="287"/>
      <c r="W14" s="287"/>
      <c r="X14" s="287"/>
      <c r="Y14" s="289">
        <v>84</v>
      </c>
      <c r="Z14" s="287"/>
      <c r="AA14" s="287"/>
      <c r="AB14" s="287"/>
      <c r="AC14" s="287"/>
      <c r="AD14" s="289">
        <v>150</v>
      </c>
      <c r="AE14" s="287"/>
      <c r="AF14" s="287"/>
      <c r="AG14" s="287"/>
      <c r="AH14" s="287"/>
      <c r="AI14" s="289">
        <f t="shared" si="0"/>
        <v>42391.6</v>
      </c>
      <c r="AK14" s="289">
        <f t="shared" si="1"/>
        <v>33007.599999999999</v>
      </c>
      <c r="AL14" s="289">
        <f t="shared" si="2"/>
        <v>9234</v>
      </c>
      <c r="AM14" s="289">
        <f t="shared" si="3"/>
        <v>234</v>
      </c>
    </row>
    <row r="15" spans="1:39">
      <c r="B15" s="288" t="s">
        <v>541</v>
      </c>
      <c r="C15" s="287"/>
      <c r="D15" s="287"/>
      <c r="E15" s="287"/>
      <c r="F15" s="287"/>
      <c r="G15" s="287"/>
      <c r="H15" s="287"/>
      <c r="I15" s="289">
        <v>486.86</v>
      </c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9">
        <f t="shared" si="0"/>
        <v>486.86</v>
      </c>
      <c r="AK15" s="289">
        <f t="shared" si="1"/>
        <v>486.86</v>
      </c>
      <c r="AL15" s="289">
        <f t="shared" si="2"/>
        <v>0</v>
      </c>
      <c r="AM15" s="289">
        <f t="shared" si="3"/>
        <v>0</v>
      </c>
    </row>
    <row r="16" spans="1:39">
      <c r="A16" s="4" t="s">
        <v>45</v>
      </c>
      <c r="B16" s="288" t="s">
        <v>542</v>
      </c>
      <c r="C16" s="287"/>
      <c r="D16" s="287"/>
      <c r="E16" s="287"/>
      <c r="F16" s="287"/>
      <c r="G16" s="287"/>
      <c r="H16" s="287"/>
      <c r="I16" s="287"/>
      <c r="J16" s="287"/>
      <c r="K16" s="289">
        <v>300</v>
      </c>
      <c r="L16" s="287"/>
      <c r="M16" s="289">
        <v>1500</v>
      </c>
      <c r="N16" s="289">
        <v>560</v>
      </c>
      <c r="O16" s="287"/>
      <c r="P16" s="289">
        <v>590</v>
      </c>
      <c r="Q16" s="289">
        <v>2331</v>
      </c>
      <c r="R16" s="287"/>
      <c r="S16" s="289">
        <v>1350</v>
      </c>
      <c r="T16" s="289">
        <v>225</v>
      </c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9">
        <f t="shared" si="0"/>
        <v>6856</v>
      </c>
      <c r="AK16" s="289">
        <f t="shared" si="1"/>
        <v>2360</v>
      </c>
      <c r="AL16" s="289">
        <f t="shared" si="2"/>
        <v>4496</v>
      </c>
      <c r="AM16" s="289">
        <f t="shared" si="3"/>
        <v>0</v>
      </c>
    </row>
    <row r="17" spans="1:39">
      <c r="B17" s="288" t="s">
        <v>543</v>
      </c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9">
        <v>450</v>
      </c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9">
        <f t="shared" si="0"/>
        <v>450</v>
      </c>
      <c r="AK17" s="289">
        <f t="shared" si="1"/>
        <v>450</v>
      </c>
      <c r="AL17" s="289">
        <f t="shared" si="2"/>
        <v>0</v>
      </c>
      <c r="AM17" s="289">
        <f t="shared" si="3"/>
        <v>0</v>
      </c>
    </row>
    <row r="18" spans="1:39">
      <c r="A18" s="4" t="s">
        <v>45</v>
      </c>
      <c r="B18" s="288" t="s">
        <v>544</v>
      </c>
      <c r="C18" s="287"/>
      <c r="D18" s="287"/>
      <c r="E18" s="287"/>
      <c r="F18" s="287"/>
      <c r="G18" s="287"/>
      <c r="H18" s="287"/>
      <c r="I18" s="287"/>
      <c r="J18" s="289">
        <v>250</v>
      </c>
      <c r="K18" s="287"/>
      <c r="L18" s="289">
        <v>1440</v>
      </c>
      <c r="M18" s="289">
        <v>4260</v>
      </c>
      <c r="N18" s="289">
        <v>559</v>
      </c>
      <c r="O18" s="289">
        <v>2625</v>
      </c>
      <c r="P18" s="289">
        <v>1750</v>
      </c>
      <c r="Q18" s="287"/>
      <c r="R18" s="289">
        <v>350</v>
      </c>
      <c r="S18" s="289">
        <v>833</v>
      </c>
      <c r="T18" s="289">
        <v>218</v>
      </c>
      <c r="U18" s="287"/>
      <c r="V18" s="287"/>
      <c r="W18" s="287"/>
      <c r="X18" s="287"/>
      <c r="Y18" s="289">
        <v>1250</v>
      </c>
      <c r="Z18" s="287"/>
      <c r="AA18" s="287"/>
      <c r="AB18" s="287"/>
      <c r="AC18" s="287"/>
      <c r="AD18" s="287"/>
      <c r="AE18" s="287"/>
      <c r="AF18" s="287"/>
      <c r="AG18" s="287"/>
      <c r="AH18" s="287"/>
      <c r="AI18" s="289">
        <f t="shared" si="0"/>
        <v>13535</v>
      </c>
      <c r="AK18" s="289">
        <f t="shared" si="1"/>
        <v>6509</v>
      </c>
      <c r="AL18" s="289">
        <f t="shared" si="2"/>
        <v>7026</v>
      </c>
      <c r="AM18" s="289">
        <f t="shared" si="3"/>
        <v>1250</v>
      </c>
    </row>
    <row r="19" spans="1:39">
      <c r="B19" s="288" t="s">
        <v>545</v>
      </c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9">
        <v>0</v>
      </c>
      <c r="V19" s="287"/>
      <c r="W19" s="287"/>
      <c r="X19" s="287"/>
      <c r="Y19" s="287"/>
      <c r="Z19" s="287"/>
      <c r="AA19" s="287"/>
      <c r="AB19" s="287"/>
      <c r="AC19" s="287"/>
      <c r="AD19" s="287"/>
      <c r="AE19" s="289">
        <v>600</v>
      </c>
      <c r="AF19" s="287"/>
      <c r="AG19" s="287"/>
      <c r="AH19" s="287"/>
      <c r="AI19" s="289">
        <f t="shared" si="0"/>
        <v>600</v>
      </c>
      <c r="AK19" s="289">
        <f t="shared" si="1"/>
        <v>0</v>
      </c>
      <c r="AL19" s="289">
        <f t="shared" si="2"/>
        <v>0</v>
      </c>
      <c r="AM19" s="289">
        <f t="shared" si="3"/>
        <v>600</v>
      </c>
    </row>
    <row r="20" spans="1:39">
      <c r="B20" s="288" t="s">
        <v>546</v>
      </c>
      <c r="C20" s="287"/>
      <c r="D20" s="287"/>
      <c r="E20" s="287"/>
      <c r="F20" s="287"/>
      <c r="G20" s="289">
        <v>5529</v>
      </c>
      <c r="H20" s="287"/>
      <c r="I20" s="287"/>
      <c r="J20" s="287"/>
      <c r="K20" s="287"/>
      <c r="L20" s="287"/>
      <c r="M20" s="287"/>
      <c r="N20" s="287"/>
      <c r="O20" s="287"/>
      <c r="P20" s="289">
        <v>2415.3000000000002</v>
      </c>
      <c r="Q20" s="287"/>
      <c r="R20" s="287"/>
      <c r="S20" s="289">
        <v>7566</v>
      </c>
      <c r="T20" s="287"/>
      <c r="U20" s="287"/>
      <c r="V20" s="287"/>
      <c r="W20" s="287"/>
      <c r="X20" s="287"/>
      <c r="Y20" s="289">
        <v>6263.63</v>
      </c>
      <c r="Z20" s="287"/>
      <c r="AA20" s="287"/>
      <c r="AB20" s="287"/>
      <c r="AC20" s="287"/>
      <c r="AD20" s="287"/>
      <c r="AE20" s="287"/>
      <c r="AF20" s="287"/>
      <c r="AG20" s="287"/>
      <c r="AH20" s="287"/>
      <c r="AI20" s="289">
        <f t="shared" si="0"/>
        <v>21773.93</v>
      </c>
      <c r="AK20" s="289">
        <f t="shared" si="1"/>
        <v>5529</v>
      </c>
      <c r="AL20" s="289">
        <f t="shared" si="2"/>
        <v>16244.93</v>
      </c>
      <c r="AM20" s="289">
        <f t="shared" si="3"/>
        <v>6263.63</v>
      </c>
    </row>
    <row r="21" spans="1:39">
      <c r="B21" s="288" t="s">
        <v>547</v>
      </c>
      <c r="C21" s="287"/>
      <c r="D21" s="287"/>
      <c r="E21" s="287"/>
      <c r="F21" s="287"/>
      <c r="G21" s="289">
        <v>-565</v>
      </c>
      <c r="H21" s="289">
        <v>-242.1</v>
      </c>
      <c r="I21" s="289">
        <v>-250.4</v>
      </c>
      <c r="J21" s="287"/>
      <c r="K21" s="289">
        <v>-158.4</v>
      </c>
      <c r="L21" s="287"/>
      <c r="M21" s="289">
        <v>-500</v>
      </c>
      <c r="N21" s="287"/>
      <c r="O21" s="287"/>
      <c r="P21" s="289">
        <v>-37.200000000000003</v>
      </c>
      <c r="Q21" s="289">
        <v>162.24</v>
      </c>
      <c r="R21" s="289">
        <v>-141.5</v>
      </c>
      <c r="S21" s="289">
        <v>-824.46</v>
      </c>
      <c r="T21" s="289">
        <v>-1799.6</v>
      </c>
      <c r="U21" s="287"/>
      <c r="V21" s="287"/>
      <c r="W21" s="287"/>
      <c r="X21" s="287"/>
      <c r="Y21" s="289">
        <v>50</v>
      </c>
      <c r="Z21" s="287"/>
      <c r="AA21" s="287"/>
      <c r="AB21" s="287"/>
      <c r="AC21" s="287"/>
      <c r="AD21" s="287"/>
      <c r="AE21" s="287"/>
      <c r="AF21" s="289">
        <v>-2.4900000000000002</v>
      </c>
      <c r="AG21" s="289">
        <v>-15.05</v>
      </c>
      <c r="AH21" s="287"/>
      <c r="AI21" s="289">
        <f t="shared" si="0"/>
        <v>-4323.96</v>
      </c>
      <c r="AK21" s="289">
        <f t="shared" si="1"/>
        <v>-1715.9</v>
      </c>
      <c r="AL21" s="289">
        <f t="shared" si="2"/>
        <v>-2590.52</v>
      </c>
      <c r="AM21" s="289">
        <f t="shared" si="3"/>
        <v>32.459999999999994</v>
      </c>
    </row>
    <row r="22" spans="1:39">
      <c r="B22" s="288" t="s">
        <v>548</v>
      </c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9">
        <v>-5000</v>
      </c>
      <c r="V22" s="287"/>
      <c r="W22" s="289">
        <v>-540</v>
      </c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9">
        <f t="shared" si="0"/>
        <v>-5540</v>
      </c>
      <c r="AK22" s="289">
        <f t="shared" si="1"/>
        <v>0</v>
      </c>
      <c r="AL22" s="289">
        <f t="shared" si="2"/>
        <v>-5540</v>
      </c>
      <c r="AM22" s="289">
        <f t="shared" si="3"/>
        <v>-540</v>
      </c>
    </row>
    <row r="23" spans="1:39">
      <c r="B23" s="288" t="s">
        <v>549</v>
      </c>
      <c r="C23" s="287"/>
      <c r="D23" s="287"/>
      <c r="E23" s="287"/>
      <c r="F23" s="287"/>
      <c r="G23" s="289">
        <v>0</v>
      </c>
      <c r="H23" s="289">
        <v>-1766.61</v>
      </c>
      <c r="I23" s="289">
        <v>1766.61</v>
      </c>
      <c r="J23" s="289">
        <v>0</v>
      </c>
      <c r="K23" s="289">
        <v>0</v>
      </c>
      <c r="L23" s="289">
        <v>0</v>
      </c>
      <c r="M23" s="289">
        <v>0</v>
      </c>
      <c r="N23" s="287"/>
      <c r="O23" s="287"/>
      <c r="P23" s="287"/>
      <c r="Q23" s="289">
        <v>0</v>
      </c>
      <c r="R23" s="289">
        <v>0</v>
      </c>
      <c r="S23" s="289">
        <v>0</v>
      </c>
      <c r="T23" s="289">
        <v>0</v>
      </c>
      <c r="U23" s="287"/>
      <c r="V23" s="287"/>
      <c r="W23" s="287"/>
      <c r="X23" s="287"/>
      <c r="Y23" s="289">
        <v>0</v>
      </c>
      <c r="Z23" s="289">
        <v>0</v>
      </c>
      <c r="AA23" s="287"/>
      <c r="AB23" s="287"/>
      <c r="AC23" s="287"/>
      <c r="AD23" s="287"/>
      <c r="AE23" s="287"/>
      <c r="AF23" s="289">
        <v>0</v>
      </c>
      <c r="AG23" s="289">
        <v>0</v>
      </c>
      <c r="AH23" s="289">
        <v>24.84</v>
      </c>
      <c r="AI23" s="289">
        <f t="shared" si="0"/>
        <v>24.84</v>
      </c>
      <c r="AK23" s="289">
        <f t="shared" si="1"/>
        <v>0</v>
      </c>
      <c r="AL23" s="289">
        <f t="shared" si="2"/>
        <v>0</v>
      </c>
      <c r="AM23" s="289">
        <f t="shared" si="3"/>
        <v>0</v>
      </c>
    </row>
    <row r="24" spans="1:39">
      <c r="B24" s="288" t="s">
        <v>550</v>
      </c>
      <c r="C24" s="287"/>
      <c r="D24" s="287"/>
      <c r="E24" s="287"/>
      <c r="F24" s="287"/>
      <c r="G24" s="287"/>
      <c r="H24" s="287"/>
      <c r="I24" s="287"/>
      <c r="J24" s="287"/>
      <c r="K24" s="287"/>
      <c r="L24" s="289">
        <v>5</v>
      </c>
      <c r="M24" s="289">
        <v>-5</v>
      </c>
      <c r="N24" s="289">
        <v>0</v>
      </c>
      <c r="O24" s="289">
        <v>0</v>
      </c>
      <c r="P24" s="289">
        <v>0</v>
      </c>
      <c r="Q24" s="289">
        <v>0</v>
      </c>
      <c r="R24" s="289">
        <v>0</v>
      </c>
      <c r="S24" s="289">
        <v>-32.090000000000003</v>
      </c>
      <c r="T24" s="289">
        <v>0</v>
      </c>
      <c r="U24" s="289">
        <v>0</v>
      </c>
      <c r="V24" s="289">
        <v>32.090000000000003</v>
      </c>
      <c r="W24" s="289">
        <v>0</v>
      </c>
      <c r="X24" s="289">
        <v>0</v>
      </c>
      <c r="Y24" s="289">
        <v>0</v>
      </c>
      <c r="Z24" s="289">
        <v>0</v>
      </c>
      <c r="AA24" s="289">
        <v>0</v>
      </c>
      <c r="AB24" s="289">
        <v>0</v>
      </c>
      <c r="AC24" s="289">
        <v>0</v>
      </c>
      <c r="AD24" s="289">
        <v>0</v>
      </c>
      <c r="AE24" s="289">
        <v>0</v>
      </c>
      <c r="AF24" s="289">
        <v>319.36</v>
      </c>
      <c r="AG24" s="289">
        <v>-309.36</v>
      </c>
      <c r="AH24" s="289">
        <v>0</v>
      </c>
      <c r="AI24" s="289">
        <f t="shared" si="0"/>
        <v>10</v>
      </c>
      <c r="AK24" s="289">
        <f t="shared" si="1"/>
        <v>0</v>
      </c>
      <c r="AL24" s="289">
        <f t="shared" si="2"/>
        <v>0</v>
      </c>
      <c r="AM24" s="289">
        <f t="shared" si="3"/>
        <v>42.090000000000032</v>
      </c>
    </row>
    <row r="25" spans="1:39">
      <c r="B25" s="288" t="s">
        <v>551</v>
      </c>
      <c r="C25" s="289">
        <v>0</v>
      </c>
      <c r="D25" s="289">
        <v>0</v>
      </c>
      <c r="E25" s="289">
        <v>0</v>
      </c>
      <c r="F25" s="289">
        <v>0</v>
      </c>
      <c r="G25" s="289">
        <v>0</v>
      </c>
      <c r="H25" s="289">
        <v>0</v>
      </c>
      <c r="I25" s="289">
        <v>240</v>
      </c>
      <c r="J25" s="289">
        <v>50</v>
      </c>
      <c r="K25" s="287"/>
      <c r="L25" s="289">
        <v>-240</v>
      </c>
      <c r="M25" s="289">
        <v>-50</v>
      </c>
      <c r="N25" s="289">
        <v>0</v>
      </c>
      <c r="O25" s="289">
        <v>200</v>
      </c>
      <c r="P25" s="287"/>
      <c r="Q25" s="289">
        <v>175</v>
      </c>
      <c r="R25" s="289">
        <v>-200</v>
      </c>
      <c r="S25" s="289">
        <v>650</v>
      </c>
      <c r="T25" s="289">
        <v>-825</v>
      </c>
      <c r="U25" s="287"/>
      <c r="V25" s="289">
        <v>2150</v>
      </c>
      <c r="W25" s="289">
        <v>-2150</v>
      </c>
      <c r="X25" s="287"/>
      <c r="Y25" s="287"/>
      <c r="Z25" s="287"/>
      <c r="AA25" s="289">
        <v>1030</v>
      </c>
      <c r="AB25" s="289">
        <v>0</v>
      </c>
      <c r="AC25" s="289">
        <v>-250</v>
      </c>
      <c r="AD25" s="289">
        <v>-780</v>
      </c>
      <c r="AE25" s="289">
        <v>0</v>
      </c>
      <c r="AF25" s="287"/>
      <c r="AG25" s="287"/>
      <c r="AH25" s="287"/>
      <c r="AI25" s="289">
        <f t="shared" si="0"/>
        <v>0</v>
      </c>
      <c r="AK25" s="289">
        <f t="shared" si="1"/>
        <v>0</v>
      </c>
      <c r="AL25" s="289">
        <f t="shared" si="2"/>
        <v>0</v>
      </c>
      <c r="AM25" s="289">
        <f t="shared" si="3"/>
        <v>0</v>
      </c>
    </row>
    <row r="26" spans="1:39">
      <c r="B26" s="290" t="s">
        <v>552</v>
      </c>
      <c r="C26" s="291">
        <f t="shared" ref="C26:AH26" si="4">C6+C7+C8+C9+C10+C11+C12+C13+C14+C15+C16+C17+C18+C19+C20+C21+C22+C23+C24+C25</f>
        <v>55555.4</v>
      </c>
      <c r="D26" s="291">
        <f t="shared" si="4"/>
        <v>25851.61</v>
      </c>
      <c r="E26" s="291">
        <f t="shared" si="4"/>
        <v>44822.62</v>
      </c>
      <c r="F26" s="291">
        <f t="shared" si="4"/>
        <v>39358.82</v>
      </c>
      <c r="G26" s="291">
        <f t="shared" si="4"/>
        <v>27496.799999999999</v>
      </c>
      <c r="H26" s="291">
        <f t="shared" si="4"/>
        <v>53650.61</v>
      </c>
      <c r="I26" s="291">
        <f t="shared" si="4"/>
        <v>63635.54</v>
      </c>
      <c r="J26" s="291">
        <f t="shared" si="4"/>
        <v>30145.66</v>
      </c>
      <c r="K26" s="291">
        <f t="shared" si="4"/>
        <v>21446.93</v>
      </c>
      <c r="L26" s="291">
        <f t="shared" si="4"/>
        <v>56796.33</v>
      </c>
      <c r="M26" s="291">
        <f t="shared" si="4"/>
        <v>51726.65</v>
      </c>
      <c r="N26" s="291">
        <f t="shared" si="4"/>
        <v>26138.600000000002</v>
      </c>
      <c r="O26" s="291">
        <f t="shared" si="4"/>
        <v>66338.64</v>
      </c>
      <c r="P26" s="291">
        <f t="shared" si="4"/>
        <v>49525.070000000007</v>
      </c>
      <c r="Q26" s="291">
        <f t="shared" si="4"/>
        <v>46365.079999999994</v>
      </c>
      <c r="R26" s="291">
        <f t="shared" si="4"/>
        <v>73572.83</v>
      </c>
      <c r="S26" s="291">
        <f t="shared" si="4"/>
        <v>71022.28</v>
      </c>
      <c r="T26" s="291">
        <f t="shared" si="4"/>
        <v>24712.160000000003</v>
      </c>
      <c r="U26" s="291">
        <f t="shared" si="4"/>
        <v>40220.67</v>
      </c>
      <c r="V26" s="291">
        <f t="shared" si="4"/>
        <v>47299.09</v>
      </c>
      <c r="W26" s="291">
        <f t="shared" si="4"/>
        <v>50401</v>
      </c>
      <c r="X26" s="291">
        <f t="shared" si="4"/>
        <v>80566.33</v>
      </c>
      <c r="Y26" s="291">
        <f t="shared" si="4"/>
        <v>48797.63</v>
      </c>
      <c r="Z26" s="291">
        <f t="shared" si="4"/>
        <v>67166</v>
      </c>
      <c r="AA26" s="291">
        <f t="shared" si="4"/>
        <v>74274.66</v>
      </c>
      <c r="AB26" s="291">
        <f t="shared" si="4"/>
        <v>113432.32000000001</v>
      </c>
      <c r="AC26" s="291">
        <f t="shared" si="4"/>
        <v>80084.350000000006</v>
      </c>
      <c r="AD26" s="291">
        <f t="shared" si="4"/>
        <v>65099.67</v>
      </c>
      <c r="AE26" s="291">
        <f t="shared" si="4"/>
        <v>71911.67</v>
      </c>
      <c r="AF26" s="291">
        <f t="shared" si="4"/>
        <v>71241.859999999986</v>
      </c>
      <c r="AG26" s="291">
        <f t="shared" si="4"/>
        <v>34908.25</v>
      </c>
      <c r="AH26" s="291">
        <f t="shared" si="4"/>
        <v>14724.84</v>
      </c>
      <c r="AI26" s="292">
        <f t="shared" si="0"/>
        <v>1688289.97</v>
      </c>
      <c r="AK26" s="292">
        <f t="shared" ref="AK26" si="5">AK6+AK7+AK8+AK9+AK10+AK11+AK12+AK13+AK14+AK15+AK16+AK17+AK18+AK19+AK20+AK21+AK22+AK23+AK24+AK25</f>
        <v>496625.57</v>
      </c>
      <c r="AL26" s="292">
        <f t="shared" ref="AL26" si="6">AL6+AL7+AL8+AL9+AL10+AL11+AL12+AL13+AL14+AL15+AL16+AL17+AL18+AL19+AL20+AL21+AL22+AL23+AL24+AL25</f>
        <v>665986.78</v>
      </c>
      <c r="AM26" s="292">
        <f t="shared" ref="AM26" si="7">AM6+AM7+AM8+AM9+AM10+AM11+AM12+AM13+AM14+AM15+AM16+AM17+AM18+AM19+AM20+AM21+AM22+AM23+AM24+AM25</f>
        <v>805182.83000000007</v>
      </c>
    </row>
    <row r="27" spans="1:39">
      <c r="B27" s="286" t="s">
        <v>454</v>
      </c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</row>
    <row r="28" spans="1:39">
      <c r="A28" s="282" t="s">
        <v>70</v>
      </c>
      <c r="B28" s="288" t="s">
        <v>553</v>
      </c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9">
        <v>417.84</v>
      </c>
      <c r="AG28" s="287"/>
      <c r="AH28" s="287"/>
      <c r="AI28" s="289">
        <f t="shared" ref="AI28:AI33" si="8">C28+D28+E28+F28+G28+H28+I28+J28+K28+L28+M28+N28+O28+P28+Q28+R28+S28+T28+U28+V28+W28+X28+Y28+Z28+AA28+AB28+AC28+AD28+AE28+AF28+AG28+AH28</f>
        <v>417.84</v>
      </c>
      <c r="AK28" s="289">
        <f t="shared" ref="AK28" si="9">SUM(C28:N28)</f>
        <v>0</v>
      </c>
      <c r="AL28" s="289">
        <f t="shared" ref="AL28" si="10">SUM(O28:Z28)</f>
        <v>0</v>
      </c>
      <c r="AM28" s="289">
        <f t="shared" ref="AM28" si="11">SUM(V28:AG28)</f>
        <v>417.84</v>
      </c>
    </row>
    <row r="29" spans="1:39">
      <c r="A29" s="282" t="s">
        <v>70</v>
      </c>
      <c r="B29" s="293" t="s">
        <v>554</v>
      </c>
      <c r="C29" s="289">
        <v>6763.6</v>
      </c>
      <c r="D29" s="289">
        <v>1996.39</v>
      </c>
      <c r="E29" s="289">
        <v>486.53</v>
      </c>
      <c r="F29" s="289">
        <v>1217.83</v>
      </c>
      <c r="G29" s="289">
        <v>2489.87</v>
      </c>
      <c r="H29" s="289">
        <v>3615.07</v>
      </c>
      <c r="I29" s="289">
        <v>2146.16</v>
      </c>
      <c r="J29" s="289">
        <v>637.74</v>
      </c>
      <c r="K29" s="289">
        <v>451.4</v>
      </c>
      <c r="L29" s="289">
        <v>363.03</v>
      </c>
      <c r="M29" s="289">
        <v>876.84</v>
      </c>
      <c r="N29" s="289">
        <v>154.56</v>
      </c>
      <c r="O29" s="289">
        <v>743.77</v>
      </c>
      <c r="P29" s="289">
        <v>593.28</v>
      </c>
      <c r="Q29" s="289">
        <v>471.11</v>
      </c>
      <c r="R29" s="289">
        <v>1031.6199999999999</v>
      </c>
      <c r="S29" s="289">
        <v>543.41999999999996</v>
      </c>
      <c r="T29" s="289">
        <v>21.56</v>
      </c>
      <c r="U29" s="289">
        <v>16.61</v>
      </c>
      <c r="V29" s="289">
        <v>127.46</v>
      </c>
      <c r="W29" s="289">
        <v>136.86000000000001</v>
      </c>
      <c r="X29" s="289">
        <v>119.42</v>
      </c>
      <c r="Y29" s="289">
        <v>200.34</v>
      </c>
      <c r="Z29" s="287"/>
      <c r="AA29" s="289">
        <v>264.95999999999998</v>
      </c>
      <c r="AB29" s="287"/>
      <c r="AC29" s="287"/>
      <c r="AD29" s="287"/>
      <c r="AE29" s="289">
        <v>9833</v>
      </c>
      <c r="AF29" s="289">
        <v>310.24</v>
      </c>
      <c r="AG29" s="287"/>
      <c r="AH29" s="287"/>
      <c r="AI29" s="289">
        <f t="shared" si="8"/>
        <v>35612.67</v>
      </c>
      <c r="AK29" s="289">
        <f t="shared" ref="AK29:AK31" si="12">SUM(C29:N29)</f>
        <v>21199.020000000004</v>
      </c>
      <c r="AL29" s="289">
        <f t="shared" ref="AL29:AL31" si="13">SUM(O29:Z29)</f>
        <v>4005.4500000000003</v>
      </c>
      <c r="AM29" s="289">
        <f t="shared" ref="AM29:AM31" si="14">SUM(V29:AG29)</f>
        <v>10992.28</v>
      </c>
    </row>
    <row r="30" spans="1:39">
      <c r="A30" s="282" t="s">
        <v>70</v>
      </c>
      <c r="B30" s="293" t="s">
        <v>555</v>
      </c>
      <c r="C30" s="287"/>
      <c r="D30" s="287"/>
      <c r="E30" s="289">
        <v>343.05</v>
      </c>
      <c r="F30" s="289">
        <v>211.6</v>
      </c>
      <c r="G30" s="289">
        <v>2695.52</v>
      </c>
      <c r="H30" s="289">
        <v>2673.25</v>
      </c>
      <c r="I30" s="287"/>
      <c r="J30" s="287"/>
      <c r="K30" s="287"/>
      <c r="L30" s="287"/>
      <c r="M30" s="287"/>
      <c r="N30" s="289">
        <v>97.07</v>
      </c>
      <c r="O30" s="287"/>
      <c r="P30" s="287"/>
      <c r="Q30" s="287"/>
      <c r="R30" s="287"/>
      <c r="S30" s="294">
        <v>0</v>
      </c>
      <c r="T30" s="289">
        <v>240</v>
      </c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9">
        <v>463.34</v>
      </c>
      <c r="AF30" s="289">
        <v>348.52</v>
      </c>
      <c r="AG30" s="287"/>
      <c r="AH30" s="287"/>
      <c r="AI30" s="289">
        <f t="shared" si="8"/>
        <v>7072.35</v>
      </c>
      <c r="AK30" s="289">
        <f t="shared" si="12"/>
        <v>6020.49</v>
      </c>
      <c r="AL30" s="289">
        <f t="shared" si="13"/>
        <v>240</v>
      </c>
      <c r="AM30" s="289">
        <f t="shared" si="14"/>
        <v>811.8599999999999</v>
      </c>
    </row>
    <row r="31" spans="1:39">
      <c r="A31" s="282" t="s">
        <v>70</v>
      </c>
      <c r="B31" s="293" t="s">
        <v>556</v>
      </c>
      <c r="C31" s="289">
        <v>4297.28</v>
      </c>
      <c r="D31" s="289">
        <v>8781.4</v>
      </c>
      <c r="E31" s="287"/>
      <c r="F31" s="287"/>
      <c r="G31" s="289">
        <v>9293.18</v>
      </c>
      <c r="H31" s="289">
        <v>4732.3599999999997</v>
      </c>
      <c r="I31" s="289">
        <v>1442.52</v>
      </c>
      <c r="J31" s="287"/>
      <c r="K31" s="287"/>
      <c r="L31" s="289">
        <v>-403</v>
      </c>
      <c r="M31" s="287"/>
      <c r="N31" s="289">
        <v>-9441.89</v>
      </c>
      <c r="O31" s="287"/>
      <c r="P31" s="289">
        <v>-653.48</v>
      </c>
      <c r="Q31" s="287"/>
      <c r="R31" s="287"/>
      <c r="S31" s="287"/>
      <c r="T31" s="289">
        <v>3910.51</v>
      </c>
      <c r="U31" s="287"/>
      <c r="V31" s="287"/>
      <c r="W31" s="287"/>
      <c r="X31" s="287"/>
      <c r="Y31" s="287"/>
      <c r="Z31" s="287"/>
      <c r="AA31" s="289">
        <v>9924.9599999999991</v>
      </c>
      <c r="AB31" s="287"/>
      <c r="AC31" s="287"/>
      <c r="AD31" s="287"/>
      <c r="AE31" s="287"/>
      <c r="AF31" s="287"/>
      <c r="AG31" s="287"/>
      <c r="AH31" s="287"/>
      <c r="AI31" s="289">
        <f t="shared" si="8"/>
        <v>31883.840000000004</v>
      </c>
      <c r="AK31" s="289">
        <f t="shared" si="12"/>
        <v>18701.850000000002</v>
      </c>
      <c r="AL31" s="289">
        <f t="shared" si="13"/>
        <v>3257.03</v>
      </c>
      <c r="AM31" s="289">
        <f t="shared" si="14"/>
        <v>9924.9599999999991</v>
      </c>
    </row>
    <row r="32" spans="1:39">
      <c r="B32" s="295" t="s">
        <v>557</v>
      </c>
      <c r="C32" s="291">
        <f t="shared" ref="C32:AH32" si="15">C28+C29+C30+C31</f>
        <v>11060.880000000001</v>
      </c>
      <c r="D32" s="291">
        <f t="shared" si="15"/>
        <v>10777.789999999999</v>
      </c>
      <c r="E32" s="291">
        <f t="shared" si="15"/>
        <v>829.57999999999993</v>
      </c>
      <c r="F32" s="291">
        <f t="shared" si="15"/>
        <v>1429.4299999999998</v>
      </c>
      <c r="G32" s="291">
        <f t="shared" si="15"/>
        <v>14478.57</v>
      </c>
      <c r="H32" s="291">
        <f t="shared" si="15"/>
        <v>11020.68</v>
      </c>
      <c r="I32" s="291">
        <f t="shared" si="15"/>
        <v>3588.68</v>
      </c>
      <c r="J32" s="291">
        <f t="shared" si="15"/>
        <v>637.74</v>
      </c>
      <c r="K32" s="291">
        <f t="shared" si="15"/>
        <v>451.4</v>
      </c>
      <c r="L32" s="291">
        <f t="shared" si="15"/>
        <v>-39.970000000000027</v>
      </c>
      <c r="M32" s="291">
        <f t="shared" si="15"/>
        <v>876.84</v>
      </c>
      <c r="N32" s="291">
        <f t="shared" si="15"/>
        <v>-9190.26</v>
      </c>
      <c r="O32" s="291">
        <f t="shared" si="15"/>
        <v>743.77</v>
      </c>
      <c r="P32" s="291">
        <f t="shared" si="15"/>
        <v>-60.200000000000045</v>
      </c>
      <c r="Q32" s="291">
        <f t="shared" si="15"/>
        <v>471.11</v>
      </c>
      <c r="R32" s="291">
        <f t="shared" si="15"/>
        <v>1031.6199999999999</v>
      </c>
      <c r="S32" s="291">
        <f t="shared" si="15"/>
        <v>543.41999999999996</v>
      </c>
      <c r="T32" s="291">
        <f t="shared" si="15"/>
        <v>4172.0700000000006</v>
      </c>
      <c r="U32" s="291">
        <f t="shared" si="15"/>
        <v>16.61</v>
      </c>
      <c r="V32" s="291">
        <f t="shared" si="15"/>
        <v>127.46</v>
      </c>
      <c r="W32" s="291">
        <f t="shared" si="15"/>
        <v>136.86000000000001</v>
      </c>
      <c r="X32" s="291">
        <f t="shared" si="15"/>
        <v>119.42</v>
      </c>
      <c r="Y32" s="291">
        <f t="shared" si="15"/>
        <v>200.34</v>
      </c>
      <c r="Z32" s="292">
        <f t="shared" si="15"/>
        <v>0</v>
      </c>
      <c r="AA32" s="291">
        <f t="shared" si="15"/>
        <v>10189.919999999998</v>
      </c>
      <c r="AB32" s="292">
        <f t="shared" si="15"/>
        <v>0</v>
      </c>
      <c r="AC32" s="292">
        <f t="shared" si="15"/>
        <v>0</v>
      </c>
      <c r="AD32" s="292">
        <f t="shared" si="15"/>
        <v>0</v>
      </c>
      <c r="AE32" s="291">
        <f t="shared" si="15"/>
        <v>10296.34</v>
      </c>
      <c r="AF32" s="291">
        <f t="shared" si="15"/>
        <v>1076.5999999999999</v>
      </c>
      <c r="AG32" s="292">
        <f t="shared" si="15"/>
        <v>0</v>
      </c>
      <c r="AH32" s="292">
        <f t="shared" si="15"/>
        <v>0</v>
      </c>
      <c r="AI32" s="292">
        <f t="shared" si="8"/>
        <v>74986.7</v>
      </c>
      <c r="AK32" s="292">
        <f t="shared" ref="AK32" si="16">AK28+AK29+AK30+AK31</f>
        <v>45921.36</v>
      </c>
      <c r="AL32" s="292">
        <f t="shared" ref="AL32" si="17">AL28+AL29+AL30+AL31</f>
        <v>7502.4800000000014</v>
      </c>
      <c r="AM32" s="292">
        <f t="shared" ref="AM32" si="18">AM28+AM29+AM30+AM31</f>
        <v>22146.940000000002</v>
      </c>
    </row>
    <row r="33" spans="1:39">
      <c r="A33" s="282" t="s">
        <v>85</v>
      </c>
      <c r="B33" s="288" t="s">
        <v>558</v>
      </c>
      <c r="C33" s="287"/>
      <c r="D33" s="287"/>
      <c r="E33" s="287"/>
      <c r="F33" s="287"/>
      <c r="G33" s="289">
        <v>31373.79</v>
      </c>
      <c r="H33" s="289">
        <v>10040.84</v>
      </c>
      <c r="I33" s="289">
        <v>7618.21</v>
      </c>
      <c r="J33" s="289">
        <v>6750</v>
      </c>
      <c r="K33" s="289">
        <v>11229.73</v>
      </c>
      <c r="L33" s="289">
        <v>7151.01</v>
      </c>
      <c r="M33" s="289">
        <v>6860.5</v>
      </c>
      <c r="N33" s="289">
        <v>-441.15</v>
      </c>
      <c r="O33" s="289">
        <v>5400</v>
      </c>
      <c r="P33" s="289">
        <v>3541.62</v>
      </c>
      <c r="Q33" s="289">
        <v>3093.89</v>
      </c>
      <c r="R33" s="289">
        <v>1595.43</v>
      </c>
      <c r="S33" s="289">
        <v>5167.1099999999997</v>
      </c>
      <c r="T33" s="289">
        <v>5106.9799999999996</v>
      </c>
      <c r="U33" s="289">
        <v>3296.79</v>
      </c>
      <c r="V33" s="289">
        <v>5562.34</v>
      </c>
      <c r="W33" s="289">
        <v>1881.86</v>
      </c>
      <c r="X33" s="289">
        <v>5069.32</v>
      </c>
      <c r="Y33" s="289">
        <v>5495.45</v>
      </c>
      <c r="Z33" s="289">
        <v>7580.9</v>
      </c>
      <c r="AA33" s="289">
        <v>8401.1299999999992</v>
      </c>
      <c r="AB33" s="289">
        <v>7343.99</v>
      </c>
      <c r="AC33" s="289">
        <v>10536.49</v>
      </c>
      <c r="AD33" s="289">
        <v>11274</v>
      </c>
      <c r="AE33" s="289">
        <v>12177.91</v>
      </c>
      <c r="AF33" s="289">
        <v>15473.9</v>
      </c>
      <c r="AG33" s="289">
        <v>5201.0200000000004</v>
      </c>
      <c r="AH33" s="289">
        <v>1835.11</v>
      </c>
      <c r="AI33" s="289">
        <f t="shared" si="8"/>
        <v>205618.16999999995</v>
      </c>
      <c r="AK33" s="289">
        <f t="shared" ref="AK33" si="19">SUM(C33:N33)</f>
        <v>80582.930000000008</v>
      </c>
      <c r="AL33" s="289">
        <f t="shared" ref="AL33" si="20">SUM(O33:Z33)</f>
        <v>52791.689999999995</v>
      </c>
      <c r="AM33" s="289">
        <f t="shared" ref="AM33" si="21">SUM(V33:AG33)</f>
        <v>95998.31</v>
      </c>
    </row>
    <row r="34" spans="1:39">
      <c r="A34" s="282" t="s">
        <v>85</v>
      </c>
      <c r="B34" s="288" t="s">
        <v>559</v>
      </c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287"/>
      <c r="AG34" s="287"/>
      <c r="AH34" s="287"/>
      <c r="AI34" s="287"/>
      <c r="AK34" s="287">
        <f t="shared" ref="AK34:AK35" si="22">SUM(C34:N34)</f>
        <v>0</v>
      </c>
      <c r="AL34" s="287">
        <f t="shared" ref="AL34:AL35" si="23">SUM(O34:Z34)</f>
        <v>0</v>
      </c>
      <c r="AM34" s="287">
        <f t="shared" ref="AM34:AM35" si="24">SUM(V34:AG34)</f>
        <v>0</v>
      </c>
    </row>
    <row r="35" spans="1:39">
      <c r="A35" s="282" t="s">
        <v>85</v>
      </c>
      <c r="B35" s="293" t="s">
        <v>560</v>
      </c>
      <c r="C35" s="289">
        <v>10797.1</v>
      </c>
      <c r="D35" s="289">
        <v>11454.75</v>
      </c>
      <c r="E35" s="289">
        <v>18418.05</v>
      </c>
      <c r="F35" s="289">
        <v>15698.02</v>
      </c>
      <c r="G35" s="289">
        <v>-12310.28</v>
      </c>
      <c r="H35" s="289">
        <v>10520.81</v>
      </c>
      <c r="I35" s="289">
        <v>7775.69</v>
      </c>
      <c r="J35" s="289">
        <v>2347.85</v>
      </c>
      <c r="K35" s="289">
        <v>6781.71</v>
      </c>
      <c r="L35" s="289">
        <v>6137.14</v>
      </c>
      <c r="M35" s="289">
        <v>9174.7999999999993</v>
      </c>
      <c r="N35" s="289">
        <v>4200.63</v>
      </c>
      <c r="O35" s="289">
        <v>8897.9</v>
      </c>
      <c r="P35" s="289">
        <v>10218.969999999999</v>
      </c>
      <c r="Q35" s="289">
        <v>10718.57</v>
      </c>
      <c r="R35" s="289">
        <v>13475.79</v>
      </c>
      <c r="S35" s="289">
        <v>17363.39</v>
      </c>
      <c r="T35" s="289">
        <v>15380.31</v>
      </c>
      <c r="U35" s="289">
        <v>13061.57</v>
      </c>
      <c r="V35" s="289">
        <v>15679.26</v>
      </c>
      <c r="W35" s="289">
        <v>11284.92</v>
      </c>
      <c r="X35" s="289">
        <v>16259.94</v>
      </c>
      <c r="Y35" s="289">
        <v>9778.9699999999993</v>
      </c>
      <c r="Z35" s="289">
        <v>6645.2</v>
      </c>
      <c r="AA35" s="289">
        <v>10456.34</v>
      </c>
      <c r="AB35" s="289">
        <v>11157.32</v>
      </c>
      <c r="AC35" s="289">
        <v>12022.32</v>
      </c>
      <c r="AD35" s="289">
        <v>14090.83</v>
      </c>
      <c r="AE35" s="289">
        <v>14250.58</v>
      </c>
      <c r="AF35" s="289">
        <v>16890.32</v>
      </c>
      <c r="AG35" s="289">
        <v>21117.41</v>
      </c>
      <c r="AH35" s="287"/>
      <c r="AI35" s="289">
        <f t="shared" ref="AI35:AI40" si="25">C35+D35+E35+F35+G35+H35+I35+J35+K35+L35+M35+N35+O35+P35+Q35+R35+S35+T35+U35+V35+W35+X35+Y35+Z35+AA35+AB35+AC35+AD35+AE35+AF35+AG35+AH35</f>
        <v>339746.18000000005</v>
      </c>
      <c r="AK35" s="289">
        <f t="shared" si="22"/>
        <v>90996.27</v>
      </c>
      <c r="AL35" s="289">
        <f t="shared" si="23"/>
        <v>148764.79</v>
      </c>
      <c r="AM35" s="289">
        <f t="shared" si="24"/>
        <v>159633.41000000003</v>
      </c>
    </row>
    <row r="36" spans="1:39">
      <c r="B36" s="295" t="s">
        <v>561</v>
      </c>
      <c r="C36" s="291">
        <f t="shared" ref="C36:AH36" si="26">C34+C35</f>
        <v>10797.1</v>
      </c>
      <c r="D36" s="291">
        <f t="shared" si="26"/>
        <v>11454.75</v>
      </c>
      <c r="E36" s="291">
        <f t="shared" si="26"/>
        <v>18418.05</v>
      </c>
      <c r="F36" s="291">
        <f t="shared" si="26"/>
        <v>15698.02</v>
      </c>
      <c r="G36" s="291">
        <f t="shared" si="26"/>
        <v>-12310.28</v>
      </c>
      <c r="H36" s="291">
        <f t="shared" si="26"/>
        <v>10520.81</v>
      </c>
      <c r="I36" s="291">
        <f t="shared" si="26"/>
        <v>7775.69</v>
      </c>
      <c r="J36" s="291">
        <f t="shared" si="26"/>
        <v>2347.85</v>
      </c>
      <c r="K36" s="291">
        <f t="shared" si="26"/>
        <v>6781.71</v>
      </c>
      <c r="L36" s="291">
        <f t="shared" si="26"/>
        <v>6137.14</v>
      </c>
      <c r="M36" s="291">
        <f t="shared" si="26"/>
        <v>9174.7999999999993</v>
      </c>
      <c r="N36" s="291">
        <f t="shared" si="26"/>
        <v>4200.63</v>
      </c>
      <c r="O36" s="291">
        <f t="shared" si="26"/>
        <v>8897.9</v>
      </c>
      <c r="P36" s="291">
        <f t="shared" si="26"/>
        <v>10218.969999999999</v>
      </c>
      <c r="Q36" s="291">
        <f t="shared" si="26"/>
        <v>10718.57</v>
      </c>
      <c r="R36" s="291">
        <f t="shared" si="26"/>
        <v>13475.79</v>
      </c>
      <c r="S36" s="291">
        <f t="shared" si="26"/>
        <v>17363.39</v>
      </c>
      <c r="T36" s="291">
        <f t="shared" si="26"/>
        <v>15380.31</v>
      </c>
      <c r="U36" s="291">
        <f t="shared" si="26"/>
        <v>13061.57</v>
      </c>
      <c r="V36" s="291">
        <f t="shared" si="26"/>
        <v>15679.26</v>
      </c>
      <c r="W36" s="291">
        <f t="shared" si="26"/>
        <v>11284.92</v>
      </c>
      <c r="X36" s="291">
        <f t="shared" si="26"/>
        <v>16259.94</v>
      </c>
      <c r="Y36" s="291">
        <f t="shared" si="26"/>
        <v>9778.9699999999993</v>
      </c>
      <c r="Z36" s="291">
        <f t="shared" si="26"/>
        <v>6645.2</v>
      </c>
      <c r="AA36" s="291">
        <f t="shared" si="26"/>
        <v>10456.34</v>
      </c>
      <c r="AB36" s="291">
        <f t="shared" si="26"/>
        <v>11157.32</v>
      </c>
      <c r="AC36" s="291">
        <f t="shared" si="26"/>
        <v>12022.32</v>
      </c>
      <c r="AD36" s="291">
        <f t="shared" si="26"/>
        <v>14090.83</v>
      </c>
      <c r="AE36" s="291">
        <f t="shared" si="26"/>
        <v>14250.58</v>
      </c>
      <c r="AF36" s="291">
        <f t="shared" si="26"/>
        <v>16890.32</v>
      </c>
      <c r="AG36" s="291">
        <f t="shared" si="26"/>
        <v>21117.41</v>
      </c>
      <c r="AH36" s="292">
        <f t="shared" si="26"/>
        <v>0</v>
      </c>
      <c r="AI36" s="292">
        <f t="shared" si="25"/>
        <v>339746.18000000005</v>
      </c>
      <c r="AK36" s="292">
        <f t="shared" ref="AK36" si="27">AK34+AK35</f>
        <v>90996.27</v>
      </c>
      <c r="AL36" s="292">
        <f t="shared" ref="AL36" si="28">AL34+AL35</f>
        <v>148764.79</v>
      </c>
      <c r="AM36" s="292">
        <f t="shared" ref="AM36" si="29">AM34+AM35</f>
        <v>159633.41000000003</v>
      </c>
    </row>
    <row r="37" spans="1:39">
      <c r="A37" s="282" t="s">
        <v>70</v>
      </c>
      <c r="B37" s="288" t="s">
        <v>562</v>
      </c>
      <c r="C37" s="287"/>
      <c r="D37" s="287"/>
      <c r="E37" s="287"/>
      <c r="F37" s="287"/>
      <c r="G37" s="287"/>
      <c r="H37" s="287"/>
      <c r="I37" s="287"/>
      <c r="J37" s="289">
        <v>361.67</v>
      </c>
      <c r="K37" s="289">
        <v>19.989999999999998</v>
      </c>
      <c r="L37" s="287"/>
      <c r="M37" s="289">
        <v>207.28</v>
      </c>
      <c r="N37" s="287"/>
      <c r="O37" s="287"/>
      <c r="P37" s="287"/>
      <c r="Q37" s="287"/>
      <c r="R37" s="287"/>
      <c r="S37" s="289">
        <v>681.09</v>
      </c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9">
        <f t="shared" si="25"/>
        <v>1270.0300000000002</v>
      </c>
      <c r="AK37" s="289">
        <f t="shared" ref="AK37:AK38" si="30">SUM(C37:N37)</f>
        <v>588.94000000000005</v>
      </c>
      <c r="AL37" s="289">
        <f t="shared" ref="AL37:AL38" si="31">SUM(O37:Z37)</f>
        <v>681.09</v>
      </c>
      <c r="AM37" s="289">
        <f t="shared" ref="AM37:AM38" si="32">SUM(V37:AG37)</f>
        <v>0</v>
      </c>
    </row>
    <row r="38" spans="1:39">
      <c r="A38" s="282" t="s">
        <v>70</v>
      </c>
      <c r="B38" s="288" t="s">
        <v>563</v>
      </c>
      <c r="C38" s="287"/>
      <c r="D38" s="287"/>
      <c r="E38" s="287"/>
      <c r="F38" s="287"/>
      <c r="G38" s="287"/>
      <c r="H38" s="287"/>
      <c r="I38" s="289">
        <v>19.989999999999998</v>
      </c>
      <c r="J38" s="287"/>
      <c r="K38" s="287"/>
      <c r="L38" s="287"/>
      <c r="M38" s="287"/>
      <c r="N38" s="287"/>
      <c r="O38" s="287"/>
      <c r="P38" s="289">
        <v>605.42999999999995</v>
      </c>
      <c r="Q38" s="289">
        <v>237.55</v>
      </c>
      <c r="R38" s="289">
        <v>364.62</v>
      </c>
      <c r="S38" s="289">
        <v>921.67</v>
      </c>
      <c r="T38" s="289">
        <v>239.17</v>
      </c>
      <c r="U38" s="289">
        <v>252.1</v>
      </c>
      <c r="V38" s="289">
        <v>14.46</v>
      </c>
      <c r="W38" s="289">
        <v>449.59</v>
      </c>
      <c r="X38" s="289">
        <v>253.23</v>
      </c>
      <c r="Y38" s="289">
        <v>386.91</v>
      </c>
      <c r="Z38" s="289">
        <v>528.96</v>
      </c>
      <c r="AA38" s="287"/>
      <c r="AB38" s="287"/>
      <c r="AC38" s="287"/>
      <c r="AD38" s="287"/>
      <c r="AE38" s="287"/>
      <c r="AF38" s="289">
        <v>249.03</v>
      </c>
      <c r="AG38" s="287"/>
      <c r="AH38" s="287"/>
      <c r="AI38" s="289">
        <f t="shared" si="25"/>
        <v>4522.71</v>
      </c>
      <c r="AK38" s="289">
        <f t="shared" si="30"/>
        <v>19.989999999999998</v>
      </c>
      <c r="AL38" s="289">
        <f t="shared" si="31"/>
        <v>4253.6900000000005</v>
      </c>
      <c r="AM38" s="289">
        <f t="shared" si="32"/>
        <v>1882.18</v>
      </c>
    </row>
    <row r="39" spans="1:39">
      <c r="B39" s="290" t="s">
        <v>564</v>
      </c>
      <c r="C39" s="291">
        <f t="shared" ref="C39:AH39" si="33">C27+C32+C33+C36+C37+C38</f>
        <v>21857.980000000003</v>
      </c>
      <c r="D39" s="291">
        <f t="shared" si="33"/>
        <v>22232.54</v>
      </c>
      <c r="E39" s="291">
        <f t="shared" si="33"/>
        <v>19247.629999999997</v>
      </c>
      <c r="F39" s="291">
        <f t="shared" si="33"/>
        <v>17127.45</v>
      </c>
      <c r="G39" s="291">
        <f t="shared" si="33"/>
        <v>33542.080000000002</v>
      </c>
      <c r="H39" s="291">
        <f t="shared" si="33"/>
        <v>31582.33</v>
      </c>
      <c r="I39" s="291">
        <f t="shared" si="33"/>
        <v>19002.57</v>
      </c>
      <c r="J39" s="291">
        <f t="shared" si="33"/>
        <v>10097.26</v>
      </c>
      <c r="K39" s="291">
        <f t="shared" si="33"/>
        <v>18482.830000000002</v>
      </c>
      <c r="L39" s="291">
        <f t="shared" si="33"/>
        <v>13248.18</v>
      </c>
      <c r="M39" s="291">
        <f t="shared" si="33"/>
        <v>17119.419999999998</v>
      </c>
      <c r="N39" s="291">
        <f t="shared" si="33"/>
        <v>-5430.78</v>
      </c>
      <c r="O39" s="291">
        <f t="shared" si="33"/>
        <v>15041.67</v>
      </c>
      <c r="P39" s="291">
        <f t="shared" si="33"/>
        <v>14305.82</v>
      </c>
      <c r="Q39" s="291">
        <f t="shared" si="33"/>
        <v>14521.119999999999</v>
      </c>
      <c r="R39" s="291">
        <f t="shared" si="33"/>
        <v>16467.46</v>
      </c>
      <c r="S39" s="291">
        <f t="shared" si="33"/>
        <v>24676.679999999997</v>
      </c>
      <c r="T39" s="291">
        <f t="shared" si="33"/>
        <v>24898.53</v>
      </c>
      <c r="U39" s="291">
        <f t="shared" si="33"/>
        <v>16627.07</v>
      </c>
      <c r="V39" s="291">
        <f t="shared" si="33"/>
        <v>21383.52</v>
      </c>
      <c r="W39" s="291">
        <f t="shared" si="33"/>
        <v>13753.23</v>
      </c>
      <c r="X39" s="291">
        <f t="shared" si="33"/>
        <v>21701.91</v>
      </c>
      <c r="Y39" s="291">
        <f t="shared" si="33"/>
        <v>15861.669999999998</v>
      </c>
      <c r="Z39" s="291">
        <f t="shared" si="33"/>
        <v>14755.059999999998</v>
      </c>
      <c r="AA39" s="291">
        <f t="shared" si="33"/>
        <v>29047.389999999996</v>
      </c>
      <c r="AB39" s="291">
        <f t="shared" si="33"/>
        <v>18501.309999999998</v>
      </c>
      <c r="AC39" s="291">
        <f t="shared" si="33"/>
        <v>22558.809999999998</v>
      </c>
      <c r="AD39" s="291">
        <f t="shared" si="33"/>
        <v>25364.83</v>
      </c>
      <c r="AE39" s="291">
        <f t="shared" si="33"/>
        <v>36724.83</v>
      </c>
      <c r="AF39" s="291">
        <f t="shared" si="33"/>
        <v>33689.85</v>
      </c>
      <c r="AG39" s="291">
        <f t="shared" si="33"/>
        <v>26318.43</v>
      </c>
      <c r="AH39" s="291">
        <f t="shared" si="33"/>
        <v>1835.11</v>
      </c>
      <c r="AI39" s="292">
        <f t="shared" si="25"/>
        <v>626143.78999999992</v>
      </c>
      <c r="AK39" s="292">
        <f t="shared" ref="AK39" si="34">AK27+AK32+AK33+AK36+AK37+AK38</f>
        <v>218109.49</v>
      </c>
      <c r="AL39" s="292">
        <f t="shared" ref="AL39" si="35">AL27+AL32+AL33+AL36+AL37+AL38</f>
        <v>213993.74000000002</v>
      </c>
      <c r="AM39" s="292">
        <f t="shared" ref="AM39" si="36">AM27+AM32+AM33+AM36+AM37+AM38</f>
        <v>279660.84000000003</v>
      </c>
    </row>
    <row r="40" spans="1:39">
      <c r="B40" s="290" t="s">
        <v>565</v>
      </c>
      <c r="C40" s="291">
        <f t="shared" ref="C40:AH40" si="37">C26-C39</f>
        <v>33697.42</v>
      </c>
      <c r="D40" s="291">
        <f t="shared" si="37"/>
        <v>3619.0699999999997</v>
      </c>
      <c r="E40" s="291">
        <f t="shared" si="37"/>
        <v>25574.990000000005</v>
      </c>
      <c r="F40" s="291">
        <f t="shared" si="37"/>
        <v>22231.37</v>
      </c>
      <c r="G40" s="291">
        <f t="shared" si="37"/>
        <v>-6045.2800000000025</v>
      </c>
      <c r="H40" s="291">
        <f t="shared" si="37"/>
        <v>22068.28</v>
      </c>
      <c r="I40" s="291">
        <f t="shared" si="37"/>
        <v>44632.97</v>
      </c>
      <c r="J40" s="291">
        <f t="shared" si="37"/>
        <v>20048.400000000001</v>
      </c>
      <c r="K40" s="291">
        <f t="shared" si="37"/>
        <v>2964.0999999999985</v>
      </c>
      <c r="L40" s="291">
        <f t="shared" si="37"/>
        <v>43548.15</v>
      </c>
      <c r="M40" s="291">
        <f t="shared" si="37"/>
        <v>34607.230000000003</v>
      </c>
      <c r="N40" s="291">
        <f t="shared" si="37"/>
        <v>31569.38</v>
      </c>
      <c r="O40" s="291">
        <f t="shared" si="37"/>
        <v>51296.97</v>
      </c>
      <c r="P40" s="291">
        <f t="shared" si="37"/>
        <v>35219.250000000007</v>
      </c>
      <c r="Q40" s="291">
        <f t="shared" si="37"/>
        <v>31843.959999999995</v>
      </c>
      <c r="R40" s="291">
        <f t="shared" si="37"/>
        <v>57105.37</v>
      </c>
      <c r="S40" s="291">
        <f t="shared" si="37"/>
        <v>46345.600000000006</v>
      </c>
      <c r="T40" s="291">
        <f t="shared" si="37"/>
        <v>-186.36999999999534</v>
      </c>
      <c r="U40" s="291">
        <f t="shared" si="37"/>
        <v>23593.599999999999</v>
      </c>
      <c r="V40" s="291">
        <f t="shared" si="37"/>
        <v>25915.569999999996</v>
      </c>
      <c r="W40" s="291">
        <f t="shared" si="37"/>
        <v>36647.770000000004</v>
      </c>
      <c r="X40" s="291">
        <f t="shared" si="37"/>
        <v>58864.42</v>
      </c>
      <c r="Y40" s="291">
        <f t="shared" si="37"/>
        <v>32935.96</v>
      </c>
      <c r="Z40" s="291">
        <f t="shared" si="37"/>
        <v>52410.94</v>
      </c>
      <c r="AA40" s="291">
        <f t="shared" si="37"/>
        <v>45227.270000000004</v>
      </c>
      <c r="AB40" s="291">
        <f t="shared" si="37"/>
        <v>94931.010000000009</v>
      </c>
      <c r="AC40" s="291">
        <f t="shared" si="37"/>
        <v>57525.540000000008</v>
      </c>
      <c r="AD40" s="291">
        <f t="shared" si="37"/>
        <v>39734.839999999997</v>
      </c>
      <c r="AE40" s="291">
        <f t="shared" si="37"/>
        <v>35186.839999999997</v>
      </c>
      <c r="AF40" s="291">
        <f t="shared" si="37"/>
        <v>37552.009999999987</v>
      </c>
      <c r="AG40" s="291">
        <f t="shared" si="37"/>
        <v>8589.82</v>
      </c>
      <c r="AH40" s="291">
        <f t="shared" si="37"/>
        <v>12889.73</v>
      </c>
      <c r="AI40" s="292">
        <f t="shared" si="25"/>
        <v>1062146.1800000002</v>
      </c>
      <c r="AK40" s="292">
        <f t="shared" ref="AK40" si="38">AK26-AK39</f>
        <v>278516.08</v>
      </c>
      <c r="AL40" s="292">
        <f t="shared" ref="AL40" si="39">AL26-AL39</f>
        <v>451993.04000000004</v>
      </c>
      <c r="AM40" s="292">
        <f t="shared" ref="AM40" si="40">AM26-AM39</f>
        <v>525521.99</v>
      </c>
    </row>
    <row r="41" spans="1:39">
      <c r="B41" s="286" t="s">
        <v>566</v>
      </c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</row>
    <row r="42" spans="1:39">
      <c r="A42" s="282" t="s">
        <v>164</v>
      </c>
      <c r="B42" s="288" t="s">
        <v>567</v>
      </c>
      <c r="C42" s="289">
        <v>265.54000000000002</v>
      </c>
      <c r="D42" s="289">
        <v>146.24</v>
      </c>
      <c r="E42" s="289">
        <v>643.77</v>
      </c>
      <c r="F42" s="289">
        <v>611.04</v>
      </c>
      <c r="G42" s="289">
        <v>546.09</v>
      </c>
      <c r="H42" s="289">
        <v>1046.21</v>
      </c>
      <c r="I42" s="289">
        <v>395.97</v>
      </c>
      <c r="J42" s="289">
        <v>2004.6</v>
      </c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9">
        <v>20.440000000000001</v>
      </c>
      <c r="AE42" s="287"/>
      <c r="AF42" s="287"/>
      <c r="AG42" s="289">
        <v>110.07</v>
      </c>
      <c r="AH42" s="287"/>
      <c r="AI42" s="289">
        <f t="shared" ref="AI42:AI79" si="41">C42+D42+E42+F42+G42+H42+I42+J42+K42+L42+M42+N42+O42+P42+Q42+R42+S42+T42+U42+V42+W42+X42+Y42+Z42+AA42+AB42+AC42+AD42+AE42+AF42+AG42+AH42</f>
        <v>5789.9699999999984</v>
      </c>
      <c r="AK42" s="289">
        <f t="shared" ref="AK42" si="42">SUM(C42:N42)</f>
        <v>5659.4599999999991</v>
      </c>
      <c r="AL42" s="289">
        <f t="shared" ref="AL42" si="43">SUM(O42:Z42)</f>
        <v>0</v>
      </c>
      <c r="AM42" s="289">
        <f t="shared" ref="AM42" si="44">SUM(V42:AG42)</f>
        <v>130.51</v>
      </c>
    </row>
    <row r="43" spans="1:39">
      <c r="A43" s="282" t="s">
        <v>138</v>
      </c>
      <c r="B43" s="288" t="s">
        <v>568</v>
      </c>
      <c r="C43" s="289">
        <v>215</v>
      </c>
      <c r="D43" s="289">
        <v>765</v>
      </c>
      <c r="E43" s="289">
        <v>1236.25</v>
      </c>
      <c r="F43" s="289">
        <v>1782.72</v>
      </c>
      <c r="G43" s="289">
        <v>310.52999999999997</v>
      </c>
      <c r="H43" s="289">
        <v>1660</v>
      </c>
      <c r="I43" s="289">
        <v>6215</v>
      </c>
      <c r="J43" s="289">
        <v>215</v>
      </c>
      <c r="K43" s="289">
        <v>3282.5</v>
      </c>
      <c r="L43" s="289">
        <v>1437.5</v>
      </c>
      <c r="M43" s="289">
        <v>60</v>
      </c>
      <c r="N43" s="289">
        <v>739.69</v>
      </c>
      <c r="O43" s="289">
        <v>5177.8</v>
      </c>
      <c r="P43" s="289">
        <v>824.86</v>
      </c>
      <c r="Q43" s="289">
        <v>5458.71</v>
      </c>
      <c r="R43" s="289">
        <v>3387.27</v>
      </c>
      <c r="S43" s="289">
        <v>3843.06</v>
      </c>
      <c r="T43" s="289">
        <v>3308.05</v>
      </c>
      <c r="U43" s="289">
        <v>3021.44</v>
      </c>
      <c r="V43" s="289">
        <v>3021.65</v>
      </c>
      <c r="W43" s="289">
        <v>3016.44</v>
      </c>
      <c r="X43" s="289">
        <v>3476.02</v>
      </c>
      <c r="Y43" s="289">
        <v>3064.01</v>
      </c>
      <c r="Z43" s="289">
        <v>5264.02</v>
      </c>
      <c r="AA43" s="289">
        <v>855.62</v>
      </c>
      <c r="AB43" s="287"/>
      <c r="AC43" s="289">
        <v>2950</v>
      </c>
      <c r="AD43" s="287"/>
      <c r="AE43" s="287"/>
      <c r="AF43" s="289">
        <v>299.05</v>
      </c>
      <c r="AG43" s="287"/>
      <c r="AH43" s="287"/>
      <c r="AI43" s="289">
        <f t="shared" si="41"/>
        <v>64887.19000000001</v>
      </c>
      <c r="AK43" s="289">
        <f t="shared" ref="AK43:AK71" si="45">SUM(C43:N43)</f>
        <v>17919.189999999999</v>
      </c>
      <c r="AL43" s="289">
        <f t="shared" ref="AL43:AL71" si="46">SUM(O43:Z43)</f>
        <v>42863.33</v>
      </c>
      <c r="AM43" s="289">
        <f t="shared" ref="AM43:AM71" si="47">SUM(V43:AG43)</f>
        <v>21946.809999999998</v>
      </c>
    </row>
    <row r="44" spans="1:39">
      <c r="A44" s="282" t="s">
        <v>189</v>
      </c>
      <c r="B44" s="288" t="s">
        <v>569</v>
      </c>
      <c r="C44" s="289">
        <v>428.97</v>
      </c>
      <c r="D44" s="289">
        <v>28</v>
      </c>
      <c r="E44" s="289">
        <v>19.7</v>
      </c>
      <c r="F44" s="289">
        <v>155.34</v>
      </c>
      <c r="G44" s="287"/>
      <c r="H44" s="289">
        <v>2055.21</v>
      </c>
      <c r="I44" s="289">
        <v>-217.8</v>
      </c>
      <c r="J44" s="287"/>
      <c r="K44" s="289">
        <v>149.34</v>
      </c>
      <c r="L44" s="289">
        <v>29.56</v>
      </c>
      <c r="M44" s="289">
        <v>7</v>
      </c>
      <c r="N44" s="287"/>
      <c r="O44" s="289">
        <v>25.38</v>
      </c>
      <c r="P44" s="289">
        <v>181.25</v>
      </c>
      <c r="Q44" s="287"/>
      <c r="R44" s="289">
        <v>40</v>
      </c>
      <c r="S44" s="289">
        <v>-32.090000000000003</v>
      </c>
      <c r="T44" s="289">
        <v>-19.940000000000001</v>
      </c>
      <c r="U44" s="287"/>
      <c r="V44" s="287"/>
      <c r="W44" s="289">
        <v>95</v>
      </c>
      <c r="X44" s="289">
        <v>209.94</v>
      </c>
      <c r="Y44" s="287"/>
      <c r="Z44" s="287"/>
      <c r="AA44" s="287"/>
      <c r="AB44" s="287"/>
      <c r="AC44" s="294">
        <v>0</v>
      </c>
      <c r="AD44" s="287"/>
      <c r="AE44" s="287"/>
      <c r="AF44" s="287"/>
      <c r="AG44" s="287"/>
      <c r="AH44" s="287"/>
      <c r="AI44" s="289">
        <f t="shared" si="41"/>
        <v>3154.86</v>
      </c>
      <c r="AK44" s="289">
        <f t="shared" si="45"/>
        <v>2655.32</v>
      </c>
      <c r="AL44" s="289">
        <f t="shared" si="46"/>
        <v>499.54</v>
      </c>
      <c r="AM44" s="289">
        <f t="shared" si="47"/>
        <v>304.94</v>
      </c>
    </row>
    <row r="45" spans="1:39">
      <c r="A45" s="297" t="s">
        <v>203</v>
      </c>
      <c r="B45" s="288" t="s">
        <v>570</v>
      </c>
      <c r="C45" s="287"/>
      <c r="D45" s="287"/>
      <c r="E45" s="287"/>
      <c r="F45" s="287"/>
      <c r="G45" s="289">
        <v>210</v>
      </c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9">
        <f t="shared" si="41"/>
        <v>210</v>
      </c>
      <c r="AK45" s="289">
        <f t="shared" si="45"/>
        <v>210</v>
      </c>
      <c r="AL45" s="289">
        <f t="shared" si="46"/>
        <v>0</v>
      </c>
      <c r="AM45" s="289">
        <f t="shared" si="47"/>
        <v>0</v>
      </c>
    </row>
    <row r="46" spans="1:39">
      <c r="A46" s="297" t="s">
        <v>159</v>
      </c>
      <c r="B46" s="288" t="s">
        <v>571</v>
      </c>
      <c r="C46" s="289">
        <v>250.9</v>
      </c>
      <c r="D46" s="289">
        <v>173.61</v>
      </c>
      <c r="E46" s="289">
        <v>1195</v>
      </c>
      <c r="F46" s="289">
        <v>377.49</v>
      </c>
      <c r="G46" s="289">
        <v>251.9</v>
      </c>
      <c r="H46" s="289">
        <v>384.7</v>
      </c>
      <c r="I46" s="289">
        <v>186.82</v>
      </c>
      <c r="J46" s="289">
        <v>2612.04</v>
      </c>
      <c r="K46" s="289">
        <v>527.25</v>
      </c>
      <c r="L46" s="289">
        <v>1193.23</v>
      </c>
      <c r="M46" s="289">
        <v>1073.0999999999999</v>
      </c>
      <c r="N46" s="289">
        <v>8201.4</v>
      </c>
      <c r="O46" s="287"/>
      <c r="P46" s="289">
        <v>609.99</v>
      </c>
      <c r="Q46" s="289">
        <v>1044</v>
      </c>
      <c r="R46" s="287"/>
      <c r="S46" s="289">
        <v>99.9</v>
      </c>
      <c r="T46" s="289">
        <v>99.9</v>
      </c>
      <c r="U46" s="289">
        <v>19.98</v>
      </c>
      <c r="V46" s="289">
        <v>19.98</v>
      </c>
      <c r="W46" s="289">
        <v>139.97999999999999</v>
      </c>
      <c r="X46" s="289">
        <v>19.98</v>
      </c>
      <c r="Y46" s="289">
        <v>19.98</v>
      </c>
      <c r="Z46" s="287"/>
      <c r="AA46" s="289">
        <v>19.98</v>
      </c>
      <c r="AB46" s="289">
        <v>19.98</v>
      </c>
      <c r="AC46" s="289">
        <v>485</v>
      </c>
      <c r="AD46" s="289">
        <v>19.98</v>
      </c>
      <c r="AE46" s="289">
        <v>504.98</v>
      </c>
      <c r="AF46" s="289">
        <v>67.2</v>
      </c>
      <c r="AG46" s="287"/>
      <c r="AH46" s="287"/>
      <c r="AI46" s="289">
        <f t="shared" si="41"/>
        <v>19618.250000000004</v>
      </c>
      <c r="AK46" s="289">
        <f t="shared" si="45"/>
        <v>16427.440000000002</v>
      </c>
      <c r="AL46" s="289">
        <f t="shared" si="46"/>
        <v>2073.69</v>
      </c>
      <c r="AM46" s="289">
        <f t="shared" si="47"/>
        <v>1317.04</v>
      </c>
    </row>
    <row r="47" spans="1:39">
      <c r="A47" s="297" t="s">
        <v>189</v>
      </c>
      <c r="B47" s="288" t="s">
        <v>572</v>
      </c>
      <c r="C47" s="287"/>
      <c r="D47" s="287"/>
      <c r="E47" s="287"/>
      <c r="F47" s="289">
        <v>243.35</v>
      </c>
      <c r="G47" s="287"/>
      <c r="H47" s="287"/>
      <c r="I47" s="289">
        <v>1074.78</v>
      </c>
      <c r="J47" s="289">
        <v>1622.77</v>
      </c>
      <c r="K47" s="289">
        <v>183</v>
      </c>
      <c r="L47" s="289">
        <v>334.03</v>
      </c>
      <c r="M47" s="289">
        <v>541.66999999999996</v>
      </c>
      <c r="N47" s="289">
        <v>375.66</v>
      </c>
      <c r="O47" s="289">
        <v>426.24</v>
      </c>
      <c r="P47" s="289">
        <v>468.97</v>
      </c>
      <c r="Q47" s="289">
        <v>378.32</v>
      </c>
      <c r="R47" s="289">
        <v>417.33</v>
      </c>
      <c r="S47" s="289">
        <v>420.81</v>
      </c>
      <c r="T47" s="289">
        <v>571.52</v>
      </c>
      <c r="U47" s="289">
        <v>981.36</v>
      </c>
      <c r="V47" s="289">
        <v>890.76</v>
      </c>
      <c r="W47" s="289">
        <v>1003.66</v>
      </c>
      <c r="X47" s="289">
        <v>341.53</v>
      </c>
      <c r="Y47" s="289">
        <v>593.13</v>
      </c>
      <c r="Z47" s="289">
        <v>536.03</v>
      </c>
      <c r="AA47" s="289">
        <v>703.18</v>
      </c>
      <c r="AB47" s="289">
        <v>1187.22</v>
      </c>
      <c r="AC47" s="289">
        <v>860.26</v>
      </c>
      <c r="AD47" s="289">
        <v>708.17</v>
      </c>
      <c r="AE47" s="289">
        <v>658.15</v>
      </c>
      <c r="AF47" s="289">
        <v>461.12</v>
      </c>
      <c r="AG47" s="289">
        <v>625.46</v>
      </c>
      <c r="AH47" s="289">
        <v>500.42</v>
      </c>
      <c r="AI47" s="289">
        <f t="shared" si="41"/>
        <v>17108.899999999998</v>
      </c>
      <c r="AK47" s="289">
        <f t="shared" si="45"/>
        <v>4375.2599999999993</v>
      </c>
      <c r="AL47" s="289">
        <f t="shared" si="46"/>
        <v>7029.66</v>
      </c>
      <c r="AM47" s="289">
        <f t="shared" si="47"/>
        <v>8568.6699999999983</v>
      </c>
    </row>
    <row r="48" spans="1:39">
      <c r="A48" s="298" t="s">
        <v>616</v>
      </c>
      <c r="B48" s="288" t="s">
        <v>573</v>
      </c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9">
        <v>49672</v>
      </c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9">
        <v>100107</v>
      </c>
      <c r="AA48" s="287"/>
      <c r="AB48" s="287"/>
      <c r="AC48" s="287"/>
      <c r="AD48" s="287"/>
      <c r="AE48" s="287"/>
      <c r="AF48" s="287"/>
      <c r="AG48" s="287"/>
      <c r="AH48" s="287"/>
      <c r="AI48" s="289">
        <f t="shared" si="41"/>
        <v>149779</v>
      </c>
      <c r="AK48" s="289">
        <f t="shared" si="45"/>
        <v>49672</v>
      </c>
      <c r="AL48" s="289">
        <f t="shared" si="46"/>
        <v>100107</v>
      </c>
      <c r="AM48" s="289">
        <f t="shared" si="47"/>
        <v>100107</v>
      </c>
    </row>
    <row r="49" spans="1:39">
      <c r="A49" s="297" t="s">
        <v>145</v>
      </c>
      <c r="B49" s="288" t="s">
        <v>574</v>
      </c>
      <c r="C49" s="287"/>
      <c r="D49" s="289">
        <v>2187.5</v>
      </c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9">
        <f t="shared" si="41"/>
        <v>2187.5</v>
      </c>
      <c r="AK49" s="289">
        <f t="shared" si="45"/>
        <v>2187.5</v>
      </c>
      <c r="AL49" s="289">
        <f t="shared" si="46"/>
        <v>0</v>
      </c>
      <c r="AM49" s="289">
        <f t="shared" si="47"/>
        <v>0</v>
      </c>
    </row>
    <row r="50" spans="1:39">
      <c r="A50" s="282" t="s">
        <v>164</v>
      </c>
      <c r="B50" s="288" t="s">
        <v>575</v>
      </c>
      <c r="C50" s="287"/>
      <c r="D50" s="289">
        <v>2004.6</v>
      </c>
      <c r="E50" s="287"/>
      <c r="F50" s="287"/>
      <c r="G50" s="287"/>
      <c r="H50" s="287"/>
      <c r="I50" s="287"/>
      <c r="J50" s="289">
        <v>-2004.6</v>
      </c>
      <c r="K50" s="287"/>
      <c r="L50" s="287"/>
      <c r="M50" s="287"/>
      <c r="N50" s="287"/>
      <c r="O50" s="289">
        <v>1955.99</v>
      </c>
      <c r="P50" s="287"/>
      <c r="Q50" s="287"/>
      <c r="R50" s="287"/>
      <c r="S50" s="287"/>
      <c r="T50" s="287"/>
      <c r="U50" s="287"/>
      <c r="V50" s="287"/>
      <c r="W50" s="289">
        <v>1719.9</v>
      </c>
      <c r="X50" s="287"/>
      <c r="Y50" s="287"/>
      <c r="Z50" s="287"/>
      <c r="AA50" s="287"/>
      <c r="AB50" s="287"/>
      <c r="AC50" s="287"/>
      <c r="AD50" s="287"/>
      <c r="AE50" s="287"/>
      <c r="AF50" s="287"/>
      <c r="AG50" s="289">
        <v>2544.9699999999998</v>
      </c>
      <c r="AH50" s="287"/>
      <c r="AI50" s="289">
        <f t="shared" si="41"/>
        <v>6220.8600000000006</v>
      </c>
      <c r="AK50" s="289">
        <f t="shared" si="45"/>
        <v>0</v>
      </c>
      <c r="AL50" s="289">
        <f t="shared" si="46"/>
        <v>3675.8900000000003</v>
      </c>
      <c r="AM50" s="289">
        <f t="shared" si="47"/>
        <v>4264.87</v>
      </c>
    </row>
    <row r="51" spans="1:39">
      <c r="A51" s="297" t="s">
        <v>203</v>
      </c>
      <c r="B51" s="288" t="s">
        <v>576</v>
      </c>
      <c r="C51" s="287"/>
      <c r="D51" s="289">
        <v>100</v>
      </c>
      <c r="E51" s="289">
        <v>1000</v>
      </c>
      <c r="F51" s="287"/>
      <c r="G51" s="287"/>
      <c r="H51" s="294">
        <v>0</v>
      </c>
      <c r="I51" s="287"/>
      <c r="J51" s="287"/>
      <c r="K51" s="287"/>
      <c r="L51" s="287"/>
      <c r="M51" s="289">
        <v>81.17</v>
      </c>
      <c r="N51" s="287"/>
      <c r="O51" s="289">
        <v>250</v>
      </c>
      <c r="P51" s="287"/>
      <c r="Q51" s="287"/>
      <c r="R51" s="287"/>
      <c r="S51" s="287"/>
      <c r="T51" s="289">
        <v>400</v>
      </c>
      <c r="U51" s="287"/>
      <c r="V51" s="287"/>
      <c r="W51" s="289">
        <v>646.20000000000005</v>
      </c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9">
        <f t="shared" si="41"/>
        <v>2477.37</v>
      </c>
      <c r="AK51" s="289">
        <f t="shared" si="45"/>
        <v>1181.17</v>
      </c>
      <c r="AL51" s="289">
        <f t="shared" si="46"/>
        <v>1296.2</v>
      </c>
      <c r="AM51" s="289">
        <f t="shared" si="47"/>
        <v>646.20000000000005</v>
      </c>
    </row>
    <row r="52" spans="1:39">
      <c r="A52" s="282" t="s">
        <v>183</v>
      </c>
      <c r="B52" s="288" t="s">
        <v>577</v>
      </c>
      <c r="C52" s="289">
        <v>241</v>
      </c>
      <c r="D52" s="289">
        <v>8334.9500000000007</v>
      </c>
      <c r="E52" s="289">
        <v>734</v>
      </c>
      <c r="F52" s="289">
        <v>20014</v>
      </c>
      <c r="G52" s="289">
        <v>756</v>
      </c>
      <c r="H52" s="289">
        <v>771</v>
      </c>
      <c r="I52" s="289">
        <v>272</v>
      </c>
      <c r="J52" s="289">
        <v>257</v>
      </c>
      <c r="K52" s="287"/>
      <c r="L52" s="287"/>
      <c r="M52" s="287"/>
      <c r="N52" s="287"/>
      <c r="O52" s="289">
        <v>841.16</v>
      </c>
      <c r="P52" s="287"/>
      <c r="Q52" s="287"/>
      <c r="R52" s="289">
        <v>2554.13</v>
      </c>
      <c r="S52" s="289">
        <v>340.34</v>
      </c>
      <c r="T52" s="289">
        <v>4122.5600000000004</v>
      </c>
      <c r="U52" s="289">
        <v>2139.83</v>
      </c>
      <c r="V52" s="289">
        <v>5017.83</v>
      </c>
      <c r="W52" s="289">
        <v>2712.73</v>
      </c>
      <c r="X52" s="289">
        <v>5697.36</v>
      </c>
      <c r="Y52" s="287"/>
      <c r="Z52" s="289">
        <v>2708.68</v>
      </c>
      <c r="AA52" s="289">
        <v>6035.62</v>
      </c>
      <c r="AB52" s="289">
        <v>4535.55</v>
      </c>
      <c r="AC52" s="289">
        <v>5816.55</v>
      </c>
      <c r="AD52" s="289">
        <v>5410.37</v>
      </c>
      <c r="AE52" s="289">
        <v>2974.91</v>
      </c>
      <c r="AF52" s="289">
        <v>4112.82</v>
      </c>
      <c r="AG52" s="289">
        <v>1617.82</v>
      </c>
      <c r="AH52" s="289">
        <v>257</v>
      </c>
      <c r="AI52" s="289">
        <f t="shared" si="41"/>
        <v>88275.210000000021</v>
      </c>
      <c r="AK52" s="289">
        <f t="shared" si="45"/>
        <v>31379.95</v>
      </c>
      <c r="AL52" s="289">
        <f t="shared" si="46"/>
        <v>26134.620000000003</v>
      </c>
      <c r="AM52" s="289">
        <f t="shared" si="47"/>
        <v>46640.239999999991</v>
      </c>
    </row>
    <row r="53" spans="1:39">
      <c r="A53" s="298" t="s">
        <v>230</v>
      </c>
      <c r="B53" s="288" t="s">
        <v>578</v>
      </c>
      <c r="C53" s="289">
        <v>2297.9299999999998</v>
      </c>
      <c r="D53" s="289">
        <v>1950.33</v>
      </c>
      <c r="E53" s="289">
        <v>2586.75</v>
      </c>
      <c r="F53" s="289">
        <v>1941.75</v>
      </c>
      <c r="G53" s="289">
        <v>2462.86</v>
      </c>
      <c r="H53" s="289">
        <v>1925.11</v>
      </c>
      <c r="I53" s="289">
        <v>2055.0300000000002</v>
      </c>
      <c r="J53" s="289">
        <v>2308.5100000000002</v>
      </c>
      <c r="K53" s="289">
        <v>2423.69</v>
      </c>
      <c r="L53" s="289">
        <v>2407.12</v>
      </c>
      <c r="M53" s="289">
        <v>2442.13</v>
      </c>
      <c r="N53" s="289">
        <v>113.18</v>
      </c>
      <c r="O53" s="289">
        <v>2389.2800000000002</v>
      </c>
      <c r="P53" s="289">
        <v>2354.38</v>
      </c>
      <c r="Q53" s="289">
        <v>4751.37</v>
      </c>
      <c r="R53" s="289">
        <v>941.34</v>
      </c>
      <c r="S53" s="289">
        <v>1319.35</v>
      </c>
      <c r="T53" s="289">
        <v>1342.76</v>
      </c>
      <c r="U53" s="289">
        <v>1360.42</v>
      </c>
      <c r="V53" s="289">
        <v>1687.82</v>
      </c>
      <c r="W53" s="289">
        <v>1120.22</v>
      </c>
      <c r="X53" s="289">
        <v>1082.02</v>
      </c>
      <c r="Y53" s="289">
        <v>1187.82</v>
      </c>
      <c r="Z53" s="289">
        <v>1006.12</v>
      </c>
      <c r="AA53" s="289">
        <v>1612.37</v>
      </c>
      <c r="AB53" s="289">
        <v>672.45</v>
      </c>
      <c r="AC53" s="289">
        <v>952.49</v>
      </c>
      <c r="AD53" s="289">
        <v>1055.74</v>
      </c>
      <c r="AE53" s="289">
        <v>1053.48</v>
      </c>
      <c r="AF53" s="289">
        <v>1086.25</v>
      </c>
      <c r="AG53" s="289">
        <v>1248.56</v>
      </c>
      <c r="AH53" s="287"/>
      <c r="AI53" s="289">
        <f t="shared" si="41"/>
        <v>53138.63</v>
      </c>
      <c r="AK53" s="289">
        <f t="shared" si="45"/>
        <v>24914.390000000003</v>
      </c>
      <c r="AL53" s="289">
        <f t="shared" si="46"/>
        <v>20542.899999999998</v>
      </c>
      <c r="AM53" s="289">
        <f t="shared" si="47"/>
        <v>13765.339999999998</v>
      </c>
    </row>
    <row r="54" spans="1:39">
      <c r="A54" s="297" t="s">
        <v>203</v>
      </c>
      <c r="B54" s="288" t="s">
        <v>579</v>
      </c>
      <c r="C54" s="287"/>
      <c r="D54" s="287"/>
      <c r="E54" s="289">
        <v>17.260000000000002</v>
      </c>
      <c r="F54" s="287"/>
      <c r="G54" s="287"/>
      <c r="H54" s="294">
        <v>0</v>
      </c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9">
        <f t="shared" si="41"/>
        <v>17.260000000000002</v>
      </c>
      <c r="AK54" s="289">
        <f t="shared" si="45"/>
        <v>17.260000000000002</v>
      </c>
      <c r="AL54" s="289">
        <f t="shared" si="46"/>
        <v>0</v>
      </c>
      <c r="AM54" s="289">
        <f t="shared" si="47"/>
        <v>0</v>
      </c>
    </row>
    <row r="55" spans="1:39">
      <c r="A55" s="297" t="s">
        <v>203</v>
      </c>
      <c r="B55" s="288" t="s">
        <v>580</v>
      </c>
      <c r="C55" s="287"/>
      <c r="D55" s="287"/>
      <c r="E55" s="287"/>
      <c r="F55" s="287"/>
      <c r="G55" s="287"/>
      <c r="H55" s="287"/>
      <c r="I55" s="287"/>
      <c r="J55" s="287"/>
      <c r="K55" s="287"/>
      <c r="L55" s="289">
        <v>691.77</v>
      </c>
      <c r="M55" s="289">
        <v>132.13999999999999</v>
      </c>
      <c r="N55" s="289">
        <v>1566.46</v>
      </c>
      <c r="O55" s="287"/>
      <c r="P55" s="289">
        <v>483.73</v>
      </c>
      <c r="Q55" s="289">
        <v>156.29</v>
      </c>
      <c r="R55" s="289">
        <v>1415.11</v>
      </c>
      <c r="S55" s="289">
        <v>744.26</v>
      </c>
      <c r="T55" s="289">
        <v>416.7</v>
      </c>
      <c r="U55" s="289">
        <v>314.26</v>
      </c>
      <c r="V55" s="287"/>
      <c r="W55" s="289">
        <v>151.75</v>
      </c>
      <c r="X55" s="289">
        <v>308.62</v>
      </c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9">
        <f t="shared" si="41"/>
        <v>6381.09</v>
      </c>
      <c r="AK55" s="289">
        <f t="shared" si="45"/>
        <v>2390.37</v>
      </c>
      <c r="AL55" s="289">
        <f t="shared" si="46"/>
        <v>3990.7200000000003</v>
      </c>
      <c r="AM55" s="289">
        <f t="shared" si="47"/>
        <v>460.37</v>
      </c>
    </row>
    <row r="56" spans="1:39">
      <c r="A56" s="297" t="s">
        <v>145</v>
      </c>
      <c r="B56" s="288" t="s">
        <v>581</v>
      </c>
      <c r="C56" s="289">
        <v>400</v>
      </c>
      <c r="D56" s="289">
        <v>1123.23</v>
      </c>
      <c r="E56" s="289">
        <v>375</v>
      </c>
      <c r="F56" s="289">
        <v>1697.76</v>
      </c>
      <c r="G56" s="289">
        <v>1544.04</v>
      </c>
      <c r="H56" s="289">
        <v>929.6</v>
      </c>
      <c r="I56" s="289">
        <v>2108.4</v>
      </c>
      <c r="J56" s="289">
        <v>498.46</v>
      </c>
      <c r="K56" s="289">
        <v>1410.45</v>
      </c>
      <c r="L56" s="289">
        <v>1237.5</v>
      </c>
      <c r="M56" s="289">
        <v>1691.5</v>
      </c>
      <c r="N56" s="289">
        <v>-716.46</v>
      </c>
      <c r="O56" s="289">
        <v>275</v>
      </c>
      <c r="P56" s="287"/>
      <c r="Q56" s="289">
        <v>1299</v>
      </c>
      <c r="R56" s="289">
        <v>1924</v>
      </c>
      <c r="S56" s="289">
        <v>3024</v>
      </c>
      <c r="T56" s="289">
        <v>2178</v>
      </c>
      <c r="U56" s="289">
        <v>1734</v>
      </c>
      <c r="V56" s="289">
        <v>2370</v>
      </c>
      <c r="W56" s="289">
        <v>274</v>
      </c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9">
        <f t="shared" si="41"/>
        <v>25377.48</v>
      </c>
      <c r="AK56" s="289">
        <f t="shared" si="45"/>
        <v>12299.48</v>
      </c>
      <c r="AL56" s="289">
        <f t="shared" si="46"/>
        <v>13078</v>
      </c>
      <c r="AM56" s="289">
        <f t="shared" si="47"/>
        <v>2644</v>
      </c>
    </row>
    <row r="57" spans="1:39">
      <c r="A57" s="297" t="s">
        <v>145</v>
      </c>
      <c r="B57" s="288" t="s">
        <v>582</v>
      </c>
      <c r="C57" s="289">
        <v>600</v>
      </c>
      <c r="D57" s="287"/>
      <c r="E57" s="289">
        <v>518.94000000000005</v>
      </c>
      <c r="F57" s="289">
        <v>600</v>
      </c>
      <c r="G57" s="287"/>
      <c r="H57" s="294">
        <v>0</v>
      </c>
      <c r="I57" s="289">
        <v>600</v>
      </c>
      <c r="J57" s="289">
        <v>3000</v>
      </c>
      <c r="K57" s="289">
        <v>6000</v>
      </c>
      <c r="L57" s="289">
        <v>3279</v>
      </c>
      <c r="M57" s="289">
        <v>2000</v>
      </c>
      <c r="N57" s="289">
        <v>25364.21</v>
      </c>
      <c r="O57" s="289">
        <v>1911.51</v>
      </c>
      <c r="P57" s="289">
        <v>1911.49</v>
      </c>
      <c r="Q57" s="289">
        <v>5162.7</v>
      </c>
      <c r="R57" s="289">
        <v>2359.5</v>
      </c>
      <c r="S57" s="289">
        <v>3976.5</v>
      </c>
      <c r="T57" s="289">
        <v>1601.5</v>
      </c>
      <c r="U57" s="289">
        <v>3164.73</v>
      </c>
      <c r="V57" s="289">
        <v>1311.5</v>
      </c>
      <c r="W57" s="289">
        <v>1845.5</v>
      </c>
      <c r="X57" s="289">
        <v>1586.5</v>
      </c>
      <c r="Y57" s="289">
        <v>2250</v>
      </c>
      <c r="Z57" s="289">
        <v>9102.7999999999993</v>
      </c>
      <c r="AA57" s="289">
        <v>1311.5</v>
      </c>
      <c r="AB57" s="289">
        <v>1626.5</v>
      </c>
      <c r="AC57" s="289">
        <v>1473.14</v>
      </c>
      <c r="AD57" s="289">
        <v>1311.5</v>
      </c>
      <c r="AE57" s="289">
        <v>1311.5</v>
      </c>
      <c r="AF57" s="289">
        <v>1311.5</v>
      </c>
      <c r="AG57" s="289">
        <v>1311.5</v>
      </c>
      <c r="AH57" s="289">
        <v>5174.5</v>
      </c>
      <c r="AI57" s="289">
        <f t="shared" si="41"/>
        <v>92978.02</v>
      </c>
      <c r="AK57" s="289">
        <f t="shared" si="45"/>
        <v>41962.15</v>
      </c>
      <c r="AL57" s="289">
        <f t="shared" si="46"/>
        <v>36184.229999999996</v>
      </c>
      <c r="AM57" s="289">
        <f t="shared" si="47"/>
        <v>25753.439999999999</v>
      </c>
    </row>
    <row r="58" spans="1:39">
      <c r="A58" s="297" t="s">
        <v>145</v>
      </c>
      <c r="B58" s="288" t="s">
        <v>583</v>
      </c>
      <c r="C58" s="289">
        <v>1971.09</v>
      </c>
      <c r="D58" s="289">
        <v>476</v>
      </c>
      <c r="E58" s="289">
        <v>1783.9</v>
      </c>
      <c r="F58" s="289">
        <v>274</v>
      </c>
      <c r="G58" s="287"/>
      <c r="H58" s="289">
        <v>274</v>
      </c>
      <c r="I58" s="289">
        <v>1264.04</v>
      </c>
      <c r="J58" s="289">
        <v>3971.82</v>
      </c>
      <c r="K58" s="289">
        <v>363</v>
      </c>
      <c r="L58" s="287"/>
      <c r="M58" s="289">
        <v>274</v>
      </c>
      <c r="N58" s="287"/>
      <c r="O58" s="287"/>
      <c r="P58" s="289">
        <v>600</v>
      </c>
      <c r="Q58" s="289">
        <v>1987</v>
      </c>
      <c r="R58" s="289">
        <v>1608.12</v>
      </c>
      <c r="S58" s="287"/>
      <c r="T58" s="287"/>
      <c r="U58" s="289">
        <v>1389.78</v>
      </c>
      <c r="V58" s="287"/>
      <c r="W58" s="287"/>
      <c r="X58" s="289">
        <v>1675</v>
      </c>
      <c r="Y58" s="289">
        <v>750</v>
      </c>
      <c r="Z58" s="287"/>
      <c r="AA58" s="287"/>
      <c r="AB58" s="289">
        <v>10200</v>
      </c>
      <c r="AC58" s="287"/>
      <c r="AD58" s="289">
        <v>-5100</v>
      </c>
      <c r="AE58" s="287"/>
      <c r="AF58" s="289">
        <v>4780</v>
      </c>
      <c r="AG58" s="289">
        <v>1367</v>
      </c>
      <c r="AH58" s="287"/>
      <c r="AI58" s="289">
        <f t="shared" si="41"/>
        <v>29908.75</v>
      </c>
      <c r="AK58" s="289">
        <f t="shared" si="45"/>
        <v>10651.85</v>
      </c>
      <c r="AL58" s="289">
        <f t="shared" si="46"/>
        <v>8009.9</v>
      </c>
      <c r="AM58" s="289">
        <f t="shared" si="47"/>
        <v>13672</v>
      </c>
    </row>
    <row r="59" spans="1:39">
      <c r="A59" s="299" t="s">
        <v>203</v>
      </c>
      <c r="B59" s="288" t="s">
        <v>584</v>
      </c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9">
        <v>2450</v>
      </c>
      <c r="AA59" s="287"/>
      <c r="AB59" s="287"/>
      <c r="AC59" s="289">
        <v>2450</v>
      </c>
      <c r="AD59" s="287"/>
      <c r="AE59" s="289">
        <v>2450</v>
      </c>
      <c r="AF59" s="287"/>
      <c r="AG59" s="287"/>
      <c r="AH59" s="287"/>
      <c r="AI59" s="289">
        <f t="shared" si="41"/>
        <v>7350</v>
      </c>
      <c r="AK59" s="289">
        <f t="shared" si="45"/>
        <v>0</v>
      </c>
      <c r="AL59" s="289">
        <f t="shared" si="46"/>
        <v>2450</v>
      </c>
      <c r="AM59" s="289">
        <f t="shared" si="47"/>
        <v>7350</v>
      </c>
    </row>
    <row r="60" spans="1:39">
      <c r="A60" s="282" t="s">
        <v>178</v>
      </c>
      <c r="B60" s="288" t="s">
        <v>585</v>
      </c>
      <c r="C60" s="289">
        <v>22.35</v>
      </c>
      <c r="D60" s="289">
        <v>530</v>
      </c>
      <c r="E60" s="287"/>
      <c r="F60" s="289">
        <v>35</v>
      </c>
      <c r="G60" s="287"/>
      <c r="H60" s="289">
        <v>-530</v>
      </c>
      <c r="I60" s="289">
        <v>1585.04</v>
      </c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9">
        <v>43.37</v>
      </c>
      <c r="AD60" s="287"/>
      <c r="AE60" s="287"/>
      <c r="AF60" s="289">
        <v>46.2</v>
      </c>
      <c r="AG60" s="287"/>
      <c r="AH60" s="287"/>
      <c r="AI60" s="289">
        <f t="shared" si="41"/>
        <v>1731.9599999999998</v>
      </c>
      <c r="AK60" s="289">
        <f t="shared" si="45"/>
        <v>1642.3899999999999</v>
      </c>
      <c r="AL60" s="289">
        <f t="shared" si="46"/>
        <v>0</v>
      </c>
      <c r="AM60" s="289">
        <f t="shared" si="47"/>
        <v>89.57</v>
      </c>
    </row>
    <row r="61" spans="1:39">
      <c r="A61" s="282" t="s">
        <v>189</v>
      </c>
      <c r="B61" s="288" t="s">
        <v>586</v>
      </c>
      <c r="C61" s="289">
        <v>3</v>
      </c>
      <c r="D61" s="289">
        <v>90.22</v>
      </c>
      <c r="E61" s="289">
        <v>6</v>
      </c>
      <c r="F61" s="289">
        <v>6</v>
      </c>
      <c r="G61" s="289">
        <v>243.77</v>
      </c>
      <c r="H61" s="289">
        <v>572.83000000000004</v>
      </c>
      <c r="I61" s="289">
        <v>125.5</v>
      </c>
      <c r="J61" s="289">
        <v>-1037.32</v>
      </c>
      <c r="K61" s="287"/>
      <c r="L61" s="287"/>
      <c r="M61" s="287"/>
      <c r="N61" s="289">
        <v>-10</v>
      </c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94">
        <f t="shared" si="41"/>
        <v>2.2737367544323206E-13</v>
      </c>
      <c r="AK61" s="294">
        <f t="shared" si="45"/>
        <v>2.2737367544323206E-13</v>
      </c>
      <c r="AL61" s="294">
        <f t="shared" si="46"/>
        <v>0</v>
      </c>
      <c r="AM61" s="294">
        <f t="shared" si="47"/>
        <v>0</v>
      </c>
    </row>
    <row r="62" spans="1:39">
      <c r="A62" s="282" t="s">
        <v>156</v>
      </c>
      <c r="B62" s="288" t="s">
        <v>587</v>
      </c>
      <c r="C62" s="289">
        <v>505.77</v>
      </c>
      <c r="D62" s="289">
        <v>989.01</v>
      </c>
      <c r="E62" s="289">
        <v>2258.33</v>
      </c>
      <c r="F62" s="289">
        <v>806.03</v>
      </c>
      <c r="G62" s="289">
        <v>163.03</v>
      </c>
      <c r="H62" s="294">
        <v>0</v>
      </c>
      <c r="I62" s="289">
        <v>68.8</v>
      </c>
      <c r="J62" s="289">
        <v>5</v>
      </c>
      <c r="K62" s="289">
        <v>187.92</v>
      </c>
      <c r="L62" s="289">
        <v>79.86</v>
      </c>
      <c r="M62" s="289">
        <v>19.690000000000001</v>
      </c>
      <c r="N62" s="289">
        <v>453.48</v>
      </c>
      <c r="O62" s="289">
        <v>266.63</v>
      </c>
      <c r="P62" s="289">
        <v>116.64</v>
      </c>
      <c r="Q62" s="287"/>
      <c r="R62" s="287"/>
      <c r="S62" s="287"/>
      <c r="T62" s="289">
        <v>128.02000000000001</v>
      </c>
      <c r="U62" s="287"/>
      <c r="V62" s="287"/>
      <c r="W62" s="287"/>
      <c r="X62" s="287"/>
      <c r="Y62" s="287"/>
      <c r="Z62" s="289">
        <v>179.99</v>
      </c>
      <c r="AA62" s="289">
        <v>317.98</v>
      </c>
      <c r="AB62" s="289">
        <v>141.03</v>
      </c>
      <c r="AC62" s="289">
        <v>171.68</v>
      </c>
      <c r="AD62" s="287"/>
      <c r="AE62" s="287"/>
      <c r="AF62" s="287"/>
      <c r="AG62" s="289">
        <v>94.98</v>
      </c>
      <c r="AH62" s="287"/>
      <c r="AI62" s="289">
        <f t="shared" si="41"/>
        <v>6953.8699999999981</v>
      </c>
      <c r="AK62" s="289">
        <f t="shared" si="45"/>
        <v>5536.9199999999983</v>
      </c>
      <c r="AL62" s="289">
        <f t="shared" si="46"/>
        <v>691.28</v>
      </c>
      <c r="AM62" s="289">
        <f t="shared" si="47"/>
        <v>905.66000000000008</v>
      </c>
    </row>
    <row r="63" spans="1:39">
      <c r="A63" s="282" t="s">
        <v>327</v>
      </c>
      <c r="B63" s="288" t="s">
        <v>588</v>
      </c>
      <c r="C63" s="287"/>
      <c r="D63" s="287"/>
      <c r="E63" s="289">
        <v>500</v>
      </c>
      <c r="F63" s="289">
        <v>1000</v>
      </c>
      <c r="G63" s="289">
        <v>1250</v>
      </c>
      <c r="H63" s="289">
        <v>1000</v>
      </c>
      <c r="I63" s="289">
        <v>1000</v>
      </c>
      <c r="J63" s="289">
        <v>1250</v>
      </c>
      <c r="K63" s="289">
        <v>1000</v>
      </c>
      <c r="L63" s="289">
        <v>1000</v>
      </c>
      <c r="M63" s="289">
        <v>1250</v>
      </c>
      <c r="N63" s="289">
        <v>3750</v>
      </c>
      <c r="O63" s="289">
        <v>1250</v>
      </c>
      <c r="P63" s="289">
        <v>1000</v>
      </c>
      <c r="Q63" s="289">
        <v>1000</v>
      </c>
      <c r="R63" s="289">
        <v>1000</v>
      </c>
      <c r="S63" s="289">
        <v>1250</v>
      </c>
      <c r="T63" s="289">
        <v>1000</v>
      </c>
      <c r="U63" s="289">
        <v>1000</v>
      </c>
      <c r="V63" s="289">
        <v>1250</v>
      </c>
      <c r="W63" s="289">
        <v>1000</v>
      </c>
      <c r="X63" s="289">
        <v>1250</v>
      </c>
      <c r="Y63" s="289">
        <v>1000</v>
      </c>
      <c r="Z63" s="289">
        <v>750</v>
      </c>
      <c r="AA63" s="289">
        <v>250</v>
      </c>
      <c r="AB63" s="287"/>
      <c r="AC63" s="287"/>
      <c r="AD63" s="287"/>
      <c r="AE63" s="287"/>
      <c r="AF63" s="287"/>
      <c r="AG63" s="287"/>
      <c r="AH63" s="287"/>
      <c r="AI63" s="289">
        <f t="shared" si="41"/>
        <v>26000</v>
      </c>
      <c r="AK63" s="289">
        <f t="shared" si="45"/>
        <v>13000</v>
      </c>
      <c r="AL63" s="289">
        <f t="shared" si="46"/>
        <v>12750</v>
      </c>
      <c r="AM63" s="289">
        <f t="shared" si="47"/>
        <v>5500</v>
      </c>
    </row>
    <row r="64" spans="1:39">
      <c r="A64" s="282" t="s">
        <v>128</v>
      </c>
      <c r="B64" s="288" t="s">
        <v>589</v>
      </c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9">
        <v>29</v>
      </c>
      <c r="Q64" s="289">
        <v>7</v>
      </c>
      <c r="R64" s="289">
        <v>141</v>
      </c>
      <c r="S64" s="287"/>
      <c r="T64" s="289">
        <v>134</v>
      </c>
      <c r="U64" s="287"/>
      <c r="V64" s="289">
        <v>85</v>
      </c>
      <c r="W64" s="287"/>
      <c r="X64" s="289">
        <v>92</v>
      </c>
      <c r="Y64" s="287"/>
      <c r="Z64" s="289">
        <v>279</v>
      </c>
      <c r="AA64" s="289">
        <v>50</v>
      </c>
      <c r="AB64" s="289">
        <v>78</v>
      </c>
      <c r="AC64" s="289">
        <v>85</v>
      </c>
      <c r="AD64" s="289">
        <v>169</v>
      </c>
      <c r="AE64" s="289">
        <v>99</v>
      </c>
      <c r="AF64" s="289">
        <v>113</v>
      </c>
      <c r="AG64" s="289">
        <v>128.74</v>
      </c>
      <c r="AH64" s="287"/>
      <c r="AI64" s="289">
        <f t="shared" si="41"/>
        <v>1489.74</v>
      </c>
      <c r="AK64" s="289">
        <f t="shared" si="45"/>
        <v>0</v>
      </c>
      <c r="AL64" s="289">
        <f t="shared" si="46"/>
        <v>767</v>
      </c>
      <c r="AM64" s="289">
        <f t="shared" si="47"/>
        <v>1178.74</v>
      </c>
    </row>
    <row r="65" spans="1:39">
      <c r="A65" s="282" t="s">
        <v>128</v>
      </c>
      <c r="B65" s="288" t="s">
        <v>590</v>
      </c>
      <c r="C65" s="289">
        <v>634.85</v>
      </c>
      <c r="D65" s="289">
        <v>728.74</v>
      </c>
      <c r="E65" s="289">
        <v>1339.03</v>
      </c>
      <c r="F65" s="289">
        <v>1079.79</v>
      </c>
      <c r="G65" s="289">
        <v>1177.56</v>
      </c>
      <c r="H65" s="289">
        <v>1181.1199999999999</v>
      </c>
      <c r="I65" s="289">
        <v>876.32</v>
      </c>
      <c r="J65" s="289">
        <v>333.28</v>
      </c>
      <c r="K65" s="289">
        <v>792.41</v>
      </c>
      <c r="L65" s="289">
        <v>741.54</v>
      </c>
      <c r="M65" s="289">
        <v>968.38</v>
      </c>
      <c r="N65" s="289">
        <v>619.69000000000005</v>
      </c>
      <c r="O65" s="289">
        <v>1117.31</v>
      </c>
      <c r="P65" s="289">
        <v>1213.97</v>
      </c>
      <c r="Q65" s="289">
        <v>1130.47</v>
      </c>
      <c r="R65" s="289">
        <v>1408.18</v>
      </c>
      <c r="S65" s="289">
        <v>1641.41</v>
      </c>
      <c r="T65" s="289">
        <v>1539.64</v>
      </c>
      <c r="U65" s="289">
        <v>1218.19</v>
      </c>
      <c r="V65" s="289">
        <v>1448.57</v>
      </c>
      <c r="W65" s="289">
        <v>975.23</v>
      </c>
      <c r="X65" s="289">
        <v>1408.72</v>
      </c>
      <c r="Y65" s="289">
        <v>864.48</v>
      </c>
      <c r="Z65" s="289">
        <v>565.74</v>
      </c>
      <c r="AA65" s="289">
        <v>1172.3900000000001</v>
      </c>
      <c r="AB65" s="289">
        <v>1171.25</v>
      </c>
      <c r="AC65" s="289">
        <v>1084.1099999999999</v>
      </c>
      <c r="AD65" s="289">
        <v>500.38</v>
      </c>
      <c r="AE65" s="289">
        <v>1195.08</v>
      </c>
      <c r="AF65" s="289">
        <v>1355.02</v>
      </c>
      <c r="AG65" s="289">
        <v>1352.68</v>
      </c>
      <c r="AH65" s="287"/>
      <c r="AI65" s="289">
        <f t="shared" si="41"/>
        <v>32835.53</v>
      </c>
      <c r="AK65" s="289">
        <f t="shared" si="45"/>
        <v>10472.709999999999</v>
      </c>
      <c r="AL65" s="289">
        <f t="shared" si="46"/>
        <v>14531.909999999998</v>
      </c>
      <c r="AM65" s="289">
        <f t="shared" si="47"/>
        <v>13093.65</v>
      </c>
    </row>
    <row r="66" spans="1:39">
      <c r="A66" s="282" t="s">
        <v>175</v>
      </c>
      <c r="B66" s="288" t="s">
        <v>591</v>
      </c>
      <c r="C66" s="289">
        <v>72.150000000000006</v>
      </c>
      <c r="D66" s="287"/>
      <c r="E66" s="287"/>
      <c r="F66" s="287"/>
      <c r="G66" s="287"/>
      <c r="H66" s="287"/>
      <c r="I66" s="287"/>
      <c r="J66" s="287"/>
      <c r="K66" s="289">
        <v>56</v>
      </c>
      <c r="L66" s="289">
        <v>9851.41</v>
      </c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9">
        <v>29068.77</v>
      </c>
      <c r="Y66" s="287"/>
      <c r="Z66" s="287"/>
      <c r="AA66" s="289">
        <v>5213.47</v>
      </c>
      <c r="AB66" s="289">
        <v>2598.65</v>
      </c>
      <c r="AC66" s="289">
        <v>2598.65</v>
      </c>
      <c r="AD66" s="289">
        <v>2598.65</v>
      </c>
      <c r="AE66" s="289">
        <v>2598.65</v>
      </c>
      <c r="AF66" s="289">
        <v>2598.65</v>
      </c>
      <c r="AG66" s="287"/>
      <c r="AH66" s="287"/>
      <c r="AI66" s="289">
        <f t="shared" si="41"/>
        <v>57255.05000000001</v>
      </c>
      <c r="AK66" s="289">
        <f t="shared" si="45"/>
        <v>9979.56</v>
      </c>
      <c r="AL66" s="289">
        <f t="shared" si="46"/>
        <v>29068.77</v>
      </c>
      <c r="AM66" s="289">
        <f t="shared" si="47"/>
        <v>47275.490000000005</v>
      </c>
    </row>
    <row r="67" spans="1:39">
      <c r="A67" s="282" t="s">
        <v>181</v>
      </c>
      <c r="B67" s="288" t="s">
        <v>592</v>
      </c>
      <c r="C67" s="287"/>
      <c r="D67" s="287"/>
      <c r="E67" s="287"/>
      <c r="F67" s="287"/>
      <c r="G67" s="287"/>
      <c r="H67" s="289">
        <v>530</v>
      </c>
      <c r="I67" s="289">
        <v>3507</v>
      </c>
      <c r="J67" s="289">
        <v>1100</v>
      </c>
      <c r="K67" s="287"/>
      <c r="L67" s="287"/>
      <c r="M67" s="287"/>
      <c r="N67" s="289">
        <v>4750</v>
      </c>
      <c r="O67" s="289">
        <v>314</v>
      </c>
      <c r="P67" s="287"/>
      <c r="Q67" s="289">
        <v>100</v>
      </c>
      <c r="R67" s="289">
        <v>1275</v>
      </c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9">
        <v>1275</v>
      </c>
      <c r="AE67" s="287"/>
      <c r="AF67" s="287"/>
      <c r="AG67" s="287"/>
      <c r="AH67" s="287"/>
      <c r="AI67" s="289">
        <f t="shared" si="41"/>
        <v>12851</v>
      </c>
      <c r="AK67" s="289">
        <f t="shared" si="45"/>
        <v>9887</v>
      </c>
      <c r="AL67" s="289">
        <f t="shared" si="46"/>
        <v>1689</v>
      </c>
      <c r="AM67" s="289">
        <f t="shared" si="47"/>
        <v>1275</v>
      </c>
    </row>
    <row r="68" spans="1:39">
      <c r="A68" s="298" t="s">
        <v>618</v>
      </c>
      <c r="B68" s="288" t="s">
        <v>593</v>
      </c>
      <c r="C68" s="289">
        <v>15000</v>
      </c>
      <c r="D68" s="289">
        <v>20000</v>
      </c>
      <c r="E68" s="289">
        <v>20000</v>
      </c>
      <c r="F68" s="289">
        <v>20000</v>
      </c>
      <c r="G68" s="289">
        <v>22000</v>
      </c>
      <c r="H68" s="289">
        <v>16000</v>
      </c>
      <c r="I68" s="289">
        <v>27000</v>
      </c>
      <c r="J68" s="289">
        <v>21500</v>
      </c>
      <c r="K68" s="289">
        <v>16000</v>
      </c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9">
        <v>12500</v>
      </c>
      <c r="Y68" s="289">
        <v>12500</v>
      </c>
      <c r="Z68" s="287"/>
      <c r="AA68" s="289">
        <v>50000</v>
      </c>
      <c r="AB68" s="289">
        <v>25000</v>
      </c>
      <c r="AC68" s="289">
        <v>25000</v>
      </c>
      <c r="AD68" s="289">
        <v>25000</v>
      </c>
      <c r="AE68" s="289">
        <v>25000</v>
      </c>
      <c r="AF68" s="289">
        <v>25000</v>
      </c>
      <c r="AG68" s="287"/>
      <c r="AH68" s="287"/>
      <c r="AI68" s="289">
        <f t="shared" si="41"/>
        <v>377500</v>
      </c>
      <c r="AK68" s="289">
        <f t="shared" si="45"/>
        <v>177500</v>
      </c>
      <c r="AL68" s="289">
        <f t="shared" si="46"/>
        <v>25000</v>
      </c>
      <c r="AM68" s="289">
        <f t="shared" si="47"/>
        <v>200000</v>
      </c>
    </row>
    <row r="69" spans="1:39">
      <c r="A69" s="297" t="s">
        <v>145</v>
      </c>
      <c r="B69" s="288" t="s">
        <v>594</v>
      </c>
      <c r="C69" s="289">
        <v>19486.47</v>
      </c>
      <c r="D69" s="289">
        <v>3623.83</v>
      </c>
      <c r="E69" s="289">
        <v>3481.07</v>
      </c>
      <c r="F69" s="289">
        <v>10446.129999999999</v>
      </c>
      <c r="G69" s="289">
        <v>1082.5899999999999</v>
      </c>
      <c r="H69" s="289">
        <v>1762.69</v>
      </c>
      <c r="I69" s="289">
        <v>2027.98</v>
      </c>
      <c r="J69" s="289">
        <v>13714.52</v>
      </c>
      <c r="K69" s="289">
        <v>11265.38</v>
      </c>
      <c r="L69" s="289">
        <v>3054.55</v>
      </c>
      <c r="M69" s="289">
        <v>2551.4899999999998</v>
      </c>
      <c r="N69" s="289">
        <v>-21544.799999999999</v>
      </c>
      <c r="O69" s="289">
        <v>775.62</v>
      </c>
      <c r="P69" s="289">
        <v>451.85</v>
      </c>
      <c r="Q69" s="289">
        <v>2030.83</v>
      </c>
      <c r="R69" s="289">
        <v>1407.17</v>
      </c>
      <c r="S69" s="289">
        <v>4853.67</v>
      </c>
      <c r="T69" s="289">
        <v>1442.77</v>
      </c>
      <c r="U69" s="289">
        <v>6391.78</v>
      </c>
      <c r="V69" s="289">
        <v>2655.12</v>
      </c>
      <c r="W69" s="289">
        <v>49.73</v>
      </c>
      <c r="X69" s="287"/>
      <c r="Y69" s="289">
        <v>7655.82</v>
      </c>
      <c r="Z69" s="289">
        <v>9340.77</v>
      </c>
      <c r="AA69" s="289">
        <v>5168.43</v>
      </c>
      <c r="AB69" s="289">
        <v>198.11</v>
      </c>
      <c r="AC69" s="289">
        <v>3160.62</v>
      </c>
      <c r="AD69" s="289">
        <v>1220.99</v>
      </c>
      <c r="AE69" s="289">
        <v>625</v>
      </c>
      <c r="AF69" s="289">
        <v>141.93</v>
      </c>
      <c r="AG69" s="289">
        <v>1926.24</v>
      </c>
      <c r="AH69" s="287"/>
      <c r="AI69" s="289">
        <f t="shared" si="41"/>
        <v>100448.35000000002</v>
      </c>
      <c r="AK69" s="289">
        <f t="shared" si="45"/>
        <v>50951.900000000009</v>
      </c>
      <c r="AL69" s="289">
        <f t="shared" si="46"/>
        <v>37055.129999999997</v>
      </c>
      <c r="AM69" s="289">
        <f t="shared" si="47"/>
        <v>32142.760000000006</v>
      </c>
    </row>
    <row r="70" spans="1:39">
      <c r="A70" s="282" t="s">
        <v>70</v>
      </c>
      <c r="B70" s="288" t="s">
        <v>595</v>
      </c>
      <c r="C70" s="287"/>
      <c r="D70" s="289">
        <v>200</v>
      </c>
      <c r="E70" s="289">
        <v>725</v>
      </c>
      <c r="F70" s="289">
        <v>1000</v>
      </c>
      <c r="G70" s="289">
        <v>750</v>
      </c>
      <c r="H70" s="289">
        <v>1000</v>
      </c>
      <c r="I70" s="289">
        <v>500</v>
      </c>
      <c r="J70" s="287"/>
      <c r="K70" s="289">
        <v>300</v>
      </c>
      <c r="L70" s="289">
        <v>600</v>
      </c>
      <c r="M70" s="287"/>
      <c r="N70" s="289">
        <v>180</v>
      </c>
      <c r="O70" s="287"/>
      <c r="P70" s="287"/>
      <c r="Q70" s="289">
        <v>300</v>
      </c>
      <c r="R70" s="289">
        <v>1500</v>
      </c>
      <c r="S70" s="289">
        <v>900</v>
      </c>
      <c r="T70" s="289">
        <v>1200</v>
      </c>
      <c r="U70" s="287"/>
      <c r="V70" s="287"/>
      <c r="W70" s="287"/>
      <c r="X70" s="289">
        <v>900</v>
      </c>
      <c r="Y70" s="289">
        <v>300</v>
      </c>
      <c r="Z70" s="287"/>
      <c r="AA70" s="287"/>
      <c r="AB70" s="287"/>
      <c r="AC70" s="289">
        <v>900</v>
      </c>
      <c r="AD70" s="289">
        <v>1500</v>
      </c>
      <c r="AE70" s="289">
        <v>1800</v>
      </c>
      <c r="AF70" s="289">
        <v>1800</v>
      </c>
      <c r="AG70" s="289">
        <v>300</v>
      </c>
      <c r="AH70" s="289">
        <v>300</v>
      </c>
      <c r="AI70" s="289">
        <f t="shared" si="41"/>
        <v>16955</v>
      </c>
      <c r="AK70" s="289">
        <f t="shared" si="45"/>
        <v>5255</v>
      </c>
      <c r="AL70" s="289">
        <f t="shared" si="46"/>
        <v>5100</v>
      </c>
      <c r="AM70" s="289">
        <f t="shared" si="47"/>
        <v>7500</v>
      </c>
    </row>
    <row r="71" spans="1:39">
      <c r="A71" s="297" t="s">
        <v>145</v>
      </c>
      <c r="B71" s="288" t="s">
        <v>596</v>
      </c>
      <c r="C71" s="289">
        <v>1623.98</v>
      </c>
      <c r="D71" s="289">
        <v>1575.43</v>
      </c>
      <c r="E71" s="289">
        <v>4996.34</v>
      </c>
      <c r="F71" s="287"/>
      <c r="G71" s="287"/>
      <c r="H71" s="294">
        <v>0</v>
      </c>
      <c r="I71" s="289">
        <v>729.54</v>
      </c>
      <c r="J71" s="287"/>
      <c r="K71" s="289">
        <v>631.79999999999995</v>
      </c>
      <c r="L71" s="287"/>
      <c r="M71" s="287"/>
      <c r="N71" s="289">
        <v>64.790000000000006</v>
      </c>
      <c r="O71" s="289">
        <v>1500</v>
      </c>
      <c r="P71" s="289">
        <v>14.35</v>
      </c>
      <c r="Q71" s="289">
        <v>474.6</v>
      </c>
      <c r="R71" s="287"/>
      <c r="S71" s="287"/>
      <c r="T71" s="289">
        <v>129.59</v>
      </c>
      <c r="U71" s="287"/>
      <c r="V71" s="289">
        <v>83.59</v>
      </c>
      <c r="W71" s="289">
        <v>259.76</v>
      </c>
      <c r="X71" s="287"/>
      <c r="Y71" s="287"/>
      <c r="Z71" s="289">
        <v>-1500</v>
      </c>
      <c r="AA71" s="287"/>
      <c r="AB71" s="287"/>
      <c r="AC71" s="287"/>
      <c r="AD71" s="287"/>
      <c r="AE71" s="287"/>
      <c r="AF71" s="287"/>
      <c r="AG71" s="287"/>
      <c r="AH71" s="287"/>
      <c r="AI71" s="289">
        <f t="shared" si="41"/>
        <v>10583.770000000002</v>
      </c>
      <c r="AK71" s="289">
        <f t="shared" si="45"/>
        <v>9621.880000000001</v>
      </c>
      <c r="AL71" s="289">
        <f t="shared" si="46"/>
        <v>961.89000000000033</v>
      </c>
      <c r="AM71" s="289">
        <f t="shared" si="47"/>
        <v>-1156.6500000000001</v>
      </c>
    </row>
    <row r="72" spans="1:39">
      <c r="A72" s="282" t="s">
        <v>70</v>
      </c>
      <c r="B72" s="288" t="s">
        <v>597</v>
      </c>
      <c r="C72" s="289">
        <v>2163.59</v>
      </c>
      <c r="D72" s="289">
        <v>5926.46</v>
      </c>
      <c r="E72" s="289">
        <v>5367.4599999999991</v>
      </c>
      <c r="F72" s="289">
        <v>3256.1800000000003</v>
      </c>
      <c r="G72" s="289">
        <v>5420.99</v>
      </c>
      <c r="H72" s="289">
        <v>3111.6000000000004</v>
      </c>
      <c r="I72" s="289">
        <v>2493.91</v>
      </c>
      <c r="J72" s="289">
        <v>704.44</v>
      </c>
      <c r="K72" s="289">
        <v>883.68000000000006</v>
      </c>
      <c r="L72" s="289">
        <v>225.73</v>
      </c>
      <c r="M72" s="289">
        <v>3411.19</v>
      </c>
      <c r="N72" s="289">
        <v>1674.63</v>
      </c>
      <c r="O72" s="289">
        <v>5169.6499999999996</v>
      </c>
      <c r="P72" s="289">
        <v>3687.23</v>
      </c>
      <c r="Q72" s="289">
        <v>1910.33</v>
      </c>
      <c r="R72" s="289">
        <v>2957.34</v>
      </c>
      <c r="S72" s="289">
        <v>1995.01</v>
      </c>
      <c r="T72" s="289">
        <v>538.73</v>
      </c>
      <c r="U72" s="289">
        <v>664.91</v>
      </c>
      <c r="V72" s="289">
        <v>1624.84</v>
      </c>
      <c r="W72" s="289">
        <v>320.63</v>
      </c>
      <c r="X72" s="289">
        <v>499.61</v>
      </c>
      <c r="Y72" s="289">
        <v>5463.09</v>
      </c>
      <c r="Z72" s="289">
        <v>122.12</v>
      </c>
      <c r="AA72" s="289">
        <v>1553.14</v>
      </c>
      <c r="AB72" s="287">
        <v>0</v>
      </c>
      <c r="AC72" s="289">
        <v>2757.5</v>
      </c>
      <c r="AD72" s="289">
        <v>2637.34</v>
      </c>
      <c r="AE72" s="289">
        <v>1453.74</v>
      </c>
      <c r="AF72" s="289">
        <v>812.25</v>
      </c>
      <c r="AG72" s="289">
        <v>267.63</v>
      </c>
      <c r="AH72" s="287">
        <v>0</v>
      </c>
      <c r="AI72" s="289">
        <v>69074.950000000026</v>
      </c>
      <c r="AK72" s="289">
        <v>34639.86</v>
      </c>
      <c r="AL72" s="289">
        <v>24953.49</v>
      </c>
      <c r="AM72" s="289">
        <v>17511.890000000003</v>
      </c>
    </row>
    <row r="73" spans="1:39">
      <c r="A73" s="297" t="s">
        <v>159</v>
      </c>
      <c r="B73" s="288" t="s">
        <v>598</v>
      </c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9">
        <v>246.42</v>
      </c>
      <c r="P73" s="289">
        <v>227.57</v>
      </c>
      <c r="Q73" s="289">
        <v>433.05</v>
      </c>
      <c r="R73" s="289">
        <v>396.37</v>
      </c>
      <c r="S73" s="289">
        <v>320.79000000000002</v>
      </c>
      <c r="T73" s="289">
        <v>402.11</v>
      </c>
      <c r="U73" s="289">
        <v>371.75</v>
      </c>
      <c r="V73" s="289">
        <v>263.39</v>
      </c>
      <c r="W73" s="289">
        <v>50.4</v>
      </c>
      <c r="X73" s="289">
        <v>56.9</v>
      </c>
      <c r="Y73" s="289">
        <v>280.19</v>
      </c>
      <c r="Z73" s="289">
        <v>281.69</v>
      </c>
      <c r="AA73" s="289">
        <v>1266.7</v>
      </c>
      <c r="AB73" s="289">
        <v>1105.9000000000001</v>
      </c>
      <c r="AC73" s="289">
        <v>1828.42</v>
      </c>
      <c r="AD73" s="289">
        <v>197.2</v>
      </c>
      <c r="AE73" s="289">
        <v>197.46</v>
      </c>
      <c r="AF73" s="289">
        <v>149.97999999999999</v>
      </c>
      <c r="AG73" s="289">
        <v>130</v>
      </c>
      <c r="AH73" s="289">
        <v>67.2</v>
      </c>
      <c r="AI73" s="289">
        <f t="shared" si="41"/>
        <v>8273.49</v>
      </c>
      <c r="AK73" s="289">
        <f t="shared" ref="AK73:AK77" si="48">SUM(C73:N73)</f>
        <v>0</v>
      </c>
      <c r="AL73" s="289">
        <f t="shared" ref="AL73:AL77" si="49">SUM(O73:Z73)</f>
        <v>3330.63</v>
      </c>
      <c r="AM73" s="289">
        <f t="shared" ref="AM73:AM77" si="50">SUM(V73:AG73)</f>
        <v>5808.23</v>
      </c>
    </row>
    <row r="74" spans="1:39">
      <c r="A74" s="297" t="s">
        <v>203</v>
      </c>
      <c r="B74" s="288" t="s">
        <v>599</v>
      </c>
      <c r="C74" s="289">
        <v>250</v>
      </c>
      <c r="D74" s="287"/>
      <c r="E74" s="287"/>
      <c r="F74" s="289">
        <v>1200.43</v>
      </c>
      <c r="G74" s="289">
        <v>35</v>
      </c>
      <c r="H74" s="289">
        <v>-450</v>
      </c>
      <c r="I74" s="287"/>
      <c r="J74" s="287"/>
      <c r="K74" s="287"/>
      <c r="L74" s="287"/>
      <c r="M74" s="287"/>
      <c r="N74" s="289">
        <v>50</v>
      </c>
      <c r="O74" s="287"/>
      <c r="P74" s="289">
        <v>78.48</v>
      </c>
      <c r="Q74" s="287"/>
      <c r="R74" s="287"/>
      <c r="S74" s="289">
        <v>35</v>
      </c>
      <c r="T74" s="287"/>
      <c r="U74" s="287"/>
      <c r="V74" s="287"/>
      <c r="W74" s="287"/>
      <c r="X74" s="287"/>
      <c r="Y74" s="287"/>
      <c r="Z74" s="287"/>
      <c r="AA74" s="289">
        <v>60</v>
      </c>
      <c r="AB74" s="287"/>
      <c r="AC74" s="287"/>
      <c r="AD74" s="287"/>
      <c r="AE74" s="287"/>
      <c r="AF74" s="287"/>
      <c r="AG74" s="289">
        <v>1250</v>
      </c>
      <c r="AH74" s="287"/>
      <c r="AI74" s="289">
        <f t="shared" si="41"/>
        <v>2508.91</v>
      </c>
      <c r="AK74" s="289">
        <f t="shared" si="48"/>
        <v>1085.43</v>
      </c>
      <c r="AL74" s="289">
        <f t="shared" si="49"/>
        <v>113.48</v>
      </c>
      <c r="AM74" s="289">
        <f t="shared" si="50"/>
        <v>1310</v>
      </c>
    </row>
    <row r="75" spans="1:39">
      <c r="A75" s="282" t="s">
        <v>151</v>
      </c>
      <c r="B75" s="288" t="s">
        <v>600</v>
      </c>
      <c r="C75" s="289">
        <v>4314.3</v>
      </c>
      <c r="D75" s="289">
        <v>3741.2</v>
      </c>
      <c r="E75" s="289">
        <v>3670.48</v>
      </c>
      <c r="F75" s="289">
        <v>2760.34</v>
      </c>
      <c r="G75" s="289">
        <v>2845.84</v>
      </c>
      <c r="H75" s="289">
        <v>3522.63</v>
      </c>
      <c r="I75" s="289">
        <v>4394.37</v>
      </c>
      <c r="J75" s="289">
        <v>4863.17</v>
      </c>
      <c r="K75" s="289">
        <v>3858.86</v>
      </c>
      <c r="L75" s="289">
        <v>5424.27</v>
      </c>
      <c r="M75" s="289">
        <v>753.07</v>
      </c>
      <c r="N75" s="289">
        <v>2914.08</v>
      </c>
      <c r="O75" s="289">
        <v>2861.37</v>
      </c>
      <c r="P75" s="289">
        <v>3242.29</v>
      </c>
      <c r="Q75" s="289">
        <v>4523.07</v>
      </c>
      <c r="R75" s="289">
        <v>5310.37</v>
      </c>
      <c r="S75" s="289">
        <v>1766.49</v>
      </c>
      <c r="T75" s="289">
        <v>4489.01</v>
      </c>
      <c r="U75" s="289">
        <v>3623.04</v>
      </c>
      <c r="V75" s="289">
        <v>3777.51</v>
      </c>
      <c r="W75" s="289">
        <v>3921.38</v>
      </c>
      <c r="X75" s="289">
        <v>3100.76</v>
      </c>
      <c r="Y75" s="289">
        <v>2853.36</v>
      </c>
      <c r="Z75" s="289">
        <v>3451.82</v>
      </c>
      <c r="AA75" s="289">
        <v>2753.84</v>
      </c>
      <c r="AB75" s="289">
        <v>2640.49</v>
      </c>
      <c r="AC75" s="289">
        <v>3086.71</v>
      </c>
      <c r="AD75" s="289">
        <v>2391.7399999999998</v>
      </c>
      <c r="AE75" s="289">
        <v>2641.14</v>
      </c>
      <c r="AF75" s="289">
        <v>2613.6999999999998</v>
      </c>
      <c r="AG75" s="289">
        <v>5292.2</v>
      </c>
      <c r="AH75" s="289">
        <v>86.38</v>
      </c>
      <c r="AI75" s="289">
        <f t="shared" si="41"/>
        <v>107489.28000000003</v>
      </c>
      <c r="AK75" s="289">
        <f t="shared" si="48"/>
        <v>43062.610000000008</v>
      </c>
      <c r="AL75" s="289">
        <f t="shared" si="49"/>
        <v>42920.47</v>
      </c>
      <c r="AM75" s="289">
        <f t="shared" si="50"/>
        <v>38524.649999999994</v>
      </c>
    </row>
    <row r="76" spans="1:39">
      <c r="A76" s="297" t="s">
        <v>203</v>
      </c>
      <c r="B76" s="288" t="s">
        <v>601</v>
      </c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9">
        <v>274.2</v>
      </c>
      <c r="AH76" s="287"/>
      <c r="AI76" s="289">
        <f t="shared" si="41"/>
        <v>274.2</v>
      </c>
      <c r="AK76" s="289">
        <f t="shared" si="48"/>
        <v>0</v>
      </c>
      <c r="AL76" s="289">
        <f t="shared" si="49"/>
        <v>0</v>
      </c>
      <c r="AM76" s="289">
        <f t="shared" si="50"/>
        <v>274.2</v>
      </c>
    </row>
    <row r="77" spans="1:39">
      <c r="A77" s="300" t="s">
        <v>308</v>
      </c>
      <c r="B77" s="288" t="s">
        <v>602</v>
      </c>
      <c r="C77" s="289">
        <v>1200</v>
      </c>
      <c r="D77" s="289">
        <v>150</v>
      </c>
      <c r="E77" s="289">
        <v>-1350</v>
      </c>
      <c r="F77" s="289">
        <v>1350</v>
      </c>
      <c r="G77" s="289">
        <v>-1350</v>
      </c>
      <c r="H77" s="294">
        <v>0</v>
      </c>
      <c r="I77" s="289">
        <v>1350</v>
      </c>
      <c r="J77" s="289">
        <v>-1350</v>
      </c>
      <c r="K77" s="289">
        <v>1350</v>
      </c>
      <c r="L77" s="294">
        <v>0</v>
      </c>
      <c r="M77" s="289">
        <v>-1350</v>
      </c>
      <c r="N77" s="289">
        <v>1350</v>
      </c>
      <c r="O77" s="289">
        <v>-1350</v>
      </c>
      <c r="P77" s="294">
        <v>0</v>
      </c>
      <c r="Q77" s="294">
        <v>0</v>
      </c>
      <c r="R77" s="289">
        <v>1350</v>
      </c>
      <c r="S77" s="289">
        <v>-1350</v>
      </c>
      <c r="T77" s="289">
        <v>1350</v>
      </c>
      <c r="U77" s="294">
        <v>0</v>
      </c>
      <c r="V77" s="289">
        <v>-1350</v>
      </c>
      <c r="W77" s="289">
        <v>1350</v>
      </c>
      <c r="X77" s="289">
        <v>-1350</v>
      </c>
      <c r="Y77" s="294">
        <v>0</v>
      </c>
      <c r="Z77" s="289">
        <v>1350</v>
      </c>
      <c r="AA77" s="289">
        <v>-1350</v>
      </c>
      <c r="AB77" s="294">
        <v>0</v>
      </c>
      <c r="AC77" s="289">
        <v>1350</v>
      </c>
      <c r="AD77" s="289">
        <v>175</v>
      </c>
      <c r="AE77" s="289">
        <v>-1525</v>
      </c>
      <c r="AF77" s="289">
        <v>1350</v>
      </c>
      <c r="AG77" s="289">
        <v>-1350</v>
      </c>
      <c r="AH77" s="289">
        <v>1350</v>
      </c>
      <c r="AI77" s="289">
        <f t="shared" si="41"/>
        <v>1350</v>
      </c>
      <c r="AK77" s="289">
        <f t="shared" si="48"/>
        <v>1350</v>
      </c>
      <c r="AL77" s="289">
        <f t="shared" si="49"/>
        <v>0</v>
      </c>
      <c r="AM77" s="289">
        <f t="shared" si="50"/>
        <v>-1350</v>
      </c>
    </row>
    <row r="78" spans="1:39">
      <c r="B78" s="290" t="s">
        <v>603</v>
      </c>
      <c r="C78" s="291">
        <f t="shared" ref="C78:AH78" si="51">C41+C42+C43+C44+C45+C46+C47+C48+C49+C50+C51+C52+C53+C54+C55+C56+C57+C58+C59+C60+C61+C62+C63+C64+C65+C66+C67+C68+C69+C70+C71+C72+C73+C74+C75+C76+C77</f>
        <v>51946.890000000014</v>
      </c>
      <c r="D78" s="291">
        <f t="shared" si="51"/>
        <v>54844.350000000006</v>
      </c>
      <c r="E78" s="291">
        <f t="shared" si="51"/>
        <v>51104.28</v>
      </c>
      <c r="F78" s="291">
        <f t="shared" si="51"/>
        <v>70637.349999999991</v>
      </c>
      <c r="G78" s="291">
        <f t="shared" si="51"/>
        <v>39700.199999999997</v>
      </c>
      <c r="H78" s="291">
        <f t="shared" si="51"/>
        <v>36746.699999999997</v>
      </c>
      <c r="I78" s="291">
        <f t="shared" si="51"/>
        <v>59612.700000000004</v>
      </c>
      <c r="J78" s="291">
        <f t="shared" si="51"/>
        <v>55568.69</v>
      </c>
      <c r="K78" s="291">
        <f t="shared" si="51"/>
        <v>50665.279999999999</v>
      </c>
      <c r="L78" s="291">
        <f t="shared" si="51"/>
        <v>31587.07</v>
      </c>
      <c r="M78" s="291">
        <f t="shared" si="51"/>
        <v>15906.529999999999</v>
      </c>
      <c r="N78" s="291">
        <f t="shared" si="51"/>
        <v>79568.009999999995</v>
      </c>
      <c r="O78" s="291">
        <f t="shared" si="51"/>
        <v>25403.359999999997</v>
      </c>
      <c r="P78" s="291">
        <f t="shared" si="51"/>
        <v>17496.05</v>
      </c>
      <c r="Q78" s="291">
        <f t="shared" si="51"/>
        <v>32146.74</v>
      </c>
      <c r="R78" s="291">
        <f t="shared" si="51"/>
        <v>31392.23</v>
      </c>
      <c r="S78" s="291">
        <f t="shared" si="51"/>
        <v>25148.5</v>
      </c>
      <c r="T78" s="291">
        <f t="shared" si="51"/>
        <v>26374.920000000006</v>
      </c>
      <c r="U78" s="291">
        <f t="shared" si="51"/>
        <v>27395.47</v>
      </c>
      <c r="V78" s="291">
        <f t="shared" si="51"/>
        <v>24157.559999999998</v>
      </c>
      <c r="W78" s="291">
        <f t="shared" si="51"/>
        <v>20652.509999999998</v>
      </c>
      <c r="X78" s="291">
        <f t="shared" si="51"/>
        <v>61923.73000000001</v>
      </c>
      <c r="Y78" s="291">
        <f t="shared" si="51"/>
        <v>38781.880000000005</v>
      </c>
      <c r="Z78" s="291">
        <f t="shared" si="51"/>
        <v>135995.78</v>
      </c>
      <c r="AA78" s="291">
        <f t="shared" si="51"/>
        <v>76994.22</v>
      </c>
      <c r="AB78" s="291">
        <f t="shared" si="51"/>
        <v>51175.130000000005</v>
      </c>
      <c r="AC78" s="291">
        <f t="shared" si="51"/>
        <v>57053.5</v>
      </c>
      <c r="AD78" s="291">
        <f t="shared" si="51"/>
        <v>41091.499999999993</v>
      </c>
      <c r="AE78" s="291">
        <f t="shared" si="51"/>
        <v>43038.09</v>
      </c>
      <c r="AF78" s="291">
        <f t="shared" si="51"/>
        <v>48098.67</v>
      </c>
      <c r="AG78" s="291">
        <f t="shared" si="51"/>
        <v>18492.05</v>
      </c>
      <c r="AH78" s="291">
        <f t="shared" si="51"/>
        <v>7735.5</v>
      </c>
      <c r="AI78" s="292">
        <f t="shared" si="41"/>
        <v>1408435.44</v>
      </c>
      <c r="AK78" s="292">
        <f>AK41+AK42+AK43+AK44+AK45+AK46+AK47+AK48+AK49+AK50+AK51+AK52+AK53+AK54+AK55+AK56+AK57+AK58+AK59+AK60+AK61+AK62+AK63+AK64+AK65+AK66+AK67+AK68+AK69+AK70+AK71+AK72+AK73+AK74+AK75+AK76+AK77</f>
        <v>597888.05000000016</v>
      </c>
      <c r="AL78" s="292">
        <f>AL41+AL42+AL43+AL44+AL45+AL46+AL47+AL48+AL49+AL50+AL51+AL52+AL53+AL54+AL55+AL56+AL57+AL58+AL59+AL60+AL61+AL62+AL63+AL64+AL65+AL66+AL67+AL68+AL69+AL70+AL71+AL72+AL73+AL74+AL75+AL76+AL77</f>
        <v>466868.7300000001</v>
      </c>
      <c r="AM78" s="292">
        <f>AM41+AM42+AM43+AM44+AM45+AM46+AM47+AM48+AM49+AM50+AM51+AM52+AM53+AM54+AM55+AM56+AM57+AM58+AM59+AM60+AM61+AM62+AM63+AM64+AM65+AM66+AM67+AM68+AM69+AM70+AM71+AM72+AM73+AM74+AM75+AM76+AM77</f>
        <v>617454.61999999988</v>
      </c>
    </row>
    <row r="79" spans="1:39">
      <c r="B79" s="290" t="s">
        <v>604</v>
      </c>
      <c r="C79" s="291">
        <f t="shared" ref="C79:AH79" si="52">C40-C78</f>
        <v>-18249.470000000016</v>
      </c>
      <c r="D79" s="291">
        <f t="shared" si="52"/>
        <v>-51225.280000000006</v>
      </c>
      <c r="E79" s="291">
        <f t="shared" si="52"/>
        <v>-25529.289999999994</v>
      </c>
      <c r="F79" s="291">
        <f t="shared" si="52"/>
        <v>-48405.979999999996</v>
      </c>
      <c r="G79" s="291">
        <f t="shared" si="52"/>
        <v>-45745.479999999996</v>
      </c>
      <c r="H79" s="291">
        <f t="shared" si="52"/>
        <v>-14678.419999999998</v>
      </c>
      <c r="I79" s="291">
        <f t="shared" si="52"/>
        <v>-14979.730000000003</v>
      </c>
      <c r="J79" s="291">
        <f t="shared" si="52"/>
        <v>-35520.29</v>
      </c>
      <c r="K79" s="291">
        <f t="shared" si="52"/>
        <v>-47701.18</v>
      </c>
      <c r="L79" s="291">
        <f t="shared" si="52"/>
        <v>11961.080000000002</v>
      </c>
      <c r="M79" s="291">
        <f t="shared" si="52"/>
        <v>18700.700000000004</v>
      </c>
      <c r="N79" s="291">
        <f t="shared" si="52"/>
        <v>-47998.62999999999</v>
      </c>
      <c r="O79" s="291">
        <f t="shared" si="52"/>
        <v>25893.610000000004</v>
      </c>
      <c r="P79" s="291">
        <f t="shared" si="52"/>
        <v>17723.200000000008</v>
      </c>
      <c r="Q79" s="291">
        <f t="shared" si="52"/>
        <v>-302.78000000000611</v>
      </c>
      <c r="R79" s="291">
        <f t="shared" si="52"/>
        <v>25713.140000000003</v>
      </c>
      <c r="S79" s="291">
        <f t="shared" si="52"/>
        <v>21197.100000000006</v>
      </c>
      <c r="T79" s="291">
        <f t="shared" si="52"/>
        <v>-26561.29</v>
      </c>
      <c r="U79" s="291">
        <f t="shared" si="52"/>
        <v>-3801.8700000000026</v>
      </c>
      <c r="V79" s="291">
        <f t="shared" si="52"/>
        <v>1758.0099999999984</v>
      </c>
      <c r="W79" s="291">
        <f t="shared" si="52"/>
        <v>15995.260000000006</v>
      </c>
      <c r="X79" s="291">
        <f t="shared" si="52"/>
        <v>-3059.3100000000122</v>
      </c>
      <c r="Y79" s="291">
        <f t="shared" si="52"/>
        <v>-5845.9200000000055</v>
      </c>
      <c r="Z79" s="291">
        <f t="shared" si="52"/>
        <v>-83584.84</v>
      </c>
      <c r="AA79" s="291">
        <f t="shared" si="52"/>
        <v>-31766.949999999997</v>
      </c>
      <c r="AB79" s="291">
        <f t="shared" si="52"/>
        <v>43755.880000000005</v>
      </c>
      <c r="AC79" s="291">
        <f t="shared" si="52"/>
        <v>472.04000000000815</v>
      </c>
      <c r="AD79" s="291">
        <f t="shared" si="52"/>
        <v>-1356.6599999999962</v>
      </c>
      <c r="AE79" s="291">
        <f t="shared" si="52"/>
        <v>-7851.25</v>
      </c>
      <c r="AF79" s="291">
        <f t="shared" si="52"/>
        <v>-10546.660000000011</v>
      </c>
      <c r="AG79" s="291">
        <f t="shared" si="52"/>
        <v>-9902.23</v>
      </c>
      <c r="AH79" s="291">
        <f t="shared" si="52"/>
        <v>5154.2299999999996</v>
      </c>
      <c r="AI79" s="292">
        <f t="shared" si="41"/>
        <v>-346289.25999999995</v>
      </c>
      <c r="AK79" s="292">
        <f>AK40-AK78</f>
        <v>-319371.97000000015</v>
      </c>
      <c r="AL79" s="292">
        <f>AL40-AL78</f>
        <v>-14875.690000000061</v>
      </c>
      <c r="AM79" s="292">
        <f>AM40-AM78</f>
        <v>-91932.629999999888</v>
      </c>
    </row>
    <row r="80" spans="1:39">
      <c r="B80" s="286" t="s">
        <v>212</v>
      </c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</row>
    <row r="81" spans="1:39">
      <c r="B81" s="288" t="s">
        <v>605</v>
      </c>
      <c r="C81" s="287"/>
      <c r="D81" s="287"/>
      <c r="E81" s="287"/>
      <c r="F81" s="287"/>
      <c r="G81" s="287"/>
      <c r="H81" s="287"/>
      <c r="I81" s="287"/>
      <c r="J81" s="287"/>
      <c r="K81" s="289">
        <v>713.79</v>
      </c>
      <c r="L81" s="287"/>
      <c r="M81" s="287"/>
      <c r="N81" s="289">
        <v>3550</v>
      </c>
      <c r="O81" s="287"/>
      <c r="P81" s="289">
        <v>1000</v>
      </c>
      <c r="Q81" s="289">
        <v>3436.12</v>
      </c>
      <c r="R81" s="287"/>
      <c r="S81" s="287"/>
      <c r="T81" s="287"/>
      <c r="U81" s="287"/>
      <c r="V81" s="287"/>
      <c r="W81" s="287"/>
      <c r="X81" s="287"/>
      <c r="Y81" s="287"/>
      <c r="Z81" s="289">
        <v>700</v>
      </c>
      <c r="AA81" s="289">
        <v>3600</v>
      </c>
      <c r="AB81" s="287"/>
      <c r="AC81" s="287"/>
      <c r="AD81" s="287"/>
      <c r="AE81" s="287"/>
      <c r="AF81" s="287"/>
      <c r="AG81" s="287"/>
      <c r="AH81" s="287"/>
      <c r="AI81" s="289">
        <f>C81+D81+E81+F81+G81+H81+I81+J81+K81+L81+M81+N81+O81+P81+Q81+R81+S81+T81+U81+V81+W81+X81+Y81+Z81+AA81+AB81+AC81+AD81+AE81+AF81+AG81+AH81</f>
        <v>12999.91</v>
      </c>
      <c r="AK81" s="289">
        <f t="shared" ref="AK81:AK83" si="53">SUM(C81:N81)</f>
        <v>4263.79</v>
      </c>
      <c r="AL81" s="289">
        <f t="shared" ref="AL81:AL83" si="54">SUM(O81:Z81)</f>
        <v>5136.12</v>
      </c>
      <c r="AM81" s="289">
        <f t="shared" ref="AM81:AM83" si="55">SUM(V81:AG81)</f>
        <v>4300</v>
      </c>
    </row>
    <row r="82" spans="1:39">
      <c r="A82" s="300" t="s">
        <v>308</v>
      </c>
      <c r="B82" s="288" t="s">
        <v>606</v>
      </c>
      <c r="C82" s="287"/>
      <c r="D82" s="287"/>
      <c r="E82" s="287"/>
      <c r="F82" s="289">
        <v>36</v>
      </c>
      <c r="G82" s="287"/>
      <c r="H82" s="287"/>
      <c r="I82" s="289">
        <v>96.19</v>
      </c>
      <c r="J82" s="287"/>
      <c r="K82" s="287"/>
      <c r="L82" s="289">
        <v>22.95</v>
      </c>
      <c r="M82" s="287"/>
      <c r="N82" s="287"/>
      <c r="O82" s="289">
        <v>21.89</v>
      </c>
      <c r="P82" s="287"/>
      <c r="Q82" s="289">
        <v>2.0299999999999998</v>
      </c>
      <c r="R82" s="289">
        <v>6.65</v>
      </c>
      <c r="S82" s="289">
        <v>14.82</v>
      </c>
      <c r="T82" s="289">
        <v>19.21</v>
      </c>
      <c r="U82" s="289">
        <v>38.93</v>
      </c>
      <c r="V82" s="289">
        <v>0.89</v>
      </c>
      <c r="W82" s="287"/>
      <c r="X82" s="289">
        <v>4.26</v>
      </c>
      <c r="Y82" s="287"/>
      <c r="Z82" s="289">
        <v>0.71</v>
      </c>
      <c r="AA82" s="287"/>
      <c r="AB82" s="287"/>
      <c r="AC82" s="287"/>
      <c r="AD82" s="287"/>
      <c r="AE82" s="287"/>
      <c r="AF82" s="287"/>
      <c r="AG82" s="289">
        <v>28.41</v>
      </c>
      <c r="AH82" s="287"/>
      <c r="AI82" s="289">
        <f>C82+D82+E82+F82+G82+H82+I82+J82+K82+L82+M82+N82+O82+P82+Q82+R82+S82+T82+U82+V82+W82+X82+Y82+Z82+AA82+AB82+AC82+AD82+AE82+AF82+AG82+AH82</f>
        <v>292.93999999999994</v>
      </c>
      <c r="AK82" s="289">
        <f t="shared" si="53"/>
        <v>155.13999999999999</v>
      </c>
      <c r="AL82" s="289">
        <f t="shared" si="54"/>
        <v>109.39</v>
      </c>
      <c r="AM82" s="289">
        <f t="shared" si="55"/>
        <v>34.269999999999996</v>
      </c>
    </row>
    <row r="83" spans="1:39">
      <c r="A83" s="300" t="s">
        <v>308</v>
      </c>
      <c r="B83" s="288" t="s">
        <v>607</v>
      </c>
      <c r="C83" s="287"/>
      <c r="D83" s="287"/>
      <c r="E83" s="287"/>
      <c r="F83" s="287"/>
      <c r="G83" s="287"/>
      <c r="H83" s="287"/>
      <c r="I83" s="287"/>
      <c r="J83" s="287"/>
      <c r="K83" s="289">
        <v>6896</v>
      </c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9">
        <f>C83+D83+E83+F83+G83+H83+I83+J83+K83+L83+M83+N83+O83+P83+Q83+R83+S83+T83+U83+V83+W83+X83+Y83+Z83+AA83+AB83+AC83+AD83+AE83+AF83+AG83+AH83</f>
        <v>6896</v>
      </c>
      <c r="AK83" s="289">
        <f t="shared" si="53"/>
        <v>6896</v>
      </c>
      <c r="AL83" s="289">
        <f t="shared" si="54"/>
        <v>0</v>
      </c>
      <c r="AM83" s="289">
        <f t="shared" si="55"/>
        <v>0</v>
      </c>
    </row>
    <row r="84" spans="1:39">
      <c r="B84" s="290" t="s">
        <v>608</v>
      </c>
      <c r="C84" s="292">
        <f t="shared" ref="C84:AH84" si="56">C80+C81+C82+C83</f>
        <v>0</v>
      </c>
      <c r="D84" s="292">
        <f t="shared" si="56"/>
        <v>0</v>
      </c>
      <c r="E84" s="292">
        <f t="shared" si="56"/>
        <v>0</v>
      </c>
      <c r="F84" s="291">
        <f t="shared" si="56"/>
        <v>36</v>
      </c>
      <c r="G84" s="292">
        <f t="shared" si="56"/>
        <v>0</v>
      </c>
      <c r="H84" s="292">
        <f t="shared" si="56"/>
        <v>0</v>
      </c>
      <c r="I84" s="291">
        <f t="shared" si="56"/>
        <v>96.19</v>
      </c>
      <c r="J84" s="292">
        <f t="shared" si="56"/>
        <v>0</v>
      </c>
      <c r="K84" s="291">
        <f t="shared" si="56"/>
        <v>7609.79</v>
      </c>
      <c r="L84" s="291">
        <f t="shared" si="56"/>
        <v>22.95</v>
      </c>
      <c r="M84" s="292">
        <f t="shared" si="56"/>
        <v>0</v>
      </c>
      <c r="N84" s="291">
        <f t="shared" si="56"/>
        <v>3550</v>
      </c>
      <c r="O84" s="291">
        <f t="shared" si="56"/>
        <v>21.89</v>
      </c>
      <c r="P84" s="291">
        <f t="shared" si="56"/>
        <v>1000</v>
      </c>
      <c r="Q84" s="291">
        <f t="shared" si="56"/>
        <v>3438.15</v>
      </c>
      <c r="R84" s="291">
        <f t="shared" si="56"/>
        <v>6.65</v>
      </c>
      <c r="S84" s="291">
        <f t="shared" si="56"/>
        <v>14.82</v>
      </c>
      <c r="T84" s="291">
        <f t="shared" si="56"/>
        <v>19.21</v>
      </c>
      <c r="U84" s="291">
        <f t="shared" si="56"/>
        <v>38.93</v>
      </c>
      <c r="V84" s="291">
        <f t="shared" si="56"/>
        <v>0.89</v>
      </c>
      <c r="W84" s="292">
        <f t="shared" si="56"/>
        <v>0</v>
      </c>
      <c r="X84" s="291">
        <f t="shared" si="56"/>
        <v>4.26</v>
      </c>
      <c r="Y84" s="292">
        <f t="shared" si="56"/>
        <v>0</v>
      </c>
      <c r="Z84" s="291">
        <f t="shared" si="56"/>
        <v>700.71</v>
      </c>
      <c r="AA84" s="291">
        <f t="shared" si="56"/>
        <v>3600</v>
      </c>
      <c r="AB84" s="292">
        <f t="shared" si="56"/>
        <v>0</v>
      </c>
      <c r="AC84" s="292">
        <f t="shared" si="56"/>
        <v>0</v>
      </c>
      <c r="AD84" s="292">
        <f t="shared" si="56"/>
        <v>0</v>
      </c>
      <c r="AE84" s="292">
        <f t="shared" si="56"/>
        <v>0</v>
      </c>
      <c r="AF84" s="292">
        <f t="shared" si="56"/>
        <v>0</v>
      </c>
      <c r="AG84" s="291">
        <f t="shared" si="56"/>
        <v>28.41</v>
      </c>
      <c r="AH84" s="292">
        <f t="shared" si="56"/>
        <v>0</v>
      </c>
      <c r="AI84" s="292">
        <f>C84+D84+E84+F84+G84+H84+I84+J84+K84+L84+M84+N84+O84+P84+Q84+R84+S84+T84+U84+V84+W84+X84+Y84+Z84+AA84+AB84+AC84+AD84+AE84+AF84+AG84+AH84</f>
        <v>20188.849999999999</v>
      </c>
      <c r="AK84" s="292">
        <f t="shared" ref="AK84" si="57">AK80+AK81+AK82+AK83</f>
        <v>11314.93</v>
      </c>
      <c r="AL84" s="292">
        <f t="shared" ref="AL84" si="58">AL80+AL81+AL82+AL83</f>
        <v>5245.51</v>
      </c>
      <c r="AM84" s="292">
        <f t="shared" ref="AM84" si="59">AM80+AM81+AM82+AM83</f>
        <v>4334.2700000000004</v>
      </c>
    </row>
    <row r="85" spans="1:39">
      <c r="B85" s="286" t="s">
        <v>609</v>
      </c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</row>
    <row r="86" spans="1:39">
      <c r="A86" s="300" t="s">
        <v>308</v>
      </c>
      <c r="B86" s="288" t="s">
        <v>610</v>
      </c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9">
        <v>25</v>
      </c>
      <c r="V86" s="289">
        <v>-25</v>
      </c>
      <c r="W86" s="287"/>
      <c r="X86" s="287"/>
      <c r="Y86" s="287"/>
      <c r="Z86" s="287"/>
      <c r="AA86" s="287"/>
      <c r="AB86" s="287"/>
      <c r="AC86" s="294">
        <v>0</v>
      </c>
      <c r="AD86" s="294">
        <v>0</v>
      </c>
      <c r="AE86" s="287"/>
      <c r="AF86" s="287"/>
      <c r="AG86" s="287"/>
      <c r="AH86" s="287"/>
      <c r="AI86" s="294">
        <f>C86+D86+E86+F86+G86+H86+I86+J86+K86+L86+M86+N86+O86+P86+Q86+R86+S86+T86+U86+V86+W86+X86+Y86+Z86+AA86+AB86+AC86+AD86+AE86+AF86+AG86+AH86</f>
        <v>0</v>
      </c>
      <c r="AK86" s="294">
        <f t="shared" ref="AK86:AK87" si="60">SUM(C86:N86)</f>
        <v>0</v>
      </c>
      <c r="AL86" s="294">
        <f t="shared" ref="AL86:AL87" si="61">SUM(O86:Z86)</f>
        <v>0</v>
      </c>
      <c r="AM86" s="294">
        <f t="shared" ref="AM86:AM87" si="62">SUM(V86:AG86)</f>
        <v>-25</v>
      </c>
    </row>
    <row r="87" spans="1:39">
      <c r="A87" s="300" t="s">
        <v>308</v>
      </c>
      <c r="B87" s="288" t="s">
        <v>611</v>
      </c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9">
        <v>3119</v>
      </c>
      <c r="AA87" s="287"/>
      <c r="AB87" s="287"/>
      <c r="AC87" s="287"/>
      <c r="AD87" s="287"/>
      <c r="AE87" s="287"/>
      <c r="AF87" s="287"/>
      <c r="AG87" s="287"/>
      <c r="AH87" s="287"/>
      <c r="AI87" s="289">
        <f>C87+D87+E87+F87+G87+H87+I87+J87+K87+L87+M87+N87+O87+P87+Q87+R87+S87+T87+U87+V87+W87+X87+Y87+Z87+AA87+AB87+AC87+AD87+AE87+AF87+AG87+AH87</f>
        <v>3119</v>
      </c>
      <c r="AK87" s="289">
        <f t="shared" si="60"/>
        <v>0</v>
      </c>
      <c r="AL87" s="289">
        <f t="shared" si="61"/>
        <v>3119</v>
      </c>
      <c r="AM87" s="289">
        <f t="shared" si="62"/>
        <v>3119</v>
      </c>
    </row>
    <row r="88" spans="1:39">
      <c r="B88" s="290" t="s">
        <v>612</v>
      </c>
      <c r="C88" s="292">
        <f t="shared" ref="C88:AH88" si="63">C85+C86+C87</f>
        <v>0</v>
      </c>
      <c r="D88" s="292">
        <f t="shared" si="63"/>
        <v>0</v>
      </c>
      <c r="E88" s="292">
        <f t="shared" si="63"/>
        <v>0</v>
      </c>
      <c r="F88" s="292">
        <f t="shared" si="63"/>
        <v>0</v>
      </c>
      <c r="G88" s="292">
        <f t="shared" si="63"/>
        <v>0</v>
      </c>
      <c r="H88" s="292">
        <f t="shared" si="63"/>
        <v>0</v>
      </c>
      <c r="I88" s="292">
        <f t="shared" si="63"/>
        <v>0</v>
      </c>
      <c r="J88" s="292">
        <f t="shared" si="63"/>
        <v>0</v>
      </c>
      <c r="K88" s="292">
        <f t="shared" si="63"/>
        <v>0</v>
      </c>
      <c r="L88" s="292">
        <f t="shared" si="63"/>
        <v>0</v>
      </c>
      <c r="M88" s="292">
        <f t="shared" si="63"/>
        <v>0</v>
      </c>
      <c r="N88" s="292">
        <f t="shared" si="63"/>
        <v>0</v>
      </c>
      <c r="O88" s="292">
        <f t="shared" si="63"/>
        <v>0</v>
      </c>
      <c r="P88" s="292">
        <f t="shared" si="63"/>
        <v>0</v>
      </c>
      <c r="Q88" s="292">
        <f t="shared" si="63"/>
        <v>0</v>
      </c>
      <c r="R88" s="292">
        <f t="shared" si="63"/>
        <v>0</v>
      </c>
      <c r="S88" s="292">
        <f t="shared" si="63"/>
        <v>0</v>
      </c>
      <c r="T88" s="292">
        <f t="shared" si="63"/>
        <v>0</v>
      </c>
      <c r="U88" s="291">
        <f t="shared" si="63"/>
        <v>25</v>
      </c>
      <c r="V88" s="291">
        <f t="shared" si="63"/>
        <v>-25</v>
      </c>
      <c r="W88" s="292">
        <f t="shared" si="63"/>
        <v>0</v>
      </c>
      <c r="X88" s="292">
        <f t="shared" si="63"/>
        <v>0</v>
      </c>
      <c r="Y88" s="292">
        <f t="shared" si="63"/>
        <v>0</v>
      </c>
      <c r="Z88" s="291">
        <f t="shared" si="63"/>
        <v>3119</v>
      </c>
      <c r="AA88" s="292">
        <f t="shared" si="63"/>
        <v>0</v>
      </c>
      <c r="AB88" s="292">
        <f t="shared" si="63"/>
        <v>0</v>
      </c>
      <c r="AC88" s="292">
        <f t="shared" si="63"/>
        <v>0</v>
      </c>
      <c r="AD88" s="292">
        <f t="shared" si="63"/>
        <v>0</v>
      </c>
      <c r="AE88" s="292">
        <f t="shared" si="63"/>
        <v>0</v>
      </c>
      <c r="AF88" s="292">
        <f t="shared" si="63"/>
        <v>0</v>
      </c>
      <c r="AG88" s="292">
        <f t="shared" si="63"/>
        <v>0</v>
      </c>
      <c r="AH88" s="292">
        <f t="shared" si="63"/>
        <v>0</v>
      </c>
      <c r="AI88" s="292">
        <f>C88+D88+E88+F88+G88+H88+I88+J88+K88+L88+M88+N88+O88+P88+Q88+R88+S88+T88+U88+V88+W88+X88+Y88+Z88+AA88+AB88+AC88+AD88+AE88+AF88+AG88+AH88</f>
        <v>3119</v>
      </c>
      <c r="AK88" s="292">
        <f t="shared" ref="AK88" si="64">AK85+AK86+AK87</f>
        <v>0</v>
      </c>
      <c r="AL88" s="292">
        <f t="shared" ref="AL88" si="65">AL85+AL86+AL87</f>
        <v>3119</v>
      </c>
      <c r="AM88" s="292">
        <f t="shared" ref="AM88" si="66">AM85+AM86+AM87</f>
        <v>3094</v>
      </c>
    </row>
    <row r="89" spans="1:39">
      <c r="B89" s="290" t="s">
        <v>613</v>
      </c>
      <c r="C89" s="292">
        <f t="shared" ref="C89:AH89" si="67">C84-C88</f>
        <v>0</v>
      </c>
      <c r="D89" s="292">
        <f t="shared" si="67"/>
        <v>0</v>
      </c>
      <c r="E89" s="292">
        <f t="shared" si="67"/>
        <v>0</v>
      </c>
      <c r="F89" s="291">
        <f t="shared" si="67"/>
        <v>36</v>
      </c>
      <c r="G89" s="292">
        <f t="shared" si="67"/>
        <v>0</v>
      </c>
      <c r="H89" s="292">
        <f t="shared" si="67"/>
        <v>0</v>
      </c>
      <c r="I89" s="291">
        <f t="shared" si="67"/>
        <v>96.19</v>
      </c>
      <c r="J89" s="292">
        <f t="shared" si="67"/>
        <v>0</v>
      </c>
      <c r="K89" s="291">
        <f t="shared" si="67"/>
        <v>7609.79</v>
      </c>
      <c r="L89" s="291">
        <f t="shared" si="67"/>
        <v>22.95</v>
      </c>
      <c r="M89" s="292">
        <f t="shared" si="67"/>
        <v>0</v>
      </c>
      <c r="N89" s="291">
        <f t="shared" si="67"/>
        <v>3550</v>
      </c>
      <c r="O89" s="291">
        <f t="shared" si="67"/>
        <v>21.89</v>
      </c>
      <c r="P89" s="291">
        <f t="shared" si="67"/>
        <v>1000</v>
      </c>
      <c r="Q89" s="291">
        <f t="shared" si="67"/>
        <v>3438.15</v>
      </c>
      <c r="R89" s="291">
        <f t="shared" si="67"/>
        <v>6.65</v>
      </c>
      <c r="S89" s="291">
        <f t="shared" si="67"/>
        <v>14.82</v>
      </c>
      <c r="T89" s="291">
        <f t="shared" si="67"/>
        <v>19.21</v>
      </c>
      <c r="U89" s="291">
        <f t="shared" si="67"/>
        <v>13.93</v>
      </c>
      <c r="V89" s="291">
        <f t="shared" si="67"/>
        <v>25.89</v>
      </c>
      <c r="W89" s="292">
        <f t="shared" si="67"/>
        <v>0</v>
      </c>
      <c r="X89" s="291">
        <f t="shared" si="67"/>
        <v>4.26</v>
      </c>
      <c r="Y89" s="292">
        <f t="shared" si="67"/>
        <v>0</v>
      </c>
      <c r="Z89" s="291">
        <f t="shared" si="67"/>
        <v>-2418.29</v>
      </c>
      <c r="AA89" s="291">
        <f t="shared" si="67"/>
        <v>3600</v>
      </c>
      <c r="AB89" s="292">
        <f t="shared" si="67"/>
        <v>0</v>
      </c>
      <c r="AC89" s="292">
        <f t="shared" si="67"/>
        <v>0</v>
      </c>
      <c r="AD89" s="292">
        <f t="shared" si="67"/>
        <v>0</v>
      </c>
      <c r="AE89" s="292">
        <f t="shared" si="67"/>
        <v>0</v>
      </c>
      <c r="AF89" s="292">
        <f t="shared" si="67"/>
        <v>0</v>
      </c>
      <c r="AG89" s="291">
        <f t="shared" si="67"/>
        <v>28.41</v>
      </c>
      <c r="AH89" s="292">
        <f t="shared" si="67"/>
        <v>0</v>
      </c>
      <c r="AI89" s="292">
        <f>C89+D89+E89+F89+G89+H89+I89+J89+K89+L89+M89+N89+O89+P89+Q89+R89+S89+T89+U89+V89+W89+X89+Y89+Z89+AA89+AB89+AC89+AD89+AE89+AF89+AG89+AH89</f>
        <v>17069.849999999999</v>
      </c>
      <c r="AK89" s="292">
        <f t="shared" ref="AK89" si="68">AK84-AK88</f>
        <v>11314.93</v>
      </c>
      <c r="AL89" s="292">
        <f t="shared" ref="AL89" si="69">AL84-AL88</f>
        <v>2126.5100000000002</v>
      </c>
      <c r="AM89" s="292">
        <f t="shared" ref="AM89" si="70">AM84-AM88</f>
        <v>1240.2700000000004</v>
      </c>
    </row>
    <row r="90" spans="1:39">
      <c r="B90" s="290" t="s">
        <v>614</v>
      </c>
      <c r="C90" s="291">
        <f t="shared" ref="C90:AH90" si="71">C79+C89</f>
        <v>-18249.470000000016</v>
      </c>
      <c r="D90" s="291">
        <f t="shared" si="71"/>
        <v>-51225.280000000006</v>
      </c>
      <c r="E90" s="291">
        <f t="shared" si="71"/>
        <v>-25529.289999999994</v>
      </c>
      <c r="F90" s="291">
        <f t="shared" si="71"/>
        <v>-48369.979999999996</v>
      </c>
      <c r="G90" s="291">
        <f t="shared" si="71"/>
        <v>-45745.479999999996</v>
      </c>
      <c r="H90" s="291">
        <f t="shared" si="71"/>
        <v>-14678.419999999998</v>
      </c>
      <c r="I90" s="291">
        <f t="shared" si="71"/>
        <v>-14883.540000000003</v>
      </c>
      <c r="J90" s="291">
        <f t="shared" si="71"/>
        <v>-35520.29</v>
      </c>
      <c r="K90" s="291">
        <f t="shared" si="71"/>
        <v>-40091.39</v>
      </c>
      <c r="L90" s="291">
        <f t="shared" si="71"/>
        <v>11984.030000000002</v>
      </c>
      <c r="M90" s="291">
        <f t="shared" si="71"/>
        <v>18700.700000000004</v>
      </c>
      <c r="N90" s="291">
        <f t="shared" si="71"/>
        <v>-44448.62999999999</v>
      </c>
      <c r="O90" s="291">
        <f t="shared" si="71"/>
        <v>25915.500000000004</v>
      </c>
      <c r="P90" s="291">
        <f t="shared" si="71"/>
        <v>18723.200000000008</v>
      </c>
      <c r="Q90" s="291">
        <f t="shared" si="71"/>
        <v>3135.369999999994</v>
      </c>
      <c r="R90" s="291">
        <f t="shared" si="71"/>
        <v>25719.790000000005</v>
      </c>
      <c r="S90" s="291">
        <f t="shared" si="71"/>
        <v>21211.920000000006</v>
      </c>
      <c r="T90" s="291">
        <f t="shared" si="71"/>
        <v>-26542.080000000002</v>
      </c>
      <c r="U90" s="291">
        <f t="shared" si="71"/>
        <v>-3787.9400000000028</v>
      </c>
      <c r="V90" s="291">
        <f t="shared" si="71"/>
        <v>1783.8999999999985</v>
      </c>
      <c r="W90" s="291">
        <f t="shared" si="71"/>
        <v>15995.260000000006</v>
      </c>
      <c r="X90" s="291">
        <f t="shared" si="71"/>
        <v>-3055.050000000012</v>
      </c>
      <c r="Y90" s="291">
        <f t="shared" si="71"/>
        <v>-5845.9200000000055</v>
      </c>
      <c r="Z90" s="291">
        <f t="shared" si="71"/>
        <v>-86003.12999999999</v>
      </c>
      <c r="AA90" s="291">
        <f t="shared" si="71"/>
        <v>-28166.949999999997</v>
      </c>
      <c r="AB90" s="291">
        <f t="shared" si="71"/>
        <v>43755.880000000005</v>
      </c>
      <c r="AC90" s="291">
        <f t="shared" si="71"/>
        <v>472.04000000000815</v>
      </c>
      <c r="AD90" s="291">
        <f t="shared" si="71"/>
        <v>-1356.6599999999962</v>
      </c>
      <c r="AE90" s="291">
        <f t="shared" si="71"/>
        <v>-7851.25</v>
      </c>
      <c r="AF90" s="291">
        <f t="shared" si="71"/>
        <v>-10546.660000000011</v>
      </c>
      <c r="AG90" s="291">
        <f t="shared" si="71"/>
        <v>-9873.82</v>
      </c>
      <c r="AH90" s="291">
        <f t="shared" si="71"/>
        <v>5154.2299999999996</v>
      </c>
      <c r="AI90" s="292">
        <f>C90+D90+E90+F90+G90+H90+I90+J90+K90+L90+M90+N90+O90+P90+Q90+R90+S90+T90+U90+V90+W90+X90+Y90+Z90+AA90+AB90+AC90+AD90+AE90+AF90+AG90+AH90</f>
        <v>-329219.41000000003</v>
      </c>
      <c r="AK90" s="292">
        <f t="shared" ref="AK90" si="72">AK79+AK89</f>
        <v>-308057.04000000015</v>
      </c>
      <c r="AL90" s="292">
        <f t="shared" ref="AL90" si="73">AL79+AL89</f>
        <v>-12749.18000000006</v>
      </c>
      <c r="AM90" s="292">
        <f t="shared" ref="AM90" si="74">AM79+AM89</f>
        <v>-90692.359999999884</v>
      </c>
    </row>
    <row r="92" spans="1:39">
      <c r="A92" s="282" t="s">
        <v>566</v>
      </c>
      <c r="C92" s="301">
        <f t="shared" ref="C92:AH92" si="75">C78-C77-C68-C53-C48+C39</f>
        <v>55306.940000000017</v>
      </c>
      <c r="D92" s="301">
        <f t="shared" si="75"/>
        <v>54976.560000000005</v>
      </c>
      <c r="E92" s="301">
        <f t="shared" si="75"/>
        <v>49115.159999999996</v>
      </c>
      <c r="F92" s="301">
        <f t="shared" si="75"/>
        <v>64473.049999999988</v>
      </c>
      <c r="G92" s="301">
        <f t="shared" si="75"/>
        <v>50129.42</v>
      </c>
      <c r="H92" s="301">
        <f t="shared" si="75"/>
        <v>50403.92</v>
      </c>
      <c r="I92" s="301">
        <f t="shared" si="75"/>
        <v>48210.240000000005</v>
      </c>
      <c r="J92" s="301">
        <f t="shared" si="75"/>
        <v>43207.44</v>
      </c>
      <c r="K92" s="301">
        <f t="shared" si="75"/>
        <v>49374.42</v>
      </c>
      <c r="L92" s="301">
        <f t="shared" si="75"/>
        <v>42428.130000000005</v>
      </c>
      <c r="M92" s="301">
        <f t="shared" si="75"/>
        <v>31933.819999999996</v>
      </c>
      <c r="N92" s="301">
        <f t="shared" si="75"/>
        <v>23002.050000000003</v>
      </c>
      <c r="O92" s="301">
        <f t="shared" si="75"/>
        <v>39405.75</v>
      </c>
      <c r="P92" s="301">
        <f t="shared" si="75"/>
        <v>29447.489999999998</v>
      </c>
      <c r="Q92" s="301">
        <f t="shared" si="75"/>
        <v>41916.490000000005</v>
      </c>
      <c r="R92" s="301">
        <f t="shared" si="75"/>
        <v>45568.35</v>
      </c>
      <c r="S92" s="301">
        <f t="shared" si="75"/>
        <v>49855.83</v>
      </c>
      <c r="T92" s="301">
        <f t="shared" si="75"/>
        <v>48580.69</v>
      </c>
      <c r="U92" s="301">
        <f t="shared" si="75"/>
        <v>42662.12</v>
      </c>
      <c r="V92" s="301">
        <f t="shared" si="75"/>
        <v>45203.259999999995</v>
      </c>
      <c r="W92" s="301">
        <f t="shared" si="75"/>
        <v>31935.519999999997</v>
      </c>
      <c r="X92" s="301">
        <f t="shared" si="75"/>
        <v>71393.62000000001</v>
      </c>
      <c r="Y92" s="301">
        <f t="shared" si="75"/>
        <v>40955.730000000003</v>
      </c>
      <c r="Z92" s="301">
        <f t="shared" si="75"/>
        <v>48287.72</v>
      </c>
      <c r="AA92" s="301">
        <f t="shared" si="75"/>
        <v>55779.24</v>
      </c>
      <c r="AB92" s="301">
        <f t="shared" si="75"/>
        <v>44003.990000000005</v>
      </c>
      <c r="AC92" s="301">
        <f t="shared" si="75"/>
        <v>52309.819999999992</v>
      </c>
      <c r="AD92" s="301">
        <f t="shared" si="75"/>
        <v>40225.589999999997</v>
      </c>
      <c r="AE92" s="301">
        <f t="shared" si="75"/>
        <v>55234.44</v>
      </c>
      <c r="AF92" s="301">
        <f t="shared" si="75"/>
        <v>54352.27</v>
      </c>
      <c r="AG92" s="301">
        <f t="shared" si="75"/>
        <v>44911.92</v>
      </c>
      <c r="AH92" s="301">
        <f t="shared" si="75"/>
        <v>8220.61</v>
      </c>
      <c r="AK92" s="301">
        <f>AK78-AK77-AK68-AK53-AK48+AK39</f>
        <v>562561.15000000014</v>
      </c>
      <c r="AL92" s="301">
        <f t="shared" ref="AL92:AM92" si="76">AL78-AL77-AL68-AL53-AL48+AL39</f>
        <v>535212.57000000007</v>
      </c>
      <c r="AM92" s="301">
        <f t="shared" si="76"/>
        <v>584593.11999999988</v>
      </c>
    </row>
    <row r="94" spans="1:39" ht="15.65" customHeight="1">
      <c r="B94" s="296" t="s">
        <v>615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8874-E7B9-4C81-A03A-00B14A22589A}">
  <sheetPr>
    <tabColor theme="3"/>
  </sheetPr>
  <dimension ref="A1:L995"/>
  <sheetViews>
    <sheetView workbookViewId="0">
      <pane ySplit="1" topLeftCell="A2" activePane="bottomLeft" state="frozen"/>
      <selection activeCell="I3" sqref="I3"/>
      <selection pane="bottomLeft" activeCell="A2" sqref="A2"/>
    </sheetView>
  </sheetViews>
  <sheetFormatPr defaultColWidth="12.54296875" defaultRowHeight="15" customHeight="1"/>
  <cols>
    <col min="1" max="1" width="45" bestFit="1" customWidth="1"/>
    <col min="2" max="2" width="10.1796875" bestFit="1" customWidth="1"/>
    <col min="3" max="3" width="12" customWidth="1"/>
    <col min="4" max="5" width="10" customWidth="1"/>
    <col min="6" max="10" width="16" customWidth="1"/>
    <col min="11" max="11" width="30" customWidth="1"/>
    <col min="12" max="27" width="8.54296875" customWidth="1"/>
  </cols>
  <sheetData>
    <row r="1" spans="1:12" ht="14.25" customHeight="1">
      <c r="A1" s="340" t="s">
        <v>696</v>
      </c>
      <c r="B1" s="340" t="s">
        <v>697</v>
      </c>
      <c r="C1" s="340" t="s">
        <v>698</v>
      </c>
      <c r="D1" s="340" t="s">
        <v>331</v>
      </c>
      <c r="E1" s="340" t="s">
        <v>736</v>
      </c>
      <c r="F1" s="340" t="s">
        <v>699</v>
      </c>
      <c r="G1" s="340" t="s">
        <v>700</v>
      </c>
      <c r="H1" s="340" t="s">
        <v>701</v>
      </c>
      <c r="I1" s="340" t="s">
        <v>702</v>
      </c>
      <c r="J1" s="340" t="s">
        <v>703</v>
      </c>
      <c r="K1" s="340" t="s">
        <v>627</v>
      </c>
      <c r="L1" s="340" t="s">
        <v>739</v>
      </c>
    </row>
    <row r="2" spans="1:12" ht="14.25" customHeight="1">
      <c r="A2" s="297">
        <v>1</v>
      </c>
      <c r="B2" s="341">
        <v>45324</v>
      </c>
      <c r="C2" s="342">
        <f t="shared" ref="C2:C134" si="0">EOMONTH(B2,0)</f>
        <v>45351</v>
      </c>
      <c r="D2" s="297" t="s">
        <v>625</v>
      </c>
      <c r="E2" s="297"/>
      <c r="F2" s="343">
        <v>520</v>
      </c>
      <c r="G2" s="343">
        <v>0</v>
      </c>
      <c r="H2" s="343">
        <v>0</v>
      </c>
      <c r="I2" s="343">
        <f t="shared" ref="I2:I113" si="1">F2+G2+H2</f>
        <v>520</v>
      </c>
      <c r="J2" s="343">
        <v>0</v>
      </c>
      <c r="K2" s="297" t="s">
        <v>704</v>
      </c>
      <c r="L2" s="9">
        <v>0</v>
      </c>
    </row>
    <row r="3" spans="1:12" ht="14.25" customHeight="1">
      <c r="A3" s="297">
        <v>2</v>
      </c>
      <c r="B3" s="341">
        <v>45339</v>
      </c>
      <c r="C3" s="342">
        <f t="shared" si="0"/>
        <v>45351</v>
      </c>
      <c r="D3" s="297" t="s">
        <v>625</v>
      </c>
      <c r="E3" s="297"/>
      <c r="F3" s="343">
        <v>606.65</v>
      </c>
      <c r="G3" s="343">
        <v>0</v>
      </c>
      <c r="H3" s="343">
        <v>0</v>
      </c>
      <c r="I3" s="343">
        <f t="shared" si="1"/>
        <v>606.65</v>
      </c>
      <c r="J3" s="343">
        <v>0</v>
      </c>
      <c r="K3" s="297" t="s">
        <v>705</v>
      </c>
      <c r="L3" s="9">
        <v>0</v>
      </c>
    </row>
    <row r="4" spans="1:12" ht="14.25" customHeight="1">
      <c r="A4" s="297">
        <v>3</v>
      </c>
      <c r="B4" s="341">
        <v>45346</v>
      </c>
      <c r="C4" s="342">
        <f t="shared" si="0"/>
        <v>45351</v>
      </c>
      <c r="D4" s="297" t="s">
        <v>706</v>
      </c>
      <c r="E4" s="297"/>
      <c r="F4" s="343">
        <v>11000</v>
      </c>
      <c r="G4" s="343">
        <v>4800</v>
      </c>
      <c r="H4" s="343">
        <v>1000</v>
      </c>
      <c r="I4" s="343">
        <f t="shared" si="1"/>
        <v>16800</v>
      </c>
      <c r="J4" s="343">
        <v>0</v>
      </c>
      <c r="L4" s="9">
        <v>0</v>
      </c>
    </row>
    <row r="5" spans="1:12" ht="14.25" customHeight="1">
      <c r="A5" s="297">
        <v>4</v>
      </c>
      <c r="B5" s="341">
        <v>45360</v>
      </c>
      <c r="C5" s="342">
        <f t="shared" si="0"/>
        <v>45382</v>
      </c>
      <c r="D5" s="297" t="s">
        <v>706</v>
      </c>
      <c r="E5" s="297"/>
      <c r="F5" s="343">
        <v>18000</v>
      </c>
      <c r="G5" s="343">
        <v>0</v>
      </c>
      <c r="H5" s="343">
        <v>0</v>
      </c>
      <c r="I5" s="343">
        <f t="shared" si="1"/>
        <v>18000</v>
      </c>
      <c r="J5" s="343">
        <v>0</v>
      </c>
      <c r="L5" s="9">
        <v>0</v>
      </c>
    </row>
    <row r="6" spans="1:12" ht="14.25" customHeight="1">
      <c r="A6" s="297">
        <v>5</v>
      </c>
      <c r="B6" s="341">
        <v>45367</v>
      </c>
      <c r="C6" s="342">
        <f t="shared" si="0"/>
        <v>45382</v>
      </c>
      <c r="D6" s="297" t="s">
        <v>706</v>
      </c>
      <c r="E6" s="297"/>
      <c r="F6" s="343">
        <v>2000</v>
      </c>
      <c r="G6" s="343">
        <v>0</v>
      </c>
      <c r="H6" s="343">
        <v>0</v>
      </c>
      <c r="I6" s="343">
        <f t="shared" si="1"/>
        <v>2000</v>
      </c>
      <c r="J6" s="343">
        <v>0</v>
      </c>
      <c r="L6" s="9">
        <v>0</v>
      </c>
    </row>
    <row r="7" spans="1:12" ht="14.25" customHeight="1">
      <c r="A7" s="297">
        <v>6</v>
      </c>
      <c r="B7" s="341">
        <v>45373</v>
      </c>
      <c r="C7" s="342">
        <f t="shared" si="0"/>
        <v>45382</v>
      </c>
      <c r="D7" s="297" t="s">
        <v>625</v>
      </c>
      <c r="E7" s="297"/>
      <c r="F7" s="343">
        <v>1200</v>
      </c>
      <c r="G7" s="343">
        <v>0</v>
      </c>
      <c r="H7" s="343">
        <v>0</v>
      </c>
      <c r="I7" s="343">
        <f t="shared" si="1"/>
        <v>1200</v>
      </c>
      <c r="J7" s="343">
        <v>0</v>
      </c>
      <c r="K7" s="297" t="s">
        <v>707</v>
      </c>
      <c r="L7" s="9">
        <v>0</v>
      </c>
    </row>
    <row r="8" spans="1:12" ht="14.25" customHeight="1">
      <c r="A8" s="297">
        <v>7</v>
      </c>
      <c r="B8" s="341">
        <v>45738</v>
      </c>
      <c r="C8" s="342">
        <f t="shared" si="0"/>
        <v>45747</v>
      </c>
      <c r="D8" s="297" t="s">
        <v>625</v>
      </c>
      <c r="E8" s="297"/>
      <c r="F8" s="343">
        <v>300</v>
      </c>
      <c r="G8" s="343">
        <v>0</v>
      </c>
      <c r="H8" s="343">
        <v>0</v>
      </c>
      <c r="I8" s="343">
        <f t="shared" si="1"/>
        <v>300</v>
      </c>
      <c r="J8" s="343">
        <v>0</v>
      </c>
      <c r="K8" s="297" t="s">
        <v>708</v>
      </c>
      <c r="L8" s="9">
        <v>0</v>
      </c>
    </row>
    <row r="9" spans="1:12" ht="14.25" customHeight="1">
      <c r="A9" s="297">
        <v>8</v>
      </c>
      <c r="B9" s="341">
        <v>45374</v>
      </c>
      <c r="C9" s="342">
        <f t="shared" si="0"/>
        <v>45382</v>
      </c>
      <c r="D9" s="297" t="s">
        <v>706</v>
      </c>
      <c r="E9" s="297"/>
      <c r="F9" s="343">
        <v>15000</v>
      </c>
      <c r="G9" s="343">
        <v>0</v>
      </c>
      <c r="H9" s="343">
        <v>0</v>
      </c>
      <c r="I9" s="343">
        <f t="shared" si="1"/>
        <v>15000</v>
      </c>
      <c r="J9" s="343">
        <v>0</v>
      </c>
      <c r="L9" s="9">
        <v>0</v>
      </c>
    </row>
    <row r="10" spans="1:12" ht="14.25" customHeight="1">
      <c r="A10" s="297">
        <v>9</v>
      </c>
      <c r="B10" s="341">
        <v>45381</v>
      </c>
      <c r="C10" s="342">
        <f t="shared" si="0"/>
        <v>45382</v>
      </c>
      <c r="D10" s="297" t="s">
        <v>706</v>
      </c>
      <c r="E10" s="297"/>
      <c r="F10" s="343">
        <v>14000</v>
      </c>
      <c r="G10" s="343">
        <v>0</v>
      </c>
      <c r="H10" s="343">
        <v>0</v>
      </c>
      <c r="I10" s="343">
        <f t="shared" si="1"/>
        <v>14000</v>
      </c>
      <c r="J10" s="343">
        <v>0</v>
      </c>
      <c r="L10" s="9">
        <v>0</v>
      </c>
    </row>
    <row r="11" spans="1:12" ht="14.25" customHeight="1">
      <c r="A11" s="297">
        <v>10</v>
      </c>
      <c r="B11" s="341">
        <v>45388</v>
      </c>
      <c r="C11" s="342">
        <f t="shared" si="0"/>
        <v>45412</v>
      </c>
      <c r="D11" s="297" t="s">
        <v>706</v>
      </c>
      <c r="E11" s="297"/>
      <c r="F11" s="343">
        <v>15000</v>
      </c>
      <c r="G11" s="343">
        <v>4800</v>
      </c>
      <c r="H11" s="343">
        <v>1529</v>
      </c>
      <c r="I11" s="343">
        <f t="shared" si="1"/>
        <v>21329</v>
      </c>
      <c r="J11" s="343">
        <v>0</v>
      </c>
      <c r="L11" s="9">
        <v>0</v>
      </c>
    </row>
    <row r="12" spans="1:12" ht="14.25" customHeight="1">
      <c r="A12" s="297">
        <v>11</v>
      </c>
      <c r="B12" s="341">
        <v>45394</v>
      </c>
      <c r="C12" s="342">
        <f t="shared" si="0"/>
        <v>45412</v>
      </c>
      <c r="D12" s="297" t="s">
        <v>706</v>
      </c>
      <c r="E12" s="297"/>
      <c r="F12" s="343">
        <v>13000</v>
      </c>
      <c r="G12" s="343">
        <v>0</v>
      </c>
      <c r="H12" s="343">
        <v>0</v>
      </c>
      <c r="I12" s="343">
        <f t="shared" si="1"/>
        <v>13000</v>
      </c>
      <c r="J12" s="343">
        <v>0</v>
      </c>
      <c r="L12" s="9">
        <v>0</v>
      </c>
    </row>
    <row r="13" spans="1:12" ht="14.25" customHeight="1">
      <c r="A13" s="297">
        <v>12</v>
      </c>
      <c r="B13" s="341">
        <v>45402</v>
      </c>
      <c r="C13" s="342">
        <f t="shared" si="0"/>
        <v>45412</v>
      </c>
      <c r="D13" s="297" t="s">
        <v>706</v>
      </c>
      <c r="E13" s="297"/>
      <c r="F13" s="343">
        <v>15000</v>
      </c>
      <c r="G13" s="343">
        <v>5500</v>
      </c>
      <c r="H13" s="343">
        <v>1200</v>
      </c>
      <c r="I13" s="343">
        <f t="shared" si="1"/>
        <v>21700</v>
      </c>
      <c r="J13" s="343">
        <v>0</v>
      </c>
      <c r="L13" s="9">
        <v>0</v>
      </c>
    </row>
    <row r="14" spans="1:12" ht="14.25" customHeight="1">
      <c r="A14" s="297">
        <v>13</v>
      </c>
      <c r="B14" s="341">
        <v>45409</v>
      </c>
      <c r="C14" s="342">
        <f t="shared" si="0"/>
        <v>45412</v>
      </c>
      <c r="D14" s="297" t="s">
        <v>706</v>
      </c>
      <c r="E14" s="297"/>
      <c r="F14" s="343">
        <v>15600</v>
      </c>
      <c r="G14" s="343">
        <v>0</v>
      </c>
      <c r="H14" s="343">
        <v>1200</v>
      </c>
      <c r="I14" s="343">
        <f t="shared" si="1"/>
        <v>16800</v>
      </c>
      <c r="J14" s="343">
        <v>0</v>
      </c>
      <c r="L14" s="9">
        <v>0</v>
      </c>
    </row>
    <row r="15" spans="1:12" ht="14.25" customHeight="1">
      <c r="A15" s="297">
        <v>14</v>
      </c>
      <c r="B15" s="341">
        <v>45416</v>
      </c>
      <c r="C15" s="342">
        <f t="shared" si="0"/>
        <v>45443</v>
      </c>
      <c r="D15" s="297" t="s">
        <v>706</v>
      </c>
      <c r="E15" s="297"/>
      <c r="F15" s="343">
        <v>15000</v>
      </c>
      <c r="G15" s="343">
        <v>4700</v>
      </c>
      <c r="H15" s="343">
        <v>520</v>
      </c>
      <c r="I15" s="343">
        <f t="shared" si="1"/>
        <v>20220</v>
      </c>
      <c r="J15" s="343">
        <v>0</v>
      </c>
      <c r="L15" s="9">
        <v>0</v>
      </c>
    </row>
    <row r="16" spans="1:12" ht="14.25" customHeight="1">
      <c r="A16" s="297">
        <v>15</v>
      </c>
      <c r="B16" s="341">
        <v>45421</v>
      </c>
      <c r="C16" s="342">
        <f t="shared" si="0"/>
        <v>45443</v>
      </c>
      <c r="D16" s="297" t="s">
        <v>625</v>
      </c>
      <c r="E16" s="297"/>
      <c r="F16" s="343">
        <v>5700</v>
      </c>
      <c r="G16" s="343">
        <v>0</v>
      </c>
      <c r="H16" s="343">
        <v>0</v>
      </c>
      <c r="I16" s="343">
        <f t="shared" si="1"/>
        <v>5700</v>
      </c>
      <c r="J16" s="343">
        <v>0</v>
      </c>
      <c r="K16" s="297" t="s">
        <v>709</v>
      </c>
      <c r="L16" s="9">
        <v>0</v>
      </c>
    </row>
    <row r="17" spans="1:12" ht="14.25" customHeight="1">
      <c r="A17" s="297">
        <v>16</v>
      </c>
      <c r="B17" s="341">
        <v>45426</v>
      </c>
      <c r="C17" s="342">
        <f t="shared" si="0"/>
        <v>45443</v>
      </c>
      <c r="D17" s="297" t="s">
        <v>625</v>
      </c>
      <c r="E17" s="297"/>
      <c r="F17" s="343">
        <v>300</v>
      </c>
      <c r="G17" s="343">
        <v>0</v>
      </c>
      <c r="H17" s="343">
        <v>0</v>
      </c>
      <c r="I17" s="343">
        <f t="shared" si="1"/>
        <v>300</v>
      </c>
      <c r="J17" s="343">
        <v>0</v>
      </c>
      <c r="K17" s="297" t="s">
        <v>710</v>
      </c>
      <c r="L17" s="9">
        <v>0</v>
      </c>
    </row>
    <row r="18" spans="1:12" ht="14.25" customHeight="1">
      <c r="A18" s="297">
        <v>17</v>
      </c>
      <c r="B18" s="341">
        <v>45428</v>
      </c>
      <c r="C18" s="342">
        <f t="shared" si="0"/>
        <v>45443</v>
      </c>
      <c r="D18" s="297" t="s">
        <v>625</v>
      </c>
      <c r="E18" s="297"/>
      <c r="F18" s="343">
        <v>500</v>
      </c>
      <c r="G18" s="343">
        <v>0</v>
      </c>
      <c r="H18" s="343">
        <v>0</v>
      </c>
      <c r="I18" s="343">
        <f t="shared" si="1"/>
        <v>500</v>
      </c>
      <c r="J18" s="343">
        <v>0</v>
      </c>
      <c r="K18" s="297" t="s">
        <v>711</v>
      </c>
      <c r="L18" s="9">
        <v>0</v>
      </c>
    </row>
    <row r="19" spans="1:12" ht="14.25" customHeight="1">
      <c r="A19" s="297">
        <v>18</v>
      </c>
      <c r="B19" s="341">
        <v>45429</v>
      </c>
      <c r="C19" s="342">
        <f t="shared" si="0"/>
        <v>45443</v>
      </c>
      <c r="D19" s="297" t="s">
        <v>625</v>
      </c>
      <c r="E19" s="297"/>
      <c r="F19" s="343">
        <v>1182</v>
      </c>
      <c r="G19" s="343">
        <v>0</v>
      </c>
      <c r="H19" s="343">
        <v>0</v>
      </c>
      <c r="I19" s="343">
        <f t="shared" si="1"/>
        <v>1182</v>
      </c>
      <c r="J19" s="343">
        <v>0</v>
      </c>
      <c r="K19" s="297" t="s">
        <v>712</v>
      </c>
      <c r="L19" s="9">
        <v>0</v>
      </c>
    </row>
    <row r="20" spans="1:12" ht="14.25" customHeight="1">
      <c r="A20" s="297">
        <v>19</v>
      </c>
      <c r="B20" s="341">
        <v>45430</v>
      </c>
      <c r="C20" s="342">
        <f t="shared" si="0"/>
        <v>45443</v>
      </c>
      <c r="D20" s="297" t="s">
        <v>706</v>
      </c>
      <c r="E20" s="297"/>
      <c r="F20" s="343">
        <v>15000</v>
      </c>
      <c r="G20" s="343">
        <v>0</v>
      </c>
      <c r="H20" s="343">
        <v>0</v>
      </c>
      <c r="I20" s="343">
        <f t="shared" si="1"/>
        <v>15000</v>
      </c>
      <c r="J20" s="343">
        <v>0</v>
      </c>
      <c r="L20" s="9">
        <v>0</v>
      </c>
    </row>
    <row r="21" spans="1:12" ht="14.25" customHeight="1">
      <c r="A21" s="297">
        <v>20</v>
      </c>
      <c r="B21" s="341">
        <v>45437</v>
      </c>
      <c r="C21" s="342">
        <f t="shared" si="0"/>
        <v>45443</v>
      </c>
      <c r="D21" s="297" t="s">
        <v>706</v>
      </c>
      <c r="E21" s="297"/>
      <c r="F21" s="343">
        <v>15000</v>
      </c>
      <c r="G21" s="343">
        <v>0</v>
      </c>
      <c r="H21" s="343">
        <v>0</v>
      </c>
      <c r="I21" s="343">
        <f t="shared" si="1"/>
        <v>15000</v>
      </c>
      <c r="J21" s="343">
        <v>0</v>
      </c>
      <c r="L21" s="9">
        <v>0</v>
      </c>
    </row>
    <row r="22" spans="1:12" ht="14.25" customHeight="1">
      <c r="A22" s="297">
        <v>21</v>
      </c>
      <c r="B22" s="341">
        <v>45441</v>
      </c>
      <c r="C22" s="342">
        <f t="shared" si="0"/>
        <v>45443</v>
      </c>
      <c r="D22" s="297" t="s">
        <v>625</v>
      </c>
      <c r="E22" s="297"/>
      <c r="F22" s="343">
        <v>300</v>
      </c>
      <c r="G22" s="343">
        <v>0</v>
      </c>
      <c r="H22" s="343">
        <v>0</v>
      </c>
      <c r="I22" s="343">
        <f t="shared" si="1"/>
        <v>300</v>
      </c>
      <c r="J22" s="343">
        <v>0</v>
      </c>
      <c r="K22" s="297" t="s">
        <v>713</v>
      </c>
      <c r="L22" s="9">
        <v>0</v>
      </c>
    </row>
    <row r="23" spans="1:12" ht="14.25" customHeight="1">
      <c r="A23" s="297">
        <v>22</v>
      </c>
      <c r="B23" s="341">
        <v>45444</v>
      </c>
      <c r="C23" s="342">
        <f t="shared" si="0"/>
        <v>45473</v>
      </c>
      <c r="D23" s="297" t="s">
        <v>706</v>
      </c>
      <c r="E23" s="297"/>
      <c r="F23" s="343">
        <v>15000</v>
      </c>
      <c r="G23" s="343">
        <v>0</v>
      </c>
      <c r="H23" s="343">
        <v>0</v>
      </c>
      <c r="I23" s="343">
        <f t="shared" si="1"/>
        <v>15000</v>
      </c>
      <c r="J23" s="343">
        <v>0</v>
      </c>
      <c r="L23" s="9">
        <v>0</v>
      </c>
    </row>
    <row r="24" spans="1:12" ht="14.25" customHeight="1">
      <c r="A24" s="297">
        <v>23</v>
      </c>
      <c r="B24" s="341">
        <v>45451</v>
      </c>
      <c r="C24" s="342">
        <f t="shared" si="0"/>
        <v>45473</v>
      </c>
      <c r="D24" s="297" t="s">
        <v>706</v>
      </c>
      <c r="E24" s="297"/>
      <c r="F24" s="343">
        <v>15000</v>
      </c>
      <c r="G24" s="343">
        <v>0</v>
      </c>
      <c r="H24" s="343">
        <v>0</v>
      </c>
      <c r="I24" s="343">
        <f t="shared" si="1"/>
        <v>15000</v>
      </c>
      <c r="J24" s="343">
        <v>0</v>
      </c>
      <c r="L24" s="9">
        <v>0</v>
      </c>
    </row>
    <row r="25" spans="1:12" ht="14.25" customHeight="1">
      <c r="A25" s="297">
        <v>24</v>
      </c>
      <c r="B25" s="341">
        <v>45458</v>
      </c>
      <c r="C25" s="342">
        <f t="shared" si="0"/>
        <v>45473</v>
      </c>
      <c r="D25" s="297" t="s">
        <v>706</v>
      </c>
      <c r="E25" s="297"/>
      <c r="F25" s="343">
        <v>18000</v>
      </c>
      <c r="G25" s="343">
        <v>0</v>
      </c>
      <c r="H25" s="343">
        <v>0</v>
      </c>
      <c r="I25" s="343">
        <f t="shared" si="1"/>
        <v>18000</v>
      </c>
      <c r="J25" s="343">
        <v>0</v>
      </c>
      <c r="L25" s="9">
        <v>0</v>
      </c>
    </row>
    <row r="26" spans="1:12" ht="14.25" customHeight="1">
      <c r="A26" s="297">
        <v>25</v>
      </c>
      <c r="B26" s="341">
        <v>45465</v>
      </c>
      <c r="C26" s="342">
        <f t="shared" si="0"/>
        <v>45473</v>
      </c>
      <c r="D26" s="297" t="s">
        <v>706</v>
      </c>
      <c r="E26" s="297"/>
      <c r="F26" s="343">
        <v>15000</v>
      </c>
      <c r="G26" s="343">
        <v>0</v>
      </c>
      <c r="H26" s="343">
        <v>0</v>
      </c>
      <c r="I26" s="343">
        <f t="shared" si="1"/>
        <v>15000</v>
      </c>
      <c r="J26" s="343">
        <v>0</v>
      </c>
      <c r="L26" s="9">
        <v>0</v>
      </c>
    </row>
    <row r="27" spans="1:12" ht="14.25" customHeight="1">
      <c r="A27" s="297">
        <v>26</v>
      </c>
      <c r="B27" s="341">
        <v>45466</v>
      </c>
      <c r="C27" s="342">
        <f t="shared" si="0"/>
        <v>45473</v>
      </c>
      <c r="D27" s="297" t="s">
        <v>625</v>
      </c>
      <c r="E27" s="297"/>
      <c r="F27" s="343">
        <v>1000</v>
      </c>
      <c r="G27" s="343">
        <v>0</v>
      </c>
      <c r="H27" s="343">
        <v>0</v>
      </c>
      <c r="I27" s="343">
        <f t="shared" si="1"/>
        <v>1000</v>
      </c>
      <c r="J27" s="343">
        <v>0</v>
      </c>
      <c r="K27" s="297" t="s">
        <v>714</v>
      </c>
      <c r="L27" s="9">
        <v>0</v>
      </c>
    </row>
    <row r="28" spans="1:12" ht="14.25" customHeight="1">
      <c r="A28" s="297">
        <v>27</v>
      </c>
      <c r="B28" s="341">
        <v>45472</v>
      </c>
      <c r="C28" s="342">
        <f t="shared" si="0"/>
        <v>45473</v>
      </c>
      <c r="D28" s="297" t="s">
        <v>706</v>
      </c>
      <c r="E28" s="297"/>
      <c r="F28" s="343">
        <v>18000</v>
      </c>
      <c r="G28" s="343">
        <v>3800</v>
      </c>
      <c r="H28" s="343">
        <v>1248</v>
      </c>
      <c r="I28" s="343">
        <f t="shared" si="1"/>
        <v>23048</v>
      </c>
      <c r="J28" s="343">
        <v>0</v>
      </c>
      <c r="L28" s="9">
        <v>0</v>
      </c>
    </row>
    <row r="29" spans="1:12" ht="14.25" customHeight="1">
      <c r="A29" s="297">
        <v>28</v>
      </c>
      <c r="B29" s="341">
        <v>45493</v>
      </c>
      <c r="C29" s="342">
        <f t="shared" si="0"/>
        <v>45504</v>
      </c>
      <c r="D29" s="297" t="s">
        <v>706</v>
      </c>
      <c r="E29" s="297"/>
      <c r="F29" s="343">
        <v>14000</v>
      </c>
      <c r="G29" s="343">
        <v>5100</v>
      </c>
      <c r="H29" s="343">
        <v>1079.67</v>
      </c>
      <c r="I29" s="343">
        <f t="shared" si="1"/>
        <v>20179.669999999998</v>
      </c>
      <c r="J29" s="343">
        <v>0</v>
      </c>
      <c r="L29" s="9">
        <v>0</v>
      </c>
    </row>
    <row r="30" spans="1:12" ht="14.25" customHeight="1">
      <c r="A30" s="297">
        <v>29</v>
      </c>
      <c r="B30" s="341">
        <v>45556</v>
      </c>
      <c r="C30" s="342">
        <f t="shared" si="0"/>
        <v>45565</v>
      </c>
      <c r="D30" s="297" t="s">
        <v>706</v>
      </c>
      <c r="E30" s="297"/>
      <c r="F30" s="343">
        <v>18000</v>
      </c>
      <c r="G30" s="343">
        <v>2184</v>
      </c>
      <c r="H30" s="343">
        <v>1450</v>
      </c>
      <c r="I30" s="343">
        <f t="shared" si="1"/>
        <v>21634</v>
      </c>
      <c r="J30" s="343">
        <v>0</v>
      </c>
      <c r="L30" s="9">
        <v>0</v>
      </c>
    </row>
    <row r="31" spans="1:12" ht="14.25" customHeight="1">
      <c r="A31" s="297">
        <v>30</v>
      </c>
      <c r="B31" s="341">
        <v>45557</v>
      </c>
      <c r="C31" s="342">
        <f t="shared" si="0"/>
        <v>45565</v>
      </c>
      <c r="D31" s="297" t="s">
        <v>706</v>
      </c>
      <c r="E31" s="297"/>
      <c r="F31" s="343">
        <v>10000</v>
      </c>
      <c r="G31" s="343">
        <v>0</v>
      </c>
      <c r="H31" s="343">
        <v>0</v>
      </c>
      <c r="I31" s="343">
        <f t="shared" si="1"/>
        <v>10000</v>
      </c>
      <c r="J31" s="343">
        <v>0</v>
      </c>
      <c r="L31" s="9">
        <v>0</v>
      </c>
    </row>
    <row r="32" spans="1:12" ht="14.25" customHeight="1">
      <c r="A32" s="297">
        <v>31</v>
      </c>
      <c r="B32" s="341">
        <v>45568</v>
      </c>
      <c r="C32" s="342">
        <f t="shared" si="0"/>
        <v>45596</v>
      </c>
      <c r="D32" s="297" t="s">
        <v>625</v>
      </c>
      <c r="E32" s="297"/>
      <c r="F32" s="343">
        <v>7600</v>
      </c>
      <c r="G32" s="343">
        <v>0</v>
      </c>
      <c r="H32" s="343">
        <v>0</v>
      </c>
      <c r="I32" s="343">
        <f t="shared" si="1"/>
        <v>7600</v>
      </c>
      <c r="J32" s="343">
        <v>0</v>
      </c>
      <c r="K32" s="297" t="s">
        <v>709</v>
      </c>
      <c r="L32" s="9">
        <v>0</v>
      </c>
    </row>
    <row r="33" spans="1:12" ht="14.25" customHeight="1">
      <c r="A33" s="297">
        <v>32</v>
      </c>
      <c r="B33" s="341">
        <v>45571</v>
      </c>
      <c r="C33" s="342">
        <f t="shared" si="0"/>
        <v>45596</v>
      </c>
      <c r="D33" s="297" t="s">
        <v>625</v>
      </c>
      <c r="E33" s="297"/>
      <c r="F33" s="343">
        <v>156</v>
      </c>
      <c r="G33" s="343">
        <v>0</v>
      </c>
      <c r="H33" s="343">
        <v>0</v>
      </c>
      <c r="I33" s="343">
        <f t="shared" si="1"/>
        <v>156</v>
      </c>
      <c r="J33" s="343">
        <v>0</v>
      </c>
      <c r="K33" s="297" t="s">
        <v>715</v>
      </c>
      <c r="L33" s="9">
        <v>0</v>
      </c>
    </row>
    <row r="34" spans="1:12" ht="14.25" customHeight="1">
      <c r="A34" s="297">
        <v>33</v>
      </c>
      <c r="B34" s="341">
        <v>45580</v>
      </c>
      <c r="C34" s="342">
        <f t="shared" si="0"/>
        <v>45596</v>
      </c>
      <c r="D34" s="297" t="s">
        <v>625</v>
      </c>
      <c r="E34" s="297"/>
      <c r="F34" s="343">
        <v>5800</v>
      </c>
      <c r="G34" s="343">
        <v>0</v>
      </c>
      <c r="H34" s="343">
        <v>0</v>
      </c>
      <c r="I34" s="343">
        <f t="shared" si="1"/>
        <v>5800</v>
      </c>
      <c r="J34" s="343">
        <v>0</v>
      </c>
      <c r="K34" s="297" t="s">
        <v>709</v>
      </c>
      <c r="L34" s="9">
        <v>0</v>
      </c>
    </row>
    <row r="35" spans="1:12" ht="14.25" customHeight="1">
      <c r="A35" s="297">
        <v>34</v>
      </c>
      <c r="B35" s="341">
        <v>45584</v>
      </c>
      <c r="C35" s="342">
        <f t="shared" si="0"/>
        <v>45596</v>
      </c>
      <c r="D35" s="297" t="s">
        <v>706</v>
      </c>
      <c r="E35" s="297"/>
      <c r="F35" s="343">
        <v>15000</v>
      </c>
      <c r="G35" s="343">
        <v>5376</v>
      </c>
      <c r="H35" s="343">
        <v>832</v>
      </c>
      <c r="I35" s="343">
        <f t="shared" si="1"/>
        <v>21208</v>
      </c>
      <c r="J35" s="343">
        <v>0</v>
      </c>
      <c r="L35" s="9">
        <v>0</v>
      </c>
    </row>
    <row r="36" spans="1:12" ht="14.25" customHeight="1">
      <c r="A36" s="297">
        <v>35</v>
      </c>
      <c r="B36" s="341">
        <v>45585</v>
      </c>
      <c r="C36" s="342">
        <f t="shared" si="0"/>
        <v>45596</v>
      </c>
      <c r="D36" s="297" t="s">
        <v>625</v>
      </c>
      <c r="E36" s="297"/>
      <c r="F36" s="343">
        <v>800</v>
      </c>
      <c r="G36" s="343">
        <v>0</v>
      </c>
      <c r="H36" s="343">
        <v>0</v>
      </c>
      <c r="I36" s="343">
        <f t="shared" si="1"/>
        <v>800</v>
      </c>
      <c r="J36" s="343">
        <v>0</v>
      </c>
      <c r="K36" s="297" t="s">
        <v>716</v>
      </c>
      <c r="L36" s="9">
        <v>0</v>
      </c>
    </row>
    <row r="37" spans="1:12" ht="14.25" customHeight="1">
      <c r="A37" s="297">
        <v>36</v>
      </c>
      <c r="B37" s="341">
        <v>45591</v>
      </c>
      <c r="C37" s="342">
        <f t="shared" si="0"/>
        <v>45596</v>
      </c>
      <c r="D37" s="297" t="s">
        <v>706</v>
      </c>
      <c r="E37" s="297"/>
      <c r="F37" s="343">
        <v>15000</v>
      </c>
      <c r="G37" s="343">
        <v>5000</v>
      </c>
      <c r="H37" s="343">
        <v>1200</v>
      </c>
      <c r="I37" s="343">
        <f t="shared" si="1"/>
        <v>21200</v>
      </c>
      <c r="J37" s="343">
        <v>0</v>
      </c>
      <c r="L37" s="9">
        <v>0</v>
      </c>
    </row>
    <row r="38" spans="1:12" ht="14.25" customHeight="1">
      <c r="A38" s="297">
        <v>37</v>
      </c>
      <c r="B38" s="341">
        <v>45604</v>
      </c>
      <c r="C38" s="342">
        <f t="shared" si="0"/>
        <v>45626</v>
      </c>
      <c r="D38" s="297" t="s">
        <v>625</v>
      </c>
      <c r="E38" s="297"/>
      <c r="F38" s="343">
        <v>600</v>
      </c>
      <c r="G38" s="343">
        <v>0</v>
      </c>
      <c r="H38" s="343">
        <v>0</v>
      </c>
      <c r="I38" s="343">
        <f t="shared" si="1"/>
        <v>600</v>
      </c>
      <c r="J38" s="343">
        <v>0</v>
      </c>
      <c r="K38" s="297" t="s">
        <v>717</v>
      </c>
      <c r="L38" s="9">
        <v>0</v>
      </c>
    </row>
    <row r="39" spans="1:12" ht="14.25" customHeight="1">
      <c r="A39" s="297">
        <v>38</v>
      </c>
      <c r="B39" s="341">
        <v>45627</v>
      </c>
      <c r="C39" s="342">
        <f t="shared" si="0"/>
        <v>45657</v>
      </c>
      <c r="D39" s="297" t="s">
        <v>625</v>
      </c>
      <c r="E39" s="297"/>
      <c r="F39" s="343">
        <v>1200</v>
      </c>
      <c r="G39" s="343">
        <v>0</v>
      </c>
      <c r="H39" s="343">
        <v>0</v>
      </c>
      <c r="I39" s="343">
        <f t="shared" si="1"/>
        <v>1200</v>
      </c>
      <c r="J39" s="343">
        <v>0</v>
      </c>
      <c r="K39" s="297" t="s">
        <v>718</v>
      </c>
      <c r="L39" s="9">
        <v>0</v>
      </c>
    </row>
    <row r="40" spans="1:12" ht="14.25" customHeight="1">
      <c r="A40" s="297">
        <v>39</v>
      </c>
      <c r="B40" s="341">
        <v>45632</v>
      </c>
      <c r="C40" s="342">
        <f t="shared" si="0"/>
        <v>45657</v>
      </c>
      <c r="D40" s="297" t="s">
        <v>625</v>
      </c>
      <c r="E40" s="297"/>
      <c r="F40" s="343">
        <v>2225</v>
      </c>
      <c r="G40" s="343">
        <v>0</v>
      </c>
      <c r="H40" s="343">
        <v>0</v>
      </c>
      <c r="I40" s="343">
        <f t="shared" si="1"/>
        <v>2225</v>
      </c>
      <c r="J40" s="343">
        <v>0</v>
      </c>
      <c r="K40" s="297" t="s">
        <v>719</v>
      </c>
      <c r="L40" s="9">
        <v>0</v>
      </c>
    </row>
    <row r="41" spans="1:12" ht="14.25" customHeight="1">
      <c r="A41" s="297">
        <v>40</v>
      </c>
      <c r="B41" s="341">
        <v>45633</v>
      </c>
      <c r="C41" s="342">
        <f t="shared" si="0"/>
        <v>45657</v>
      </c>
      <c r="D41" s="297" t="s">
        <v>625</v>
      </c>
      <c r="E41" s="297"/>
      <c r="F41" s="343">
        <v>1400</v>
      </c>
      <c r="G41" s="343">
        <v>0</v>
      </c>
      <c r="H41" s="343">
        <v>0</v>
      </c>
      <c r="I41" s="343">
        <f t="shared" si="1"/>
        <v>1400</v>
      </c>
      <c r="J41" s="343">
        <v>0</v>
      </c>
      <c r="K41" s="297" t="s">
        <v>719</v>
      </c>
      <c r="L41" s="9">
        <v>0</v>
      </c>
    </row>
    <row r="42" spans="1:12" ht="14.25" customHeight="1">
      <c r="A42" s="297">
        <v>41</v>
      </c>
      <c r="B42" s="341">
        <v>45639</v>
      </c>
      <c r="C42" s="342">
        <f t="shared" si="0"/>
        <v>45657</v>
      </c>
      <c r="D42" s="297" t="s">
        <v>625</v>
      </c>
      <c r="E42" s="297"/>
      <c r="F42" s="343">
        <v>2300</v>
      </c>
      <c r="G42" s="343">
        <v>0</v>
      </c>
      <c r="H42" s="343">
        <v>0</v>
      </c>
      <c r="I42" s="343">
        <f t="shared" si="1"/>
        <v>2300</v>
      </c>
      <c r="J42" s="343">
        <v>0</v>
      </c>
      <c r="K42" s="297" t="s">
        <v>719</v>
      </c>
      <c r="L42" s="9">
        <v>0</v>
      </c>
    </row>
    <row r="43" spans="1:12" ht="14.25" customHeight="1">
      <c r="A43" s="297">
        <v>42</v>
      </c>
      <c r="B43" s="341">
        <v>45640</v>
      </c>
      <c r="C43" s="342">
        <f t="shared" si="0"/>
        <v>45657</v>
      </c>
      <c r="D43" s="297" t="s">
        <v>625</v>
      </c>
      <c r="E43" s="297"/>
      <c r="F43" s="343">
        <v>1470</v>
      </c>
      <c r="G43" s="343">
        <v>0</v>
      </c>
      <c r="H43" s="343">
        <v>0</v>
      </c>
      <c r="I43" s="343">
        <f t="shared" si="1"/>
        <v>1470</v>
      </c>
      <c r="J43" s="343">
        <v>0</v>
      </c>
      <c r="K43" s="297" t="s">
        <v>720</v>
      </c>
      <c r="L43" s="9">
        <v>0</v>
      </c>
    </row>
    <row r="44" spans="1:12" ht="14.25" customHeight="1">
      <c r="A44" s="297">
        <v>43</v>
      </c>
      <c r="B44" s="341">
        <v>45641</v>
      </c>
      <c r="C44" s="342">
        <f t="shared" si="0"/>
        <v>45657</v>
      </c>
      <c r="D44" s="297" t="s">
        <v>625</v>
      </c>
      <c r="E44" s="297"/>
      <c r="F44" s="343">
        <v>1300</v>
      </c>
      <c r="G44" s="343">
        <v>0</v>
      </c>
      <c r="H44" s="343">
        <v>0</v>
      </c>
      <c r="I44" s="343">
        <f t="shared" si="1"/>
        <v>1300</v>
      </c>
      <c r="J44" s="343">
        <v>0</v>
      </c>
      <c r="K44" s="297" t="s">
        <v>719</v>
      </c>
      <c r="L44" s="9">
        <v>0</v>
      </c>
    </row>
    <row r="45" spans="1:12" ht="14.25" customHeight="1">
      <c r="A45" s="297">
        <v>44</v>
      </c>
      <c r="B45" s="341">
        <v>45700</v>
      </c>
      <c r="C45" s="342">
        <f t="shared" si="0"/>
        <v>45716</v>
      </c>
      <c r="D45" s="297" t="s">
        <v>625</v>
      </c>
      <c r="E45" s="297"/>
      <c r="F45" s="343">
        <v>2415</v>
      </c>
      <c r="G45" s="343">
        <v>0</v>
      </c>
      <c r="H45" s="343">
        <v>0</v>
      </c>
      <c r="I45" s="343">
        <f t="shared" si="1"/>
        <v>2415</v>
      </c>
      <c r="J45" s="343">
        <v>0</v>
      </c>
      <c r="K45" s="297" t="s">
        <v>709</v>
      </c>
      <c r="L45" s="9">
        <v>0</v>
      </c>
    </row>
    <row r="46" spans="1:12" ht="14.25" customHeight="1">
      <c r="A46" s="297">
        <v>45</v>
      </c>
      <c r="B46" s="341">
        <v>45724</v>
      </c>
      <c r="C46" s="342">
        <f t="shared" si="0"/>
        <v>45747</v>
      </c>
      <c r="D46" s="297" t="s">
        <v>706</v>
      </c>
      <c r="E46" s="297"/>
      <c r="F46" s="343">
        <v>18000</v>
      </c>
      <c r="G46" s="343">
        <v>5000</v>
      </c>
      <c r="H46" s="343">
        <v>0</v>
      </c>
      <c r="I46" s="343">
        <f t="shared" si="1"/>
        <v>23000</v>
      </c>
      <c r="J46" s="343">
        <v>0</v>
      </c>
      <c r="L46" s="9">
        <v>0</v>
      </c>
    </row>
    <row r="47" spans="1:12" ht="14.25" customHeight="1">
      <c r="A47" s="297">
        <v>46</v>
      </c>
      <c r="B47" s="341">
        <v>45728</v>
      </c>
      <c r="C47" s="342">
        <f t="shared" si="0"/>
        <v>45747</v>
      </c>
      <c r="D47" s="297" t="s">
        <v>625</v>
      </c>
      <c r="E47" s="297"/>
      <c r="F47" s="343">
        <v>7350</v>
      </c>
      <c r="G47" s="343">
        <v>0</v>
      </c>
      <c r="H47" s="343">
        <v>0</v>
      </c>
      <c r="I47" s="343">
        <f t="shared" si="1"/>
        <v>7350</v>
      </c>
      <c r="J47" s="343">
        <v>0</v>
      </c>
      <c r="K47" s="297" t="s">
        <v>721</v>
      </c>
      <c r="L47" s="9">
        <v>0</v>
      </c>
    </row>
    <row r="48" spans="1:12" ht="14.25" customHeight="1">
      <c r="A48" s="297">
        <v>47</v>
      </c>
      <c r="B48" s="341">
        <v>45742</v>
      </c>
      <c r="C48" s="342">
        <f t="shared" si="0"/>
        <v>45747</v>
      </c>
      <c r="D48" s="297" t="s">
        <v>625</v>
      </c>
      <c r="E48" s="297"/>
      <c r="F48" s="343">
        <v>300</v>
      </c>
      <c r="G48" s="343">
        <v>0</v>
      </c>
      <c r="H48" s="343">
        <v>0</v>
      </c>
      <c r="I48" s="343">
        <f t="shared" si="1"/>
        <v>300</v>
      </c>
      <c r="J48" s="343">
        <v>0</v>
      </c>
      <c r="K48" s="297" t="s">
        <v>722</v>
      </c>
      <c r="L48" s="9">
        <v>0</v>
      </c>
    </row>
    <row r="49" spans="1:12" ht="14.25" customHeight="1">
      <c r="A49" s="297">
        <v>48</v>
      </c>
      <c r="B49" s="341">
        <v>45745</v>
      </c>
      <c r="C49" s="342">
        <f t="shared" si="0"/>
        <v>45747</v>
      </c>
      <c r="D49" s="297" t="s">
        <v>625</v>
      </c>
      <c r="E49" s="297"/>
      <c r="F49" s="343">
        <v>600</v>
      </c>
      <c r="G49" s="343">
        <v>0</v>
      </c>
      <c r="H49" s="343">
        <v>0</v>
      </c>
      <c r="I49" s="343">
        <f t="shared" si="1"/>
        <v>600</v>
      </c>
      <c r="J49" s="343">
        <v>0</v>
      </c>
      <c r="K49" s="297" t="s">
        <v>723</v>
      </c>
      <c r="L49" s="9">
        <v>0</v>
      </c>
    </row>
    <row r="50" spans="1:12" ht="14.25" customHeight="1">
      <c r="A50" s="297">
        <v>49</v>
      </c>
      <c r="B50" s="341">
        <v>45746</v>
      </c>
      <c r="C50" s="342">
        <f t="shared" si="0"/>
        <v>45747</v>
      </c>
      <c r="D50" s="297" t="s">
        <v>625</v>
      </c>
      <c r="E50" s="297"/>
      <c r="F50" s="343">
        <v>300</v>
      </c>
      <c r="G50" s="343">
        <v>0</v>
      </c>
      <c r="H50" s="343">
        <v>0</v>
      </c>
      <c r="I50" s="343">
        <f t="shared" si="1"/>
        <v>300</v>
      </c>
      <c r="J50" s="343">
        <v>0</v>
      </c>
      <c r="K50" s="297" t="s">
        <v>724</v>
      </c>
      <c r="L50" s="9">
        <v>0</v>
      </c>
    </row>
    <row r="51" spans="1:12" ht="14.25" customHeight="1">
      <c r="A51" s="297">
        <v>50</v>
      </c>
      <c r="B51" s="341">
        <v>45752</v>
      </c>
      <c r="C51" s="342">
        <f t="shared" si="0"/>
        <v>45777</v>
      </c>
      <c r="D51" s="297" t="s">
        <v>706</v>
      </c>
      <c r="E51" s="297"/>
      <c r="F51" s="343">
        <v>18000</v>
      </c>
      <c r="G51" s="343">
        <v>5600</v>
      </c>
      <c r="H51" s="343">
        <v>0</v>
      </c>
      <c r="I51" s="343">
        <f t="shared" si="1"/>
        <v>23600</v>
      </c>
      <c r="J51" s="343">
        <v>0</v>
      </c>
      <c r="L51" s="9">
        <v>0</v>
      </c>
    </row>
    <row r="52" spans="1:12" ht="14.25" customHeight="1">
      <c r="A52" s="297">
        <v>51</v>
      </c>
      <c r="B52" s="341">
        <v>45758</v>
      </c>
      <c r="C52" s="342">
        <f t="shared" si="0"/>
        <v>45777</v>
      </c>
      <c r="D52" s="297" t="s">
        <v>625</v>
      </c>
      <c r="E52" s="297"/>
      <c r="F52" s="343">
        <v>1000</v>
      </c>
      <c r="G52" s="343">
        <v>0</v>
      </c>
      <c r="H52" s="343">
        <v>0</v>
      </c>
      <c r="I52" s="343">
        <f t="shared" si="1"/>
        <v>1000</v>
      </c>
      <c r="J52" s="343">
        <v>0</v>
      </c>
      <c r="K52" s="297" t="s">
        <v>725</v>
      </c>
      <c r="L52" s="9">
        <v>0</v>
      </c>
    </row>
    <row r="53" spans="1:12" ht="14.25" customHeight="1">
      <c r="A53" s="297">
        <v>52</v>
      </c>
      <c r="B53" s="341">
        <v>45766</v>
      </c>
      <c r="C53" s="342">
        <f t="shared" si="0"/>
        <v>45777</v>
      </c>
      <c r="D53" s="297" t="s">
        <v>706</v>
      </c>
      <c r="E53" s="297"/>
      <c r="F53" s="343">
        <v>18000</v>
      </c>
      <c r="G53" s="343">
        <v>4700</v>
      </c>
      <c r="H53" s="343">
        <v>1248</v>
      </c>
      <c r="I53" s="343">
        <f t="shared" si="1"/>
        <v>23948</v>
      </c>
      <c r="J53" s="343">
        <v>0</v>
      </c>
      <c r="L53" s="9">
        <v>0</v>
      </c>
    </row>
    <row r="54" spans="1:12" ht="14.25" customHeight="1">
      <c r="A54" s="297">
        <v>53</v>
      </c>
      <c r="B54" s="341">
        <v>45773</v>
      </c>
      <c r="C54" s="342">
        <f t="shared" si="0"/>
        <v>45777</v>
      </c>
      <c r="D54" s="297" t="s">
        <v>706</v>
      </c>
      <c r="E54" s="297"/>
      <c r="F54" s="343">
        <v>18000</v>
      </c>
      <c r="G54" s="343">
        <v>5800</v>
      </c>
      <c r="H54" s="343">
        <v>0</v>
      </c>
      <c r="I54" s="343">
        <f t="shared" si="1"/>
        <v>23800</v>
      </c>
      <c r="J54" s="343">
        <v>0</v>
      </c>
      <c r="L54" s="9">
        <v>0</v>
      </c>
    </row>
    <row r="55" spans="1:12" ht="14.25" customHeight="1">
      <c r="A55" s="297">
        <v>54</v>
      </c>
      <c r="B55" s="341">
        <v>45774</v>
      </c>
      <c r="C55" s="342">
        <f t="shared" si="0"/>
        <v>45777</v>
      </c>
      <c r="D55" s="297" t="s">
        <v>625</v>
      </c>
      <c r="E55" s="297"/>
      <c r="F55" s="343">
        <v>1200</v>
      </c>
      <c r="G55" s="343">
        <v>0</v>
      </c>
      <c r="H55" s="343">
        <v>0</v>
      </c>
      <c r="I55" s="343">
        <f t="shared" si="1"/>
        <v>1200</v>
      </c>
      <c r="J55" s="343">
        <v>0</v>
      </c>
      <c r="K55" s="297" t="s">
        <v>726</v>
      </c>
      <c r="L55" s="9">
        <v>0</v>
      </c>
    </row>
    <row r="56" spans="1:12" ht="14.25" customHeight="1">
      <c r="A56" s="297">
        <v>55</v>
      </c>
      <c r="B56" s="341">
        <v>45779</v>
      </c>
      <c r="C56" s="342">
        <f t="shared" si="0"/>
        <v>45808</v>
      </c>
      <c r="D56" s="297" t="s">
        <v>625</v>
      </c>
      <c r="E56" s="297"/>
      <c r="F56" s="343">
        <v>750</v>
      </c>
      <c r="G56" s="343">
        <v>0</v>
      </c>
      <c r="H56" s="343">
        <v>0</v>
      </c>
      <c r="I56" s="343">
        <f t="shared" si="1"/>
        <v>750</v>
      </c>
      <c r="J56" s="343">
        <v>0</v>
      </c>
      <c r="K56" s="297" t="s">
        <v>712</v>
      </c>
      <c r="L56" s="9">
        <v>0</v>
      </c>
    </row>
    <row r="57" spans="1:12" ht="14.25" customHeight="1">
      <c r="A57" s="297">
        <v>56</v>
      </c>
      <c r="B57" s="341">
        <v>45780</v>
      </c>
      <c r="C57" s="342">
        <f t="shared" si="0"/>
        <v>45808</v>
      </c>
      <c r="D57" s="297" t="s">
        <v>706</v>
      </c>
      <c r="E57" s="297"/>
      <c r="F57" s="343">
        <v>18000</v>
      </c>
      <c r="G57" s="343">
        <v>5800</v>
      </c>
      <c r="H57" s="343">
        <v>0</v>
      </c>
      <c r="I57" s="343">
        <f t="shared" si="1"/>
        <v>23800</v>
      </c>
      <c r="J57" s="343">
        <v>0</v>
      </c>
      <c r="L57" s="9">
        <v>0</v>
      </c>
    </row>
    <row r="58" spans="1:12" ht="14.25" customHeight="1">
      <c r="A58" s="297">
        <v>57</v>
      </c>
      <c r="B58" s="341">
        <v>45781</v>
      </c>
      <c r="C58" s="342">
        <f t="shared" si="0"/>
        <v>45808</v>
      </c>
      <c r="D58" s="297" t="s">
        <v>625</v>
      </c>
      <c r="E58" s="297"/>
      <c r="F58" s="343">
        <v>1300</v>
      </c>
      <c r="G58" s="343">
        <v>0</v>
      </c>
      <c r="H58" s="343">
        <v>0</v>
      </c>
      <c r="I58" s="343">
        <f t="shared" si="1"/>
        <v>1300</v>
      </c>
      <c r="J58" s="343">
        <v>0</v>
      </c>
      <c r="K58" s="297" t="s">
        <v>711</v>
      </c>
      <c r="L58" s="9">
        <v>0</v>
      </c>
    </row>
    <row r="59" spans="1:12" ht="14.25" customHeight="1">
      <c r="A59" s="297">
        <v>58</v>
      </c>
      <c r="B59" s="341">
        <v>45784</v>
      </c>
      <c r="C59" s="342">
        <f t="shared" si="0"/>
        <v>45808</v>
      </c>
      <c r="D59" s="297" t="s">
        <v>625</v>
      </c>
      <c r="E59" s="297"/>
      <c r="F59" s="343">
        <v>7566</v>
      </c>
      <c r="G59" s="343">
        <v>0</v>
      </c>
      <c r="H59" s="343">
        <v>0</v>
      </c>
      <c r="I59" s="343">
        <f t="shared" si="1"/>
        <v>7566</v>
      </c>
      <c r="J59" s="343">
        <v>0</v>
      </c>
      <c r="K59" s="297" t="s">
        <v>709</v>
      </c>
      <c r="L59" s="9">
        <v>0</v>
      </c>
    </row>
    <row r="60" spans="1:12" ht="14.25" customHeight="1">
      <c r="A60" s="297">
        <v>59</v>
      </c>
      <c r="B60" s="341">
        <v>45789</v>
      </c>
      <c r="C60" s="342">
        <f t="shared" si="0"/>
        <v>45808</v>
      </c>
      <c r="D60" s="297" t="s">
        <v>625</v>
      </c>
      <c r="E60" s="297"/>
      <c r="F60" s="343">
        <v>1200</v>
      </c>
      <c r="G60" s="343">
        <v>0</v>
      </c>
      <c r="H60" s="343">
        <v>0</v>
      </c>
      <c r="I60" s="343">
        <f t="shared" si="1"/>
        <v>1200</v>
      </c>
      <c r="J60" s="343">
        <v>0</v>
      </c>
      <c r="K60" s="297" t="s">
        <v>711</v>
      </c>
      <c r="L60" s="9">
        <v>0</v>
      </c>
    </row>
    <row r="61" spans="1:12" ht="14.25" customHeight="1">
      <c r="A61" s="297">
        <v>60</v>
      </c>
      <c r="B61" s="341">
        <v>45790</v>
      </c>
      <c r="C61" s="342">
        <f t="shared" si="0"/>
        <v>45808</v>
      </c>
      <c r="D61" s="297" t="s">
        <v>625</v>
      </c>
      <c r="E61" s="297"/>
      <c r="F61" s="343">
        <v>1200</v>
      </c>
      <c r="G61" s="343">
        <v>0</v>
      </c>
      <c r="H61" s="343">
        <v>0</v>
      </c>
      <c r="I61" s="343">
        <f t="shared" si="1"/>
        <v>1200</v>
      </c>
      <c r="J61" s="343">
        <v>0</v>
      </c>
      <c r="K61" s="297" t="s">
        <v>711</v>
      </c>
      <c r="L61" s="9">
        <v>0</v>
      </c>
    </row>
    <row r="62" spans="1:12" ht="14.25" customHeight="1">
      <c r="A62" s="297">
        <v>61</v>
      </c>
      <c r="B62" s="341">
        <v>45794</v>
      </c>
      <c r="C62" s="342">
        <f t="shared" si="0"/>
        <v>45808</v>
      </c>
      <c r="D62" s="297" t="s">
        <v>706</v>
      </c>
      <c r="E62" s="297"/>
      <c r="F62" s="343">
        <v>18000</v>
      </c>
      <c r="G62" s="343">
        <v>12600</v>
      </c>
      <c r="H62" s="343">
        <v>1701.09</v>
      </c>
      <c r="I62" s="343">
        <f t="shared" si="1"/>
        <v>32301.09</v>
      </c>
      <c r="J62" s="343">
        <v>0</v>
      </c>
      <c r="L62" s="9">
        <v>0</v>
      </c>
    </row>
    <row r="63" spans="1:12" ht="14.25" customHeight="1">
      <c r="A63" s="297">
        <v>62</v>
      </c>
      <c r="B63" s="341">
        <v>45795</v>
      </c>
      <c r="C63" s="342">
        <f t="shared" si="0"/>
        <v>45808</v>
      </c>
      <c r="D63" s="297" t="s">
        <v>625</v>
      </c>
      <c r="E63" s="297"/>
      <c r="F63" s="343">
        <v>1200</v>
      </c>
      <c r="G63" s="343">
        <v>0</v>
      </c>
      <c r="H63" s="343">
        <v>0</v>
      </c>
      <c r="I63" s="343">
        <f t="shared" si="1"/>
        <v>1200</v>
      </c>
      <c r="J63" s="343">
        <v>0</v>
      </c>
      <c r="K63" s="297" t="s">
        <v>711</v>
      </c>
      <c r="L63" s="9">
        <v>0</v>
      </c>
    </row>
    <row r="64" spans="1:12" ht="14.25" customHeight="1">
      <c r="A64" s="297">
        <v>63</v>
      </c>
      <c r="B64" s="341">
        <v>45796</v>
      </c>
      <c r="C64" s="342">
        <f t="shared" si="0"/>
        <v>45808</v>
      </c>
      <c r="D64" s="297" t="s">
        <v>625</v>
      </c>
      <c r="E64" s="297"/>
      <c r="F64" s="343">
        <v>1200</v>
      </c>
      <c r="G64" s="343">
        <v>0</v>
      </c>
      <c r="H64" s="343">
        <v>0</v>
      </c>
      <c r="I64" s="343">
        <f t="shared" si="1"/>
        <v>1200</v>
      </c>
      <c r="J64" s="343">
        <v>0</v>
      </c>
      <c r="K64" s="297" t="s">
        <v>711</v>
      </c>
      <c r="L64" s="9">
        <v>0</v>
      </c>
    </row>
    <row r="65" spans="1:12" ht="14.25" customHeight="1">
      <c r="A65" s="297">
        <v>64</v>
      </c>
      <c r="B65" s="341">
        <v>45800</v>
      </c>
      <c r="C65" s="342">
        <f t="shared" si="0"/>
        <v>45808</v>
      </c>
      <c r="D65" s="297" t="s">
        <v>625</v>
      </c>
      <c r="E65" s="297"/>
      <c r="F65" s="343">
        <v>50</v>
      </c>
      <c r="G65" s="343">
        <v>0</v>
      </c>
      <c r="H65" s="343">
        <v>0</v>
      </c>
      <c r="I65" s="343">
        <f t="shared" si="1"/>
        <v>50</v>
      </c>
      <c r="J65" s="343">
        <v>0</v>
      </c>
      <c r="K65" s="297" t="s">
        <v>727</v>
      </c>
      <c r="L65" s="9">
        <v>0</v>
      </c>
    </row>
    <row r="66" spans="1:12" ht="14.25" customHeight="1">
      <c r="A66" s="297">
        <v>65</v>
      </c>
      <c r="B66" s="341">
        <v>45801</v>
      </c>
      <c r="C66" s="342">
        <f t="shared" si="0"/>
        <v>45808</v>
      </c>
      <c r="D66" s="297" t="s">
        <v>706</v>
      </c>
      <c r="E66" s="297"/>
      <c r="F66" s="343">
        <v>18000</v>
      </c>
      <c r="G66" s="343">
        <v>3950</v>
      </c>
      <c r="H66" s="343">
        <v>1510.92</v>
      </c>
      <c r="I66" s="343">
        <f t="shared" si="1"/>
        <v>23460.92</v>
      </c>
      <c r="J66" s="343">
        <v>0</v>
      </c>
      <c r="L66" s="9">
        <v>0</v>
      </c>
    </row>
    <row r="67" spans="1:12" ht="14.25" customHeight="1">
      <c r="A67" s="297">
        <v>66</v>
      </c>
      <c r="B67" s="341">
        <v>45808</v>
      </c>
      <c r="C67" s="342">
        <f t="shared" si="0"/>
        <v>45808</v>
      </c>
      <c r="D67" s="297" t="s">
        <v>706</v>
      </c>
      <c r="E67" s="297"/>
      <c r="F67" s="343">
        <v>18000</v>
      </c>
      <c r="G67" s="343">
        <v>0</v>
      </c>
      <c r="H67" s="343">
        <v>1200</v>
      </c>
      <c r="I67" s="343">
        <f t="shared" si="1"/>
        <v>19200</v>
      </c>
      <c r="J67" s="343">
        <v>0</v>
      </c>
      <c r="L67" s="9">
        <v>0</v>
      </c>
    </row>
    <row r="68" spans="1:12" ht="14.25" customHeight="1">
      <c r="A68" s="297">
        <v>67</v>
      </c>
      <c r="B68" s="341">
        <v>45815</v>
      </c>
      <c r="C68" s="342">
        <f t="shared" si="0"/>
        <v>45838</v>
      </c>
      <c r="D68" s="297" t="s">
        <v>706</v>
      </c>
      <c r="E68" s="297"/>
      <c r="F68" s="343">
        <v>18000</v>
      </c>
      <c r="G68" s="343">
        <v>0</v>
      </c>
      <c r="H68" s="343">
        <v>0</v>
      </c>
      <c r="I68" s="343">
        <f t="shared" si="1"/>
        <v>18000</v>
      </c>
      <c r="J68" s="343">
        <v>0</v>
      </c>
      <c r="L68" s="9">
        <v>0</v>
      </c>
    </row>
    <row r="69" spans="1:12" ht="14.25" customHeight="1">
      <c r="A69" s="297">
        <v>68</v>
      </c>
      <c r="B69" s="341">
        <v>45822</v>
      </c>
      <c r="C69" s="342">
        <f t="shared" si="0"/>
        <v>45838</v>
      </c>
      <c r="D69" s="297" t="s">
        <v>706</v>
      </c>
      <c r="E69" s="297"/>
      <c r="F69" s="343">
        <v>18000</v>
      </c>
      <c r="G69" s="343">
        <v>5700</v>
      </c>
      <c r="H69" s="343">
        <v>0</v>
      </c>
      <c r="I69" s="343">
        <f t="shared" si="1"/>
        <v>23700</v>
      </c>
      <c r="J69" s="343">
        <v>0</v>
      </c>
      <c r="L69" s="9">
        <v>0</v>
      </c>
    </row>
    <row r="70" spans="1:12" ht="14.25" customHeight="1">
      <c r="A70" s="297">
        <v>69</v>
      </c>
      <c r="B70" s="341">
        <v>45829</v>
      </c>
      <c r="C70" s="342">
        <f t="shared" si="0"/>
        <v>45838</v>
      </c>
      <c r="D70" s="297" t="s">
        <v>706</v>
      </c>
      <c r="E70" s="297"/>
      <c r="F70" s="343">
        <v>18000</v>
      </c>
      <c r="G70" s="343">
        <v>1000</v>
      </c>
      <c r="H70" s="343">
        <v>3114</v>
      </c>
      <c r="I70" s="343">
        <f t="shared" si="1"/>
        <v>22114</v>
      </c>
      <c r="J70" s="343">
        <v>0</v>
      </c>
      <c r="L70" s="9">
        <v>0</v>
      </c>
    </row>
    <row r="71" spans="1:12" ht="14.25" customHeight="1">
      <c r="A71" s="297">
        <v>70</v>
      </c>
      <c r="B71" s="341">
        <v>45831</v>
      </c>
      <c r="C71" s="342">
        <f t="shared" si="0"/>
        <v>45838</v>
      </c>
      <c r="D71" s="297" t="s">
        <v>625</v>
      </c>
      <c r="E71" s="297"/>
      <c r="F71" s="343">
        <v>150</v>
      </c>
      <c r="G71" s="343">
        <v>0</v>
      </c>
      <c r="H71" s="343">
        <v>0</v>
      </c>
      <c r="I71" s="343">
        <f t="shared" si="1"/>
        <v>150</v>
      </c>
      <c r="J71" s="343">
        <v>0</v>
      </c>
      <c r="K71" s="297" t="s">
        <v>727</v>
      </c>
      <c r="L71" s="9">
        <v>0</v>
      </c>
    </row>
    <row r="72" spans="1:12" ht="14.25" customHeight="1">
      <c r="A72" s="297">
        <v>71</v>
      </c>
      <c r="B72" s="341">
        <v>45836</v>
      </c>
      <c r="C72" s="342">
        <f t="shared" si="0"/>
        <v>45838</v>
      </c>
      <c r="D72" s="297" t="s">
        <v>706</v>
      </c>
      <c r="E72" s="297"/>
      <c r="F72" s="343">
        <v>18000</v>
      </c>
      <c r="G72" s="343">
        <v>8350</v>
      </c>
      <c r="H72" s="343">
        <v>0</v>
      </c>
      <c r="I72" s="343">
        <f t="shared" si="1"/>
        <v>26350</v>
      </c>
      <c r="J72" s="343">
        <v>0</v>
      </c>
      <c r="L72" s="9">
        <v>0</v>
      </c>
    </row>
    <row r="73" spans="1:12" ht="14.25" customHeight="1">
      <c r="A73" s="297">
        <v>72</v>
      </c>
      <c r="B73" s="341">
        <v>45850</v>
      </c>
      <c r="C73" s="342">
        <f t="shared" si="0"/>
        <v>45869</v>
      </c>
      <c r="D73" s="297" t="s">
        <v>625</v>
      </c>
      <c r="E73" s="297"/>
      <c r="F73" s="343">
        <v>1300</v>
      </c>
      <c r="G73" s="343">
        <v>0</v>
      </c>
      <c r="H73" s="343">
        <v>0</v>
      </c>
      <c r="I73" s="343">
        <f t="shared" si="1"/>
        <v>1300</v>
      </c>
      <c r="J73" s="343">
        <v>0</v>
      </c>
      <c r="K73" s="297" t="s">
        <v>728</v>
      </c>
      <c r="L73" s="9">
        <v>0</v>
      </c>
    </row>
    <row r="74" spans="1:12" ht="14.25" customHeight="1">
      <c r="A74" s="297">
        <v>73</v>
      </c>
      <c r="B74" s="341">
        <v>45850</v>
      </c>
      <c r="C74" s="342">
        <f t="shared" si="0"/>
        <v>45869</v>
      </c>
      <c r="D74" s="297" t="s">
        <v>625</v>
      </c>
      <c r="E74" s="297"/>
      <c r="F74" s="343">
        <v>1300</v>
      </c>
      <c r="G74" s="343">
        <v>0</v>
      </c>
      <c r="H74" s="343">
        <v>0</v>
      </c>
      <c r="I74" s="343">
        <f t="shared" si="1"/>
        <v>1300</v>
      </c>
      <c r="J74" s="343">
        <v>0</v>
      </c>
      <c r="K74" s="297" t="s">
        <v>729</v>
      </c>
      <c r="L74" s="9">
        <v>0</v>
      </c>
    </row>
    <row r="75" spans="1:12" ht="14.25" customHeight="1">
      <c r="A75" s="297">
        <v>74</v>
      </c>
      <c r="B75" s="341">
        <v>45857</v>
      </c>
      <c r="C75" s="342">
        <f t="shared" si="0"/>
        <v>45869</v>
      </c>
      <c r="D75" s="297" t="s">
        <v>625</v>
      </c>
      <c r="E75" s="297"/>
      <c r="F75" s="343">
        <v>1200</v>
      </c>
      <c r="G75" s="343">
        <v>0</v>
      </c>
      <c r="H75" s="343">
        <v>0</v>
      </c>
      <c r="I75" s="343">
        <f t="shared" si="1"/>
        <v>1200</v>
      </c>
      <c r="J75" s="343">
        <v>0</v>
      </c>
      <c r="K75" s="297" t="s">
        <v>730</v>
      </c>
      <c r="L75" s="9">
        <v>0</v>
      </c>
    </row>
    <row r="76" spans="1:12" ht="14.25" customHeight="1">
      <c r="A76" s="297">
        <v>75</v>
      </c>
      <c r="B76" s="341">
        <v>45878</v>
      </c>
      <c r="C76" s="342">
        <f t="shared" si="0"/>
        <v>45900</v>
      </c>
      <c r="D76" s="297" t="s">
        <v>625</v>
      </c>
      <c r="E76" s="297"/>
      <c r="F76" s="343">
        <v>600</v>
      </c>
      <c r="G76" s="343">
        <v>0</v>
      </c>
      <c r="H76" s="343">
        <v>0</v>
      </c>
      <c r="I76" s="343">
        <f t="shared" si="1"/>
        <v>600</v>
      </c>
      <c r="J76" s="343">
        <v>0</v>
      </c>
      <c r="K76" s="297" t="s">
        <v>731</v>
      </c>
      <c r="L76" s="9">
        <v>0</v>
      </c>
    </row>
    <row r="77" spans="1:12" ht="14.25" customHeight="1">
      <c r="A77" s="297">
        <v>76</v>
      </c>
      <c r="B77" s="341">
        <v>45886</v>
      </c>
      <c r="C77" s="342">
        <f t="shared" si="0"/>
        <v>45900</v>
      </c>
      <c r="D77" s="297" t="s">
        <v>625</v>
      </c>
      <c r="E77" s="297"/>
      <c r="F77" s="343">
        <v>1200</v>
      </c>
      <c r="G77" s="343">
        <v>0</v>
      </c>
      <c r="H77" s="343">
        <v>0</v>
      </c>
      <c r="I77" s="343">
        <f t="shared" si="1"/>
        <v>1200</v>
      </c>
      <c r="J77" s="343">
        <v>0</v>
      </c>
      <c r="K77" s="297" t="s">
        <v>716</v>
      </c>
      <c r="L77" s="9">
        <v>0</v>
      </c>
    </row>
    <row r="78" spans="1:12" ht="14.25" customHeight="1">
      <c r="A78" s="297">
        <v>77</v>
      </c>
      <c r="B78" s="341">
        <v>45905</v>
      </c>
      <c r="C78" s="342">
        <f t="shared" si="0"/>
        <v>45930</v>
      </c>
      <c r="D78" s="297" t="s">
        <v>625</v>
      </c>
      <c r="E78" s="297"/>
      <c r="F78" s="343">
        <v>1600</v>
      </c>
      <c r="G78" s="343">
        <v>0</v>
      </c>
      <c r="H78" s="343">
        <v>0</v>
      </c>
      <c r="I78" s="343">
        <f t="shared" si="1"/>
        <v>1600</v>
      </c>
      <c r="J78" s="343">
        <v>0</v>
      </c>
      <c r="K78" s="297" t="s">
        <v>726</v>
      </c>
      <c r="L78" s="9">
        <v>0</v>
      </c>
    </row>
    <row r="79" spans="1:12" ht="14.25" customHeight="1">
      <c r="A79" s="297">
        <v>78</v>
      </c>
      <c r="B79" s="341">
        <v>45920</v>
      </c>
      <c r="C79" s="342">
        <f t="shared" si="0"/>
        <v>45930</v>
      </c>
      <c r="D79" s="297" t="s">
        <v>625</v>
      </c>
      <c r="E79" s="297"/>
      <c r="F79" s="343">
        <v>600</v>
      </c>
      <c r="G79" s="343">
        <v>0</v>
      </c>
      <c r="H79" s="343">
        <v>0</v>
      </c>
      <c r="I79" s="343">
        <f t="shared" si="1"/>
        <v>600</v>
      </c>
      <c r="J79" s="343">
        <v>0</v>
      </c>
      <c r="K79" s="297" t="s">
        <v>731</v>
      </c>
      <c r="L79" s="9">
        <v>0</v>
      </c>
    </row>
    <row r="80" spans="1:12" ht="14.25" customHeight="1">
      <c r="A80" s="297">
        <v>79</v>
      </c>
      <c r="B80" s="341">
        <v>45933</v>
      </c>
      <c r="C80" s="342">
        <f t="shared" si="0"/>
        <v>45961</v>
      </c>
      <c r="D80" s="297" t="s">
        <v>706</v>
      </c>
      <c r="E80" s="297"/>
      <c r="F80" s="343">
        <v>18000</v>
      </c>
      <c r="G80" s="343">
        <v>4100</v>
      </c>
      <c r="H80" s="343">
        <v>500</v>
      </c>
      <c r="I80" s="343">
        <f t="shared" si="1"/>
        <v>22600</v>
      </c>
      <c r="J80" s="343">
        <v>0</v>
      </c>
      <c r="L80" s="9">
        <v>0</v>
      </c>
    </row>
    <row r="81" spans="1:12" ht="14.25" customHeight="1">
      <c r="A81" s="297">
        <v>80</v>
      </c>
      <c r="B81" s="341">
        <v>45941</v>
      </c>
      <c r="C81" s="342">
        <f t="shared" si="0"/>
        <v>45961</v>
      </c>
      <c r="D81" s="297" t="s">
        <v>706</v>
      </c>
      <c r="E81" s="297"/>
      <c r="F81" s="343">
        <v>15000</v>
      </c>
      <c r="G81" s="343">
        <v>1000</v>
      </c>
      <c r="H81" s="343">
        <v>2816.5</v>
      </c>
      <c r="I81" s="343">
        <f t="shared" si="1"/>
        <v>18816.5</v>
      </c>
      <c r="J81" s="343">
        <v>0</v>
      </c>
      <c r="L81" s="9">
        <v>0</v>
      </c>
    </row>
    <row r="82" spans="1:12" ht="14.25" customHeight="1">
      <c r="A82" s="297">
        <v>81</v>
      </c>
      <c r="B82" s="341">
        <v>45953</v>
      </c>
      <c r="C82" s="342">
        <f t="shared" si="0"/>
        <v>45961</v>
      </c>
      <c r="D82" s="297" t="s">
        <v>625</v>
      </c>
      <c r="E82" s="297"/>
      <c r="F82" s="343">
        <v>150</v>
      </c>
      <c r="G82" s="343">
        <v>0</v>
      </c>
      <c r="H82" s="343">
        <v>0</v>
      </c>
      <c r="I82" s="343">
        <f t="shared" si="1"/>
        <v>150</v>
      </c>
      <c r="J82" s="343">
        <v>0</v>
      </c>
      <c r="K82" s="297" t="s">
        <v>727</v>
      </c>
      <c r="L82" s="9">
        <v>0</v>
      </c>
    </row>
    <row r="83" spans="1:12" ht="14.25" customHeight="1">
      <c r="A83" s="297">
        <v>82</v>
      </c>
      <c r="B83" s="341">
        <v>45955</v>
      </c>
      <c r="C83" s="342">
        <f t="shared" si="0"/>
        <v>45961</v>
      </c>
      <c r="D83" s="297" t="s">
        <v>706</v>
      </c>
      <c r="E83" s="297"/>
      <c r="F83" s="343">
        <v>12480</v>
      </c>
      <c r="G83" s="343">
        <v>0</v>
      </c>
      <c r="H83" s="343">
        <v>1200</v>
      </c>
      <c r="I83" s="343">
        <f t="shared" si="1"/>
        <v>13680</v>
      </c>
      <c r="J83" s="343">
        <v>0</v>
      </c>
      <c r="L83" s="9">
        <v>0</v>
      </c>
    </row>
    <row r="84" spans="1:12" ht="14.25" customHeight="1">
      <c r="A84" s="297">
        <v>83</v>
      </c>
      <c r="B84" s="341">
        <v>45969</v>
      </c>
      <c r="C84" s="342">
        <f t="shared" si="0"/>
        <v>45991</v>
      </c>
      <c r="D84" s="297" t="s">
        <v>706</v>
      </c>
      <c r="E84" s="297"/>
      <c r="F84" s="343">
        <v>15000</v>
      </c>
      <c r="G84" s="343">
        <v>4200</v>
      </c>
      <c r="H84" s="343">
        <v>2000</v>
      </c>
      <c r="I84" s="343">
        <f t="shared" si="1"/>
        <v>21200</v>
      </c>
      <c r="J84" s="343">
        <v>0</v>
      </c>
      <c r="L84" s="9">
        <v>0</v>
      </c>
    </row>
    <row r="85" spans="1:12" ht="14.25" customHeight="1">
      <c r="A85" s="297">
        <v>84</v>
      </c>
      <c r="B85" s="341">
        <v>45970</v>
      </c>
      <c r="C85" s="342">
        <f t="shared" si="0"/>
        <v>45991</v>
      </c>
      <c r="D85" s="297" t="s">
        <v>625</v>
      </c>
      <c r="E85" s="297"/>
      <c r="F85" s="343">
        <v>1200</v>
      </c>
      <c r="G85" s="343">
        <v>0</v>
      </c>
      <c r="H85" s="343">
        <v>0</v>
      </c>
      <c r="I85" s="343">
        <f t="shared" si="1"/>
        <v>1200</v>
      </c>
      <c r="J85" s="343">
        <v>0</v>
      </c>
      <c r="K85" s="297" t="s">
        <v>732</v>
      </c>
      <c r="L85" s="9">
        <v>0</v>
      </c>
    </row>
    <row r="86" spans="1:12" ht="14.25" customHeight="1">
      <c r="A86" s="297">
        <v>85</v>
      </c>
      <c r="B86" s="341">
        <v>45974</v>
      </c>
      <c r="C86" s="342">
        <f t="shared" si="0"/>
        <v>45991</v>
      </c>
      <c r="D86" s="297" t="s">
        <v>625</v>
      </c>
      <c r="E86" s="297"/>
      <c r="F86" s="343">
        <v>6263.63</v>
      </c>
      <c r="G86" s="343">
        <v>0</v>
      </c>
      <c r="H86" s="343">
        <v>0</v>
      </c>
      <c r="I86" s="343">
        <f t="shared" si="1"/>
        <v>6263.63</v>
      </c>
      <c r="J86" s="343">
        <v>0</v>
      </c>
      <c r="K86" s="297" t="s">
        <v>733</v>
      </c>
      <c r="L86" s="9">
        <v>0</v>
      </c>
    </row>
    <row r="87" spans="1:12" ht="14.25" customHeight="1">
      <c r="A87" s="297">
        <v>86</v>
      </c>
      <c r="B87" s="341">
        <v>46046</v>
      </c>
      <c r="C87" s="342">
        <f t="shared" si="0"/>
        <v>46053</v>
      </c>
      <c r="D87" s="297" t="s">
        <v>706</v>
      </c>
      <c r="E87" s="297"/>
      <c r="F87" s="343">
        <v>16000</v>
      </c>
      <c r="G87" s="343">
        <v>5900</v>
      </c>
      <c r="H87" s="343">
        <v>0</v>
      </c>
      <c r="I87" s="343">
        <f t="shared" si="1"/>
        <v>21900</v>
      </c>
      <c r="J87" s="343">
        <v>0</v>
      </c>
      <c r="L87" s="9">
        <v>0</v>
      </c>
    </row>
    <row r="88" spans="1:12" ht="14.25" customHeight="1">
      <c r="A88" s="297">
        <v>87</v>
      </c>
      <c r="B88" s="341">
        <v>46060</v>
      </c>
      <c r="C88" s="342">
        <f t="shared" si="0"/>
        <v>46081</v>
      </c>
      <c r="D88" s="297" t="s">
        <v>625</v>
      </c>
      <c r="E88" s="297"/>
      <c r="F88" s="343">
        <v>600</v>
      </c>
      <c r="G88" s="343">
        <v>0</v>
      </c>
      <c r="H88" s="343">
        <v>0</v>
      </c>
      <c r="I88" s="343">
        <f t="shared" si="1"/>
        <v>600</v>
      </c>
      <c r="J88" s="343">
        <v>0</v>
      </c>
      <c r="K88" s="297" t="s">
        <v>679</v>
      </c>
      <c r="L88" s="9">
        <v>0</v>
      </c>
    </row>
    <row r="89" spans="1:12" ht="14.25" customHeight="1">
      <c r="A89" s="297">
        <v>88</v>
      </c>
      <c r="B89" s="341">
        <v>46088</v>
      </c>
      <c r="C89" s="342">
        <f t="shared" si="0"/>
        <v>46112</v>
      </c>
      <c r="D89" s="297" t="s">
        <v>706</v>
      </c>
      <c r="E89" s="297"/>
      <c r="F89" s="343">
        <v>18000</v>
      </c>
      <c r="G89" s="343">
        <v>4100</v>
      </c>
      <c r="H89" s="343">
        <v>1700</v>
      </c>
      <c r="I89" s="343">
        <f t="shared" si="1"/>
        <v>23800</v>
      </c>
      <c r="J89" s="343">
        <v>0</v>
      </c>
      <c r="L89" s="9">
        <v>0</v>
      </c>
    </row>
    <row r="90" spans="1:12" ht="14.25" customHeight="1">
      <c r="A90" s="297">
        <v>89</v>
      </c>
      <c r="B90" s="341">
        <v>46089</v>
      </c>
      <c r="C90" s="342">
        <f t="shared" si="0"/>
        <v>46112</v>
      </c>
      <c r="D90" s="297" t="s">
        <v>625</v>
      </c>
      <c r="E90" s="297"/>
      <c r="F90" s="343">
        <v>1700</v>
      </c>
      <c r="G90" s="343">
        <v>0</v>
      </c>
      <c r="H90" s="343">
        <v>0</v>
      </c>
      <c r="I90" s="343">
        <f t="shared" si="1"/>
        <v>1700</v>
      </c>
      <c r="J90" s="343">
        <v>0</v>
      </c>
      <c r="K90" s="297" t="s">
        <v>734</v>
      </c>
      <c r="L90" s="9">
        <v>0</v>
      </c>
    </row>
    <row r="91" spans="1:12" ht="14.25" customHeight="1">
      <c r="A91" s="297">
        <v>90</v>
      </c>
      <c r="B91" s="341">
        <v>46095</v>
      </c>
      <c r="C91" s="342">
        <f t="shared" si="0"/>
        <v>46112</v>
      </c>
      <c r="D91" s="297" t="s">
        <v>706</v>
      </c>
      <c r="E91" s="297"/>
      <c r="F91" s="343">
        <v>18000</v>
      </c>
      <c r="G91" s="343">
        <v>0</v>
      </c>
      <c r="H91" s="343">
        <v>0</v>
      </c>
      <c r="I91" s="343">
        <f t="shared" si="1"/>
        <v>18000</v>
      </c>
      <c r="J91" s="343">
        <v>0</v>
      </c>
      <c r="L91" s="9">
        <v>0</v>
      </c>
    </row>
    <row r="92" spans="1:12" ht="14.25" customHeight="1">
      <c r="A92" s="297">
        <v>91</v>
      </c>
      <c r="B92" s="341">
        <v>46109</v>
      </c>
      <c r="C92" s="342">
        <f t="shared" si="0"/>
        <v>46112</v>
      </c>
      <c r="D92" s="297" t="s">
        <v>706</v>
      </c>
      <c r="E92" s="297"/>
      <c r="F92" s="343">
        <v>18000</v>
      </c>
      <c r="G92" s="343">
        <v>0</v>
      </c>
      <c r="H92" s="343">
        <v>0</v>
      </c>
      <c r="I92" s="343">
        <f t="shared" si="1"/>
        <v>18000</v>
      </c>
      <c r="J92" s="343">
        <v>0</v>
      </c>
      <c r="L92" s="9">
        <v>0</v>
      </c>
    </row>
    <row r="93" spans="1:12" ht="14.25" customHeight="1">
      <c r="A93" s="297">
        <v>92</v>
      </c>
      <c r="B93" s="341">
        <v>46121</v>
      </c>
      <c r="C93" s="342">
        <f t="shared" si="0"/>
        <v>46142</v>
      </c>
      <c r="D93" s="297" t="s">
        <v>706</v>
      </c>
      <c r="E93" s="297"/>
      <c r="F93" s="343">
        <v>7000</v>
      </c>
      <c r="G93" s="343">
        <v>0</v>
      </c>
      <c r="H93" s="343">
        <v>1000</v>
      </c>
      <c r="I93" s="343">
        <f t="shared" si="1"/>
        <v>8000</v>
      </c>
      <c r="J93" s="343">
        <v>0</v>
      </c>
      <c r="L93" s="9">
        <v>0</v>
      </c>
    </row>
    <row r="94" spans="1:12" ht="14.25" customHeight="1">
      <c r="A94" s="297">
        <v>93</v>
      </c>
      <c r="B94" s="341">
        <v>46123</v>
      </c>
      <c r="C94" s="342">
        <f t="shared" si="0"/>
        <v>46142</v>
      </c>
      <c r="D94" s="297" t="s">
        <v>706</v>
      </c>
      <c r="E94" s="297"/>
      <c r="F94" s="343">
        <v>18500</v>
      </c>
      <c r="G94" s="343">
        <v>5800</v>
      </c>
      <c r="H94" s="343">
        <v>1950</v>
      </c>
      <c r="I94" s="343">
        <f t="shared" si="1"/>
        <v>26250</v>
      </c>
      <c r="J94" s="343">
        <v>0</v>
      </c>
      <c r="L94" s="9">
        <v>0</v>
      </c>
    </row>
    <row r="95" spans="1:12" ht="14.25" customHeight="1">
      <c r="A95" s="297">
        <v>94</v>
      </c>
      <c r="B95" s="341">
        <v>46124</v>
      </c>
      <c r="C95" s="342">
        <f t="shared" si="0"/>
        <v>46142</v>
      </c>
      <c r="D95" s="297" t="s">
        <v>706</v>
      </c>
      <c r="E95" s="297"/>
      <c r="F95" s="343">
        <v>16500</v>
      </c>
      <c r="G95" s="343">
        <v>0</v>
      </c>
      <c r="H95" s="343">
        <v>0</v>
      </c>
      <c r="I95" s="343">
        <f t="shared" si="1"/>
        <v>16500</v>
      </c>
      <c r="J95" s="343">
        <v>0</v>
      </c>
      <c r="L95" s="9">
        <v>0</v>
      </c>
    </row>
    <row r="96" spans="1:12" ht="14.25" customHeight="1">
      <c r="A96" s="297">
        <v>95</v>
      </c>
      <c r="B96" s="341">
        <v>46130</v>
      </c>
      <c r="C96" s="342">
        <f t="shared" si="0"/>
        <v>46142</v>
      </c>
      <c r="D96" s="297" t="s">
        <v>706</v>
      </c>
      <c r="E96" s="297"/>
      <c r="F96" s="343">
        <v>18000</v>
      </c>
      <c r="G96" s="343">
        <v>0</v>
      </c>
      <c r="H96" s="343">
        <v>1450</v>
      </c>
      <c r="I96" s="343">
        <f t="shared" si="1"/>
        <v>19450</v>
      </c>
      <c r="J96" s="343">
        <v>0</v>
      </c>
      <c r="L96" s="9">
        <v>0</v>
      </c>
    </row>
    <row r="97" spans="1:12" ht="14.25" customHeight="1">
      <c r="A97" s="297">
        <v>96</v>
      </c>
      <c r="B97" s="341">
        <v>46137</v>
      </c>
      <c r="C97" s="342">
        <f t="shared" si="0"/>
        <v>46142</v>
      </c>
      <c r="D97" s="297" t="s">
        <v>706</v>
      </c>
      <c r="E97" s="297"/>
      <c r="F97" s="343">
        <v>18000</v>
      </c>
      <c r="G97" s="343">
        <v>5100</v>
      </c>
      <c r="H97" s="343">
        <v>0</v>
      </c>
      <c r="I97" s="343">
        <f t="shared" si="1"/>
        <v>23100</v>
      </c>
      <c r="J97" s="343">
        <v>0</v>
      </c>
      <c r="L97" s="9">
        <v>0</v>
      </c>
    </row>
    <row r="98" spans="1:12" ht="14.25" customHeight="1">
      <c r="A98" s="297">
        <v>97</v>
      </c>
      <c r="B98" s="341">
        <v>46144</v>
      </c>
      <c r="C98" s="342">
        <f t="shared" si="0"/>
        <v>46173</v>
      </c>
      <c r="D98" s="297" t="s">
        <v>706</v>
      </c>
      <c r="E98" s="297"/>
      <c r="F98" s="343">
        <v>18500</v>
      </c>
      <c r="G98" s="343">
        <v>4100</v>
      </c>
      <c r="H98" s="343">
        <v>850</v>
      </c>
      <c r="I98" s="343">
        <f t="shared" si="1"/>
        <v>23450</v>
      </c>
      <c r="J98" s="343">
        <v>0</v>
      </c>
      <c r="K98" s="297" t="s">
        <v>628</v>
      </c>
      <c r="L98" s="9">
        <v>0</v>
      </c>
    </row>
    <row r="99" spans="1:12" ht="14.25" customHeight="1">
      <c r="A99" s="297">
        <v>98</v>
      </c>
      <c r="B99" s="341">
        <v>46149</v>
      </c>
      <c r="C99" s="342">
        <f t="shared" si="0"/>
        <v>46173</v>
      </c>
      <c r="D99" s="297" t="s">
        <v>706</v>
      </c>
      <c r="E99" s="297"/>
      <c r="F99" s="343">
        <v>11800</v>
      </c>
      <c r="G99" s="343">
        <v>800</v>
      </c>
      <c r="H99" s="343">
        <v>0</v>
      </c>
      <c r="I99" s="343">
        <f t="shared" si="1"/>
        <v>12600</v>
      </c>
      <c r="J99" s="343">
        <v>0</v>
      </c>
      <c r="L99" s="9">
        <v>0</v>
      </c>
    </row>
    <row r="100" spans="1:12" ht="14.25" customHeight="1">
      <c r="A100" s="297">
        <v>99</v>
      </c>
      <c r="B100" s="341">
        <v>46151</v>
      </c>
      <c r="C100" s="342">
        <f t="shared" si="0"/>
        <v>46173</v>
      </c>
      <c r="D100" s="297" t="s">
        <v>706</v>
      </c>
      <c r="E100" s="297"/>
      <c r="F100" s="343">
        <v>20000</v>
      </c>
      <c r="G100" s="343">
        <v>5200</v>
      </c>
      <c r="H100" s="343">
        <v>1450</v>
      </c>
      <c r="I100" s="343">
        <f t="shared" si="1"/>
        <v>26650</v>
      </c>
      <c r="J100" s="343">
        <v>0</v>
      </c>
      <c r="K100" s="297" t="s">
        <v>628</v>
      </c>
      <c r="L100" s="9">
        <v>0</v>
      </c>
    </row>
    <row r="101" spans="1:12" ht="14.25" customHeight="1">
      <c r="A101" s="297">
        <v>100</v>
      </c>
      <c r="B101" s="341">
        <v>46152</v>
      </c>
      <c r="C101" s="342">
        <f t="shared" si="0"/>
        <v>46173</v>
      </c>
      <c r="D101" s="297" t="s">
        <v>625</v>
      </c>
      <c r="E101" s="297"/>
      <c r="F101" s="343">
        <v>500</v>
      </c>
      <c r="G101" s="343">
        <v>0</v>
      </c>
      <c r="H101" s="343">
        <v>0</v>
      </c>
      <c r="I101" s="343">
        <f t="shared" si="1"/>
        <v>500</v>
      </c>
      <c r="J101" s="343">
        <v>0</v>
      </c>
      <c r="K101" s="297" t="s">
        <v>735</v>
      </c>
      <c r="L101" s="9">
        <v>0</v>
      </c>
    </row>
    <row r="102" spans="1:12" ht="14.25" customHeight="1">
      <c r="A102" s="297">
        <v>101</v>
      </c>
      <c r="B102" s="341">
        <v>46155</v>
      </c>
      <c r="C102" s="342">
        <f t="shared" si="0"/>
        <v>46173</v>
      </c>
      <c r="D102" s="297" t="s">
        <v>625</v>
      </c>
      <c r="E102" s="297"/>
      <c r="F102" s="343">
        <v>1950</v>
      </c>
      <c r="G102" s="343">
        <v>0</v>
      </c>
      <c r="H102" s="343">
        <v>0</v>
      </c>
      <c r="I102" s="343">
        <f t="shared" si="1"/>
        <v>1950</v>
      </c>
      <c r="J102" s="343">
        <v>0</v>
      </c>
      <c r="K102" s="297" t="s">
        <v>735</v>
      </c>
      <c r="L102" s="9">
        <v>0</v>
      </c>
    </row>
    <row r="103" spans="1:12" ht="14.25" customHeight="1">
      <c r="A103" s="297">
        <v>102</v>
      </c>
      <c r="B103" s="341">
        <v>46158</v>
      </c>
      <c r="C103" s="342">
        <f t="shared" si="0"/>
        <v>46173</v>
      </c>
      <c r="D103" s="297" t="s">
        <v>706</v>
      </c>
      <c r="E103" s="297"/>
      <c r="F103" s="343">
        <v>18000</v>
      </c>
      <c r="G103" s="343">
        <v>8400</v>
      </c>
      <c r="H103" s="343">
        <v>500</v>
      </c>
      <c r="I103" s="343">
        <f t="shared" si="1"/>
        <v>26900</v>
      </c>
      <c r="J103" s="343">
        <v>0</v>
      </c>
      <c r="L103" s="9">
        <v>0</v>
      </c>
    </row>
    <row r="104" spans="1:12" ht="14.25" customHeight="1">
      <c r="A104" s="297">
        <v>103</v>
      </c>
      <c r="B104" s="341">
        <v>46165</v>
      </c>
      <c r="C104" s="342">
        <f t="shared" si="0"/>
        <v>46173</v>
      </c>
      <c r="D104" s="297" t="s">
        <v>706</v>
      </c>
      <c r="E104" s="297"/>
      <c r="F104" s="343">
        <v>16650</v>
      </c>
      <c r="G104" s="343">
        <v>0</v>
      </c>
      <c r="H104" s="343">
        <v>1500</v>
      </c>
      <c r="I104" s="343">
        <f t="shared" si="1"/>
        <v>18150</v>
      </c>
      <c r="J104" s="343">
        <v>0</v>
      </c>
      <c r="K104" s="297" t="s">
        <v>629</v>
      </c>
      <c r="L104" s="9">
        <v>0</v>
      </c>
    </row>
    <row r="105" spans="1:12" ht="14.25" customHeight="1">
      <c r="A105" s="297">
        <v>104</v>
      </c>
      <c r="B105" s="341">
        <v>46166</v>
      </c>
      <c r="C105" s="342">
        <f t="shared" si="0"/>
        <v>46173</v>
      </c>
      <c r="D105" s="297" t="s">
        <v>625</v>
      </c>
      <c r="E105" s="297"/>
      <c r="F105" s="343">
        <v>1200</v>
      </c>
      <c r="G105" s="343">
        <v>0</v>
      </c>
      <c r="H105" s="343">
        <v>0</v>
      </c>
      <c r="I105" s="343">
        <f t="shared" si="1"/>
        <v>1200</v>
      </c>
      <c r="J105" s="343">
        <v>0</v>
      </c>
      <c r="K105" s="297" t="s">
        <v>735</v>
      </c>
      <c r="L105" s="9">
        <v>0</v>
      </c>
    </row>
    <row r="106" spans="1:12" ht="14.25" customHeight="1">
      <c r="A106" s="297">
        <v>105</v>
      </c>
      <c r="B106" s="341">
        <v>46172</v>
      </c>
      <c r="C106" s="342">
        <f t="shared" si="0"/>
        <v>46173</v>
      </c>
      <c r="D106" s="297" t="s">
        <v>706</v>
      </c>
      <c r="E106" s="297"/>
      <c r="F106" s="343">
        <v>18500</v>
      </c>
      <c r="G106" s="343">
        <v>0</v>
      </c>
      <c r="H106" s="343">
        <v>2700</v>
      </c>
      <c r="I106" s="343">
        <f t="shared" si="1"/>
        <v>21200</v>
      </c>
      <c r="J106" s="343">
        <v>0</v>
      </c>
      <c r="L106" s="9">
        <v>0</v>
      </c>
    </row>
    <row r="107" spans="1:12" ht="14.25" customHeight="1">
      <c r="A107" s="297">
        <v>106</v>
      </c>
      <c r="B107" s="341">
        <v>46179</v>
      </c>
      <c r="C107" s="342">
        <f t="shared" si="0"/>
        <v>46203</v>
      </c>
      <c r="D107" s="297" t="s">
        <v>706</v>
      </c>
      <c r="E107" s="297"/>
      <c r="F107" s="343">
        <v>16650</v>
      </c>
      <c r="G107" s="343">
        <v>5200</v>
      </c>
      <c r="H107" s="343">
        <v>0</v>
      </c>
      <c r="I107" s="343">
        <f t="shared" si="1"/>
        <v>21850</v>
      </c>
      <c r="J107" s="343">
        <v>0</v>
      </c>
      <c r="K107" s="297" t="s">
        <v>629</v>
      </c>
      <c r="L107" s="9">
        <v>0</v>
      </c>
    </row>
    <row r="108" spans="1:12" ht="14.25" customHeight="1">
      <c r="A108" s="297">
        <v>107</v>
      </c>
      <c r="B108" s="341">
        <v>46180</v>
      </c>
      <c r="C108" s="342">
        <f t="shared" si="0"/>
        <v>46203</v>
      </c>
      <c r="D108" s="297" t="s">
        <v>706</v>
      </c>
      <c r="E108" s="297"/>
      <c r="F108" s="343">
        <v>16500</v>
      </c>
      <c r="G108" s="343">
        <v>0</v>
      </c>
      <c r="H108" s="343">
        <v>500</v>
      </c>
      <c r="I108" s="343">
        <f t="shared" si="1"/>
        <v>17000</v>
      </c>
      <c r="J108" s="343">
        <v>0</v>
      </c>
      <c r="L108" s="9">
        <v>0</v>
      </c>
    </row>
    <row r="109" spans="1:12" ht="14.25" customHeight="1">
      <c r="A109" s="297">
        <v>108</v>
      </c>
      <c r="B109" s="341">
        <v>46186</v>
      </c>
      <c r="C109" s="342">
        <f t="shared" si="0"/>
        <v>46203</v>
      </c>
      <c r="D109" s="297" t="s">
        <v>706</v>
      </c>
      <c r="E109" s="297"/>
      <c r="F109" s="343">
        <v>18500</v>
      </c>
      <c r="G109" s="343">
        <v>5900</v>
      </c>
      <c r="H109" s="343">
        <v>1200</v>
      </c>
      <c r="I109" s="343">
        <f t="shared" si="1"/>
        <v>25600</v>
      </c>
      <c r="J109" s="343">
        <v>0</v>
      </c>
      <c r="L109" s="9">
        <v>0</v>
      </c>
    </row>
    <row r="110" spans="1:12" ht="14.25" customHeight="1">
      <c r="A110" s="297">
        <v>109</v>
      </c>
      <c r="B110" s="341">
        <v>46193</v>
      </c>
      <c r="C110" s="342">
        <f t="shared" si="0"/>
        <v>46203</v>
      </c>
      <c r="D110" s="297" t="s">
        <v>706</v>
      </c>
      <c r="E110" s="297"/>
      <c r="F110" s="343">
        <v>18500</v>
      </c>
      <c r="G110" s="343">
        <v>0</v>
      </c>
      <c r="H110" s="343">
        <v>1200</v>
      </c>
      <c r="I110" s="343">
        <f t="shared" si="1"/>
        <v>19700</v>
      </c>
      <c r="J110" s="343">
        <v>0</v>
      </c>
      <c r="K110" s="297" t="s">
        <v>740</v>
      </c>
      <c r="L110" s="9">
        <v>0</v>
      </c>
    </row>
    <row r="111" spans="1:12" ht="14.25" customHeight="1">
      <c r="A111" s="297">
        <v>110</v>
      </c>
      <c r="B111" s="341">
        <v>46199</v>
      </c>
      <c r="C111" s="342">
        <f t="shared" si="0"/>
        <v>46203</v>
      </c>
      <c r="D111" s="297" t="s">
        <v>706</v>
      </c>
      <c r="E111" s="297"/>
      <c r="F111" s="343">
        <v>16500</v>
      </c>
      <c r="G111" s="343">
        <v>4800</v>
      </c>
      <c r="H111" s="343">
        <v>850</v>
      </c>
      <c r="I111" s="343">
        <f t="shared" si="1"/>
        <v>22150</v>
      </c>
      <c r="J111" s="343">
        <v>0</v>
      </c>
      <c r="K111" s="297" t="s">
        <v>740</v>
      </c>
      <c r="L111" s="9">
        <v>0</v>
      </c>
    </row>
    <row r="112" spans="1:12" ht="14.25" customHeight="1">
      <c r="A112" s="297">
        <v>111</v>
      </c>
      <c r="B112" s="341">
        <v>46200</v>
      </c>
      <c r="C112" s="342">
        <f t="shared" si="0"/>
        <v>46203</v>
      </c>
      <c r="D112" s="297" t="s">
        <v>706</v>
      </c>
      <c r="E112" s="297"/>
      <c r="F112" s="343">
        <v>18500</v>
      </c>
      <c r="G112" s="343">
        <v>0</v>
      </c>
      <c r="H112" s="343">
        <v>0</v>
      </c>
      <c r="I112" s="343">
        <f t="shared" si="1"/>
        <v>18500</v>
      </c>
      <c r="J112" s="343">
        <v>0</v>
      </c>
      <c r="L112" s="9">
        <v>0</v>
      </c>
    </row>
    <row r="113" spans="1:12" ht="14.25" customHeight="1">
      <c r="A113" s="297">
        <v>112</v>
      </c>
      <c r="B113" s="341">
        <v>46214</v>
      </c>
      <c r="C113" s="342">
        <f t="shared" si="0"/>
        <v>46234</v>
      </c>
      <c r="D113" s="297" t="s">
        <v>706</v>
      </c>
      <c r="E113" s="297"/>
      <c r="F113" s="343">
        <v>16000</v>
      </c>
      <c r="G113" s="343">
        <v>5200</v>
      </c>
      <c r="H113" s="343">
        <v>0</v>
      </c>
      <c r="I113" s="343">
        <f t="shared" si="1"/>
        <v>21200</v>
      </c>
      <c r="J113" s="343">
        <v>0</v>
      </c>
      <c r="L113" s="9">
        <v>0</v>
      </c>
    </row>
    <row r="114" spans="1:12" ht="14.25" customHeight="1">
      <c r="A114" s="297"/>
      <c r="B114" s="341"/>
      <c r="C114" s="342"/>
      <c r="D114" s="297"/>
      <c r="E114" s="297"/>
      <c r="F114" s="343"/>
      <c r="G114" s="343"/>
      <c r="H114" s="343"/>
      <c r="I114" s="343"/>
      <c r="J114" s="343"/>
      <c r="L114" s="9">
        <v>0</v>
      </c>
    </row>
    <row r="115" spans="1:12" ht="14.25" customHeight="1">
      <c r="A115" s="297" t="s">
        <v>630</v>
      </c>
      <c r="B115" s="341">
        <v>46234</v>
      </c>
      <c r="C115" s="342">
        <f t="shared" si="0"/>
        <v>46234</v>
      </c>
      <c r="D115" s="297"/>
      <c r="E115" s="297" t="s">
        <v>632</v>
      </c>
      <c r="F115" s="343">
        <v>2000</v>
      </c>
      <c r="G115" s="343"/>
      <c r="H115" s="343">
        <v>0</v>
      </c>
      <c r="I115" s="343">
        <f t="shared" ref="I115:I117" si="2">SUM(F115:H115)</f>
        <v>2000</v>
      </c>
      <c r="J115" s="343"/>
      <c r="K115" s="297"/>
      <c r="L115" s="9">
        <v>0</v>
      </c>
    </row>
    <row r="116" spans="1:12" ht="14.25" customHeight="1">
      <c r="A116" s="297" t="s">
        <v>634</v>
      </c>
      <c r="B116" s="341">
        <v>46235</v>
      </c>
      <c r="C116" s="342">
        <f t="shared" si="0"/>
        <v>46265</v>
      </c>
      <c r="D116" s="297"/>
      <c r="E116" s="297" t="s">
        <v>636</v>
      </c>
      <c r="F116" s="343">
        <v>17000</v>
      </c>
      <c r="G116" s="343">
        <v>4800</v>
      </c>
      <c r="H116" s="343">
        <v>0</v>
      </c>
      <c r="I116" s="343">
        <f t="shared" si="2"/>
        <v>21800</v>
      </c>
      <c r="J116" s="343"/>
      <c r="K116" s="297"/>
      <c r="L116" s="9">
        <v>0</v>
      </c>
    </row>
    <row r="117" spans="1:12" ht="14.25" customHeight="1">
      <c r="A117" s="297" t="s">
        <v>640</v>
      </c>
      <c r="B117" s="341">
        <v>46242</v>
      </c>
      <c r="C117" s="342">
        <f t="shared" si="0"/>
        <v>46265</v>
      </c>
      <c r="D117" s="297"/>
      <c r="E117" s="297" t="s">
        <v>636</v>
      </c>
      <c r="F117" s="343">
        <v>6000</v>
      </c>
      <c r="G117" s="343">
        <v>2200</v>
      </c>
      <c r="H117" s="343">
        <v>350</v>
      </c>
      <c r="I117" s="343">
        <f t="shared" si="2"/>
        <v>8550</v>
      </c>
      <c r="J117" s="343"/>
      <c r="K117" s="297" t="s">
        <v>740</v>
      </c>
      <c r="L117" s="9">
        <v>0</v>
      </c>
    </row>
    <row r="118" spans="1:12" ht="14.25" customHeight="1">
      <c r="A118" s="297" t="s">
        <v>642</v>
      </c>
      <c r="B118" s="341">
        <v>46249</v>
      </c>
      <c r="C118" s="342">
        <f t="shared" si="0"/>
        <v>46265</v>
      </c>
      <c r="E118" s="297" t="s">
        <v>643</v>
      </c>
      <c r="F118" s="343">
        <v>25500</v>
      </c>
      <c r="G118" s="343"/>
      <c r="H118" s="343"/>
      <c r="I118" s="343">
        <f>SUM(F118:H118)</f>
        <v>25500</v>
      </c>
      <c r="J118" s="343"/>
      <c r="K118" s="344"/>
      <c r="L118" s="9">
        <v>0</v>
      </c>
    </row>
    <row r="119" spans="1:12" ht="14.25" customHeight="1">
      <c r="A119" s="297" t="s">
        <v>644</v>
      </c>
      <c r="B119" s="341">
        <v>46254</v>
      </c>
      <c r="C119" s="342">
        <f t="shared" si="0"/>
        <v>46265</v>
      </c>
      <c r="E119" s="297" t="s">
        <v>646</v>
      </c>
      <c r="F119" s="343">
        <v>600</v>
      </c>
      <c r="G119" s="343"/>
      <c r="H119" s="343"/>
      <c r="I119" s="343">
        <f t="shared" ref="I119:I147" si="3">SUM(F119:H119)</f>
        <v>600</v>
      </c>
      <c r="J119" s="343"/>
      <c r="K119" s="344"/>
      <c r="L119" s="9">
        <v>0</v>
      </c>
    </row>
    <row r="120" spans="1:12" ht="14.25" customHeight="1">
      <c r="A120" s="297" t="s">
        <v>650</v>
      </c>
      <c r="B120" s="341">
        <v>46256</v>
      </c>
      <c r="C120" s="342">
        <f t="shared" si="0"/>
        <v>46265</v>
      </c>
      <c r="E120" s="297" t="s">
        <v>636</v>
      </c>
      <c r="F120" s="343">
        <v>16500</v>
      </c>
      <c r="G120" s="343">
        <v>5200</v>
      </c>
      <c r="H120" s="343">
        <v>500</v>
      </c>
      <c r="I120" s="343">
        <f t="shared" si="3"/>
        <v>22200</v>
      </c>
      <c r="J120" s="343"/>
      <c r="K120" s="297" t="s">
        <v>740</v>
      </c>
      <c r="L120" s="9">
        <v>0</v>
      </c>
    </row>
    <row r="121" spans="1:12" ht="14.25" customHeight="1">
      <c r="A121" s="297" t="s">
        <v>651</v>
      </c>
      <c r="B121" s="341">
        <v>46263</v>
      </c>
      <c r="C121" s="342">
        <f t="shared" si="0"/>
        <v>46265</v>
      </c>
      <c r="E121" s="297" t="s">
        <v>636</v>
      </c>
      <c r="F121" s="343">
        <v>16500</v>
      </c>
      <c r="G121" s="343">
        <v>3600</v>
      </c>
      <c r="H121" s="343">
        <v>400</v>
      </c>
      <c r="I121" s="343">
        <f t="shared" si="3"/>
        <v>20500</v>
      </c>
      <c r="J121" s="343"/>
      <c r="K121" s="344"/>
      <c r="L121" s="9">
        <v>0</v>
      </c>
    </row>
    <row r="122" spans="1:12" ht="14.25" customHeight="1">
      <c r="A122" s="297" t="s">
        <v>653</v>
      </c>
      <c r="B122" s="341">
        <v>46264</v>
      </c>
      <c r="C122" s="342">
        <f t="shared" si="0"/>
        <v>46265</v>
      </c>
      <c r="E122" s="297" t="s">
        <v>646</v>
      </c>
      <c r="F122" s="343">
        <v>600</v>
      </c>
      <c r="G122" s="343"/>
      <c r="H122" s="343"/>
      <c r="I122" s="343">
        <f t="shared" si="3"/>
        <v>600</v>
      </c>
      <c r="J122" s="343"/>
      <c r="K122" s="344"/>
      <c r="L122" s="9">
        <v>0</v>
      </c>
    </row>
    <row r="123" spans="1:12" ht="14.25" customHeight="1">
      <c r="A123" s="297" t="s">
        <v>655</v>
      </c>
      <c r="B123" s="341">
        <v>46269</v>
      </c>
      <c r="C123" s="342">
        <f t="shared" si="0"/>
        <v>46295</v>
      </c>
      <c r="E123" s="297" t="s">
        <v>636</v>
      </c>
      <c r="F123" s="343">
        <v>16500</v>
      </c>
      <c r="G123" s="343">
        <v>5200</v>
      </c>
      <c r="H123" s="343"/>
      <c r="I123" s="343">
        <f t="shared" si="3"/>
        <v>21700</v>
      </c>
      <c r="J123" s="343"/>
      <c r="K123" s="344"/>
      <c r="L123" s="9">
        <v>0</v>
      </c>
    </row>
    <row r="124" spans="1:12" ht="14.25" customHeight="1">
      <c r="A124" s="297" t="s">
        <v>662</v>
      </c>
      <c r="B124" s="341">
        <v>46271</v>
      </c>
      <c r="C124" s="342">
        <f t="shared" si="0"/>
        <v>46295</v>
      </c>
      <c r="E124" s="297" t="s">
        <v>636</v>
      </c>
      <c r="F124" s="343">
        <v>18500</v>
      </c>
      <c r="G124" s="343">
        <v>5900</v>
      </c>
      <c r="H124" s="343">
        <v>2650</v>
      </c>
      <c r="I124" s="343">
        <f t="shared" si="3"/>
        <v>27050</v>
      </c>
      <c r="J124" s="343"/>
      <c r="K124" s="344" t="s">
        <v>741</v>
      </c>
      <c r="L124" s="9">
        <v>0</v>
      </c>
    </row>
    <row r="125" spans="1:12" ht="14.25" customHeight="1">
      <c r="A125" s="297" t="s">
        <v>663</v>
      </c>
      <c r="B125" s="341">
        <v>46277</v>
      </c>
      <c r="C125" s="342">
        <f t="shared" si="0"/>
        <v>46295</v>
      </c>
      <c r="E125" s="297" t="s">
        <v>636</v>
      </c>
      <c r="F125" s="343">
        <v>18500</v>
      </c>
      <c r="G125" s="343">
        <v>3600</v>
      </c>
      <c r="H125" s="343"/>
      <c r="I125" s="343">
        <f t="shared" si="3"/>
        <v>22100</v>
      </c>
      <c r="J125" s="343"/>
      <c r="K125" s="344"/>
      <c r="L125" s="9">
        <v>0</v>
      </c>
    </row>
    <row r="126" spans="1:12" ht="14.25" customHeight="1">
      <c r="A126" s="297" t="s">
        <v>664</v>
      </c>
      <c r="B126" s="341">
        <v>46283</v>
      </c>
      <c r="C126" s="342">
        <f t="shared" si="0"/>
        <v>46295</v>
      </c>
      <c r="E126" s="297" t="s">
        <v>636</v>
      </c>
      <c r="F126" s="343">
        <v>16500</v>
      </c>
      <c r="G126" s="343">
        <v>1800</v>
      </c>
      <c r="H126" s="343"/>
      <c r="I126" s="343">
        <f t="shared" si="3"/>
        <v>18300</v>
      </c>
      <c r="J126" s="343"/>
      <c r="K126" s="344"/>
      <c r="L126" s="9">
        <v>0</v>
      </c>
    </row>
    <row r="127" spans="1:12" ht="14.25" customHeight="1">
      <c r="A127" s="297" t="s">
        <v>665</v>
      </c>
      <c r="B127" s="341">
        <v>46284</v>
      </c>
      <c r="C127" s="342">
        <f t="shared" si="0"/>
        <v>46295</v>
      </c>
      <c r="E127" s="297" t="s">
        <v>636</v>
      </c>
      <c r="F127" s="343">
        <v>18500</v>
      </c>
      <c r="G127" s="343"/>
      <c r="H127" s="343"/>
      <c r="I127" s="343">
        <f t="shared" si="3"/>
        <v>18500</v>
      </c>
      <c r="J127" s="343"/>
      <c r="K127" s="344"/>
      <c r="L127" s="9">
        <v>0</v>
      </c>
    </row>
    <row r="128" spans="1:12" ht="14.25" customHeight="1">
      <c r="A128" s="297" t="s">
        <v>668</v>
      </c>
      <c r="B128" s="341">
        <v>46291</v>
      </c>
      <c r="C128" s="342">
        <f t="shared" si="0"/>
        <v>46295</v>
      </c>
      <c r="E128" s="297" t="s">
        <v>636</v>
      </c>
      <c r="F128" s="343">
        <v>18500</v>
      </c>
      <c r="G128" s="343">
        <v>5200</v>
      </c>
      <c r="H128" s="343">
        <v>850</v>
      </c>
      <c r="I128" s="343">
        <f t="shared" si="3"/>
        <v>24550</v>
      </c>
      <c r="J128" s="343"/>
      <c r="K128" s="297" t="s">
        <v>740</v>
      </c>
      <c r="L128" s="9">
        <v>0</v>
      </c>
    </row>
    <row r="129" spans="1:12" ht="14.25" customHeight="1">
      <c r="A129" s="297" t="s">
        <v>671</v>
      </c>
      <c r="B129" s="341">
        <v>46298</v>
      </c>
      <c r="C129" s="342">
        <f t="shared" si="0"/>
        <v>46326</v>
      </c>
      <c r="E129" s="297" t="s">
        <v>636</v>
      </c>
      <c r="F129" s="343">
        <v>18500</v>
      </c>
      <c r="G129" s="343">
        <v>5200</v>
      </c>
      <c r="H129" s="343">
        <v>1200</v>
      </c>
      <c r="I129" s="343">
        <f t="shared" si="3"/>
        <v>24900</v>
      </c>
      <c r="J129" s="343"/>
      <c r="K129" s="297" t="s">
        <v>740</v>
      </c>
      <c r="L129" s="9">
        <v>0</v>
      </c>
    </row>
    <row r="130" spans="1:12" ht="14.25" customHeight="1">
      <c r="A130" s="297" t="s">
        <v>672</v>
      </c>
      <c r="B130" s="341">
        <v>46299</v>
      </c>
      <c r="C130" s="342">
        <f t="shared" si="0"/>
        <v>46326</v>
      </c>
      <c r="E130" s="297" t="s">
        <v>636</v>
      </c>
      <c r="F130" s="343">
        <v>18500</v>
      </c>
      <c r="G130" s="343"/>
      <c r="H130" s="343"/>
      <c r="I130" s="343">
        <f t="shared" si="3"/>
        <v>18500</v>
      </c>
      <c r="J130" s="343"/>
      <c r="K130" s="344"/>
      <c r="L130" s="9">
        <v>0</v>
      </c>
    </row>
    <row r="131" spans="1:12" ht="14.25" customHeight="1">
      <c r="A131" s="297" t="s">
        <v>673</v>
      </c>
      <c r="B131" s="341">
        <v>46305</v>
      </c>
      <c r="C131" s="342">
        <f t="shared" si="0"/>
        <v>46326</v>
      </c>
      <c r="E131" s="297" t="s">
        <v>636</v>
      </c>
      <c r="F131" s="343">
        <v>18500</v>
      </c>
      <c r="G131" s="343">
        <v>5200</v>
      </c>
      <c r="H131" s="343"/>
      <c r="I131" s="343">
        <f t="shared" si="3"/>
        <v>23700</v>
      </c>
      <c r="J131" s="343"/>
      <c r="K131" s="344"/>
      <c r="L131" s="9">
        <v>0</v>
      </c>
    </row>
    <row r="132" spans="1:12" ht="14.25" customHeight="1">
      <c r="A132" s="297" t="s">
        <v>674</v>
      </c>
      <c r="B132" s="341">
        <v>46311</v>
      </c>
      <c r="C132" s="342">
        <f t="shared" si="0"/>
        <v>46326</v>
      </c>
      <c r="E132" s="297" t="s">
        <v>636</v>
      </c>
      <c r="F132" s="343">
        <v>16500</v>
      </c>
      <c r="G132" s="343">
        <v>5200</v>
      </c>
      <c r="H132" s="343"/>
      <c r="I132" s="343">
        <f t="shared" si="3"/>
        <v>21700</v>
      </c>
      <c r="J132" s="343"/>
      <c r="K132" s="344"/>
      <c r="L132" s="9">
        <v>0</v>
      </c>
    </row>
    <row r="133" spans="1:12" ht="14.25" customHeight="1">
      <c r="A133" s="297" t="s">
        <v>675</v>
      </c>
      <c r="B133" s="341">
        <v>46319</v>
      </c>
      <c r="C133" s="342">
        <f t="shared" si="0"/>
        <v>46326</v>
      </c>
      <c r="E133" s="297" t="s">
        <v>636</v>
      </c>
      <c r="F133" s="343">
        <v>16650</v>
      </c>
      <c r="G133" s="343">
        <v>3600</v>
      </c>
      <c r="H133" s="343"/>
      <c r="I133" s="343">
        <f t="shared" si="3"/>
        <v>20250</v>
      </c>
      <c r="J133" s="343"/>
      <c r="K133" s="344"/>
      <c r="L133" s="9">
        <v>0</v>
      </c>
    </row>
    <row r="134" spans="1:12" ht="14.25" customHeight="1">
      <c r="A134" s="297" t="s">
        <v>676</v>
      </c>
      <c r="B134" s="341">
        <v>46325</v>
      </c>
      <c r="C134" s="342">
        <f t="shared" si="0"/>
        <v>46326</v>
      </c>
      <c r="E134" s="297" t="s">
        <v>636</v>
      </c>
      <c r="F134" s="343">
        <v>16500</v>
      </c>
      <c r="G134" s="343">
        <v>5200</v>
      </c>
      <c r="H134" s="343">
        <v>250</v>
      </c>
      <c r="I134" s="343">
        <f t="shared" si="3"/>
        <v>21950</v>
      </c>
      <c r="J134" s="343"/>
      <c r="K134" s="344"/>
      <c r="L134" s="9">
        <v>0</v>
      </c>
    </row>
    <row r="135" spans="1:12" ht="14.25" customHeight="1">
      <c r="A135" t="s">
        <v>678</v>
      </c>
      <c r="B135" s="341">
        <v>46332</v>
      </c>
      <c r="C135" s="342">
        <f t="shared" ref="C135:C147" si="4">EOMONTH(B135,0)</f>
        <v>46356</v>
      </c>
      <c r="E135" t="s">
        <v>646</v>
      </c>
      <c r="F135" s="343">
        <v>1200</v>
      </c>
      <c r="G135" s="343"/>
      <c r="H135" s="343">
        <v>9.9999999999999995E-7</v>
      </c>
      <c r="I135" s="343">
        <f t="shared" si="3"/>
        <v>1200.0000010000001</v>
      </c>
      <c r="K135" s="344" t="s">
        <v>742</v>
      </c>
      <c r="L135" s="9">
        <v>0</v>
      </c>
    </row>
    <row r="136" spans="1:12" ht="14.25" customHeight="1">
      <c r="A136" t="s">
        <v>680</v>
      </c>
      <c r="B136" s="341">
        <v>46347</v>
      </c>
      <c r="C136" s="342">
        <f t="shared" si="4"/>
        <v>46356</v>
      </c>
      <c r="E136" t="s">
        <v>636</v>
      </c>
      <c r="F136" s="343">
        <v>17000</v>
      </c>
      <c r="G136" s="343">
        <v>3600</v>
      </c>
      <c r="H136" s="343"/>
      <c r="I136" s="343">
        <f t="shared" si="3"/>
        <v>20600</v>
      </c>
      <c r="K136" s="344"/>
      <c r="L136" s="9">
        <v>0</v>
      </c>
    </row>
    <row r="137" spans="1:12" ht="14.25" customHeight="1">
      <c r="A137" t="s">
        <v>681</v>
      </c>
      <c r="B137" s="341">
        <v>46466</v>
      </c>
      <c r="C137" s="342">
        <f t="shared" si="4"/>
        <v>46477</v>
      </c>
      <c r="E137" t="s">
        <v>636</v>
      </c>
      <c r="F137" s="343">
        <v>19500</v>
      </c>
      <c r="G137" s="343"/>
      <c r="H137" s="343"/>
      <c r="I137" s="343">
        <f t="shared" si="3"/>
        <v>19500</v>
      </c>
      <c r="K137" s="344"/>
      <c r="L137" s="9">
        <v>0</v>
      </c>
    </row>
    <row r="138" spans="1:12" ht="14.25" customHeight="1">
      <c r="A138" t="s">
        <v>682</v>
      </c>
      <c r="B138" s="341">
        <v>46494</v>
      </c>
      <c r="C138" s="342">
        <f t="shared" si="4"/>
        <v>46507</v>
      </c>
      <c r="E138" t="s">
        <v>636</v>
      </c>
      <c r="F138" s="343">
        <v>19500</v>
      </c>
      <c r="G138" s="343"/>
      <c r="H138" s="343"/>
      <c r="I138" s="343">
        <f t="shared" si="3"/>
        <v>19500</v>
      </c>
      <c r="K138" s="344"/>
      <c r="L138" s="9">
        <v>0</v>
      </c>
    </row>
    <row r="139" spans="1:12" ht="14.25" customHeight="1">
      <c r="A139" t="s">
        <v>683</v>
      </c>
      <c r="B139" s="341">
        <v>46501</v>
      </c>
      <c r="C139" s="342">
        <f t="shared" si="4"/>
        <v>46507</v>
      </c>
      <c r="E139" t="s">
        <v>636</v>
      </c>
      <c r="F139" s="343">
        <v>19500</v>
      </c>
      <c r="G139" s="343"/>
      <c r="H139" s="343"/>
      <c r="I139" s="343">
        <f t="shared" si="3"/>
        <v>19500</v>
      </c>
      <c r="K139" s="344"/>
      <c r="L139" s="9">
        <v>0</v>
      </c>
    </row>
    <row r="140" spans="1:12" ht="14.25" customHeight="1">
      <c r="A140" t="s">
        <v>684</v>
      </c>
      <c r="B140" s="341">
        <v>46508</v>
      </c>
      <c r="C140" s="342">
        <f t="shared" si="4"/>
        <v>46538</v>
      </c>
      <c r="E140" t="s">
        <v>636</v>
      </c>
      <c r="F140" s="343">
        <v>19500</v>
      </c>
      <c r="G140" s="343"/>
      <c r="H140" s="343"/>
      <c r="I140" s="343">
        <f t="shared" si="3"/>
        <v>19500</v>
      </c>
      <c r="K140" s="344"/>
      <c r="L140" s="9">
        <v>0</v>
      </c>
    </row>
    <row r="141" spans="1:12" ht="14.25" customHeight="1">
      <c r="A141" t="s">
        <v>685</v>
      </c>
      <c r="B141" s="341">
        <v>46522</v>
      </c>
      <c r="C141" s="342">
        <f t="shared" si="4"/>
        <v>46538</v>
      </c>
      <c r="E141" t="s">
        <v>636</v>
      </c>
      <c r="F141" s="343">
        <v>18500</v>
      </c>
      <c r="G141" s="343"/>
      <c r="H141" s="343"/>
      <c r="I141" s="343">
        <f t="shared" si="3"/>
        <v>18500</v>
      </c>
      <c r="K141" s="344"/>
      <c r="L141" s="9">
        <v>0</v>
      </c>
    </row>
    <row r="142" spans="1:12" ht="14.25" customHeight="1">
      <c r="A142" t="s">
        <v>686</v>
      </c>
      <c r="B142" s="341">
        <v>46529</v>
      </c>
      <c r="C142" s="342">
        <f t="shared" si="4"/>
        <v>46538</v>
      </c>
      <c r="E142" t="s">
        <v>636</v>
      </c>
      <c r="F142" s="343">
        <v>19500</v>
      </c>
      <c r="G142" s="343"/>
      <c r="H142" s="343"/>
      <c r="I142" s="343">
        <f t="shared" si="3"/>
        <v>19500</v>
      </c>
      <c r="K142" s="344"/>
      <c r="L142" s="9">
        <v>0</v>
      </c>
    </row>
    <row r="143" spans="1:12" ht="14.25" customHeight="1">
      <c r="A143" t="s">
        <v>687</v>
      </c>
      <c r="B143" s="341">
        <v>46536</v>
      </c>
      <c r="C143" s="342">
        <f t="shared" si="4"/>
        <v>46538</v>
      </c>
      <c r="E143" t="s">
        <v>688</v>
      </c>
      <c r="F143" s="343">
        <v>50000</v>
      </c>
      <c r="G143" s="343"/>
      <c r="H143" s="343">
        <v>9.9999999999999995E-7</v>
      </c>
      <c r="I143" s="343">
        <f t="shared" si="3"/>
        <v>50000.000001</v>
      </c>
      <c r="K143" s="344" t="s">
        <v>738</v>
      </c>
      <c r="L143" s="9">
        <v>0</v>
      </c>
    </row>
    <row r="144" spans="1:12" ht="14.25" customHeight="1">
      <c r="A144" t="s">
        <v>689</v>
      </c>
      <c r="B144" s="341">
        <v>46543</v>
      </c>
      <c r="C144" s="342">
        <f t="shared" si="4"/>
        <v>46568</v>
      </c>
      <c r="E144" t="s">
        <v>688</v>
      </c>
      <c r="F144" s="343">
        <v>50000</v>
      </c>
      <c r="G144" s="343"/>
      <c r="H144" s="343">
        <v>9.9999999999999995E-7</v>
      </c>
      <c r="I144" s="343">
        <f t="shared" si="3"/>
        <v>50000.000001</v>
      </c>
      <c r="K144" s="344" t="s">
        <v>738</v>
      </c>
      <c r="L144" s="9">
        <v>0</v>
      </c>
    </row>
    <row r="145" spans="1:12" ht="14.25" customHeight="1">
      <c r="A145" t="s">
        <v>690</v>
      </c>
      <c r="B145" s="341">
        <v>46557</v>
      </c>
      <c r="C145" s="342">
        <f t="shared" si="4"/>
        <v>46568</v>
      </c>
      <c r="E145" t="s">
        <v>636</v>
      </c>
      <c r="F145" s="343">
        <v>19500</v>
      </c>
      <c r="G145" s="343"/>
      <c r="H145" s="343"/>
      <c r="I145" s="343">
        <f t="shared" si="3"/>
        <v>19500</v>
      </c>
      <c r="K145" s="344"/>
      <c r="L145" s="9">
        <v>0</v>
      </c>
    </row>
    <row r="146" spans="1:12" ht="14.25" customHeight="1">
      <c r="A146" t="s">
        <v>693</v>
      </c>
      <c r="B146" s="341">
        <v>46564</v>
      </c>
      <c r="C146" s="342">
        <f t="shared" si="4"/>
        <v>46568</v>
      </c>
      <c r="E146" t="s">
        <v>636</v>
      </c>
      <c r="F146" s="343">
        <v>19500</v>
      </c>
      <c r="G146" s="343">
        <v>5200</v>
      </c>
      <c r="H146" s="343">
        <v>1200</v>
      </c>
      <c r="I146" s="343">
        <f t="shared" si="3"/>
        <v>25900</v>
      </c>
      <c r="K146" s="297" t="s">
        <v>740</v>
      </c>
      <c r="L146" s="9">
        <v>0</v>
      </c>
    </row>
    <row r="147" spans="1:12" ht="14.25" customHeight="1">
      <c r="A147" t="s">
        <v>694</v>
      </c>
      <c r="B147" s="341">
        <v>46683</v>
      </c>
      <c r="C147" s="342">
        <f t="shared" si="4"/>
        <v>46691</v>
      </c>
      <c r="E147" t="s">
        <v>636</v>
      </c>
      <c r="F147" s="343">
        <v>19500</v>
      </c>
      <c r="G147" s="343"/>
      <c r="H147" s="343"/>
      <c r="I147" s="343">
        <f t="shared" si="3"/>
        <v>19500</v>
      </c>
      <c r="L147" s="9">
        <v>0</v>
      </c>
    </row>
    <row r="148" spans="1:12" ht="14.25" customHeight="1"/>
    <row r="149" spans="1:12" ht="14.25" customHeight="1"/>
    <row r="150" spans="1:12" ht="14.25" customHeight="1"/>
    <row r="151" spans="1:12" ht="14.25" customHeight="1"/>
    <row r="152" spans="1:12" ht="14.25" customHeight="1"/>
    <row r="153" spans="1:12" ht="14.25" customHeight="1"/>
    <row r="154" spans="1:12" ht="14.25" customHeight="1"/>
    <row r="155" spans="1:12" ht="14.25" customHeight="1"/>
    <row r="156" spans="1:12" ht="14.25" customHeight="1"/>
    <row r="157" spans="1:12" ht="14.25" customHeight="1"/>
    <row r="158" spans="1:12" ht="14.25" customHeight="1"/>
    <row r="159" spans="1:12" ht="14.25" customHeight="1"/>
    <row r="160" spans="1:12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conditionalFormatting sqref="E115">
    <cfRule type="timePeriod" dxfId="9" priority="1" timePeriod="today">
      <formula>FLOOR(E115,1)=TODAY()</formula>
    </cfRule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68B3-83D7-4CD1-AC52-6BDD4E07E49C}">
  <sheetPr>
    <tabColor theme="3"/>
  </sheetPr>
  <dimension ref="A1:J65"/>
  <sheetViews>
    <sheetView workbookViewId="0">
      <pane ySplit="1" topLeftCell="A2" activePane="bottomLeft" state="frozen"/>
      <selection activeCell="I3" sqref="I3"/>
      <selection pane="bottomLeft" activeCell="A2" sqref="A2"/>
    </sheetView>
  </sheetViews>
  <sheetFormatPr defaultColWidth="12.54296875" defaultRowHeight="15" customHeight="1"/>
  <cols>
    <col min="1" max="1" width="44.1796875" customWidth="1"/>
    <col min="2" max="2" width="12.26953125" customWidth="1"/>
    <col min="3" max="3" width="9.81640625" bestFit="1" customWidth="1"/>
    <col min="4" max="4" width="13.453125" bestFit="1" customWidth="1"/>
    <col min="5" max="5" width="13.1796875" bestFit="1" customWidth="1"/>
    <col min="6" max="6" width="11.453125" bestFit="1" customWidth="1"/>
    <col min="7" max="7" width="10.7265625" bestFit="1" customWidth="1"/>
    <col min="8" max="8" width="12.81640625" bestFit="1" customWidth="1"/>
    <col min="9" max="9" width="61.7265625" bestFit="1" customWidth="1"/>
    <col min="10" max="10" width="8.54296875" customWidth="1"/>
  </cols>
  <sheetData>
    <row r="1" spans="1:10" ht="54.75" customHeight="1">
      <c r="A1" s="303" t="s">
        <v>619</v>
      </c>
      <c r="B1" s="303" t="s">
        <v>620</v>
      </c>
      <c r="C1" s="303" t="s">
        <v>621</v>
      </c>
      <c r="D1" s="303" t="s">
        <v>622</v>
      </c>
      <c r="E1" s="303" t="s">
        <v>623</v>
      </c>
      <c r="F1" s="303" t="s">
        <v>624</v>
      </c>
      <c r="G1" s="303" t="s">
        <v>625</v>
      </c>
      <c r="H1" s="303" t="s">
        <v>626</v>
      </c>
      <c r="I1" s="303" t="s">
        <v>627</v>
      </c>
      <c r="J1" s="304"/>
    </row>
    <row r="2" spans="1:10" ht="14.25" customHeight="1">
      <c r="A2" s="305"/>
      <c r="B2" s="306">
        <v>46046</v>
      </c>
      <c r="C2" s="306"/>
      <c r="D2" s="306"/>
      <c r="E2" s="307">
        <v>16000</v>
      </c>
      <c r="F2" s="307">
        <v>5900</v>
      </c>
      <c r="G2" s="305"/>
      <c r="H2" s="305"/>
      <c r="I2" s="305"/>
      <c r="J2" s="305"/>
    </row>
    <row r="3" spans="1:10" ht="14.25" customHeight="1">
      <c r="A3" s="305"/>
      <c r="B3" s="306">
        <v>46088</v>
      </c>
      <c r="C3" s="306"/>
      <c r="D3" s="306"/>
      <c r="E3" s="307">
        <v>18000</v>
      </c>
      <c r="F3" s="307">
        <v>4100</v>
      </c>
      <c r="G3" s="305"/>
      <c r="H3" s="305"/>
      <c r="I3" s="305"/>
      <c r="J3" s="305"/>
    </row>
    <row r="4" spans="1:10" ht="14.25" customHeight="1">
      <c r="A4" s="305"/>
      <c r="B4" s="306">
        <v>46095</v>
      </c>
      <c r="C4" s="306"/>
      <c r="D4" s="306"/>
      <c r="E4" s="307">
        <v>18000</v>
      </c>
      <c r="F4" s="307"/>
      <c r="G4" s="305"/>
      <c r="H4" s="305"/>
      <c r="I4" s="305"/>
      <c r="J4" s="305"/>
    </row>
    <row r="5" spans="1:10" ht="14.25" customHeight="1">
      <c r="A5" s="305"/>
      <c r="B5" s="306">
        <v>46109</v>
      </c>
      <c r="C5" s="306"/>
      <c r="D5" s="306"/>
      <c r="E5" s="307">
        <v>18000</v>
      </c>
      <c r="F5" s="307"/>
      <c r="G5" s="305"/>
      <c r="H5" s="305"/>
      <c r="I5" s="305"/>
      <c r="J5" s="305"/>
    </row>
    <row r="6" spans="1:10" ht="14.25" customHeight="1">
      <c r="A6" s="305"/>
      <c r="B6" s="306">
        <v>46121</v>
      </c>
      <c r="C6" s="306"/>
      <c r="D6" s="306"/>
      <c r="E6" s="307">
        <v>7000</v>
      </c>
      <c r="F6" s="307"/>
      <c r="G6" s="305"/>
      <c r="H6" s="305"/>
      <c r="I6" s="305"/>
      <c r="J6" s="305"/>
    </row>
    <row r="7" spans="1:10" ht="14.25" customHeight="1">
      <c r="A7" s="305"/>
      <c r="B7" s="306">
        <v>46123</v>
      </c>
      <c r="C7" s="306"/>
      <c r="D7" s="306"/>
      <c r="E7" s="307">
        <v>18500</v>
      </c>
      <c r="F7" s="307">
        <v>5800</v>
      </c>
      <c r="G7" s="305"/>
      <c r="H7" s="305"/>
      <c r="I7" s="305"/>
      <c r="J7" s="305"/>
    </row>
    <row r="8" spans="1:10" ht="14.25" customHeight="1">
      <c r="A8" s="305"/>
      <c r="B8" s="306">
        <v>46124</v>
      </c>
      <c r="C8" s="306"/>
      <c r="D8" s="306"/>
      <c r="E8" s="307">
        <v>16500</v>
      </c>
      <c r="F8" s="307"/>
      <c r="G8" s="305"/>
      <c r="H8" s="305"/>
      <c r="I8" s="305"/>
      <c r="J8" s="305"/>
    </row>
    <row r="9" spans="1:10" ht="14.25" customHeight="1">
      <c r="A9" s="305"/>
      <c r="B9" s="306">
        <v>46130</v>
      </c>
      <c r="C9" s="306"/>
      <c r="D9" s="306"/>
      <c r="E9" s="307">
        <v>18000</v>
      </c>
      <c r="F9" s="307"/>
      <c r="G9" s="305"/>
      <c r="H9" s="305"/>
      <c r="I9" s="305"/>
      <c r="J9" s="305"/>
    </row>
    <row r="10" spans="1:10" ht="14.25" customHeight="1">
      <c r="A10" s="305"/>
      <c r="B10" s="306">
        <v>46137</v>
      </c>
      <c r="C10" s="306"/>
      <c r="D10" s="306"/>
      <c r="E10" s="307">
        <v>18000</v>
      </c>
      <c r="F10" s="307">
        <v>5100</v>
      </c>
      <c r="G10" s="305"/>
      <c r="H10" s="305"/>
      <c r="I10" s="305"/>
      <c r="J10" s="305"/>
    </row>
    <row r="11" spans="1:10" ht="14.25" customHeight="1">
      <c r="A11" s="305"/>
      <c r="B11" s="306">
        <v>46144</v>
      </c>
      <c r="C11" s="306"/>
      <c r="D11" s="306"/>
      <c r="E11" s="307">
        <v>18500</v>
      </c>
      <c r="F11" s="307">
        <v>4100</v>
      </c>
      <c r="G11" s="305"/>
      <c r="H11" s="305"/>
      <c r="I11" s="305"/>
      <c r="J11" s="305"/>
    </row>
    <row r="12" spans="1:10" ht="14.25" customHeight="1">
      <c r="A12" s="305"/>
      <c r="B12" s="306">
        <v>46149</v>
      </c>
      <c r="C12" s="306"/>
      <c r="D12" s="306"/>
      <c r="E12" s="307">
        <v>11800</v>
      </c>
      <c r="F12" s="307">
        <v>800</v>
      </c>
      <c r="G12" s="305"/>
      <c r="H12" s="305"/>
      <c r="I12" s="305"/>
      <c r="J12" s="305"/>
    </row>
    <row r="13" spans="1:10" ht="14.25" customHeight="1">
      <c r="A13" s="305"/>
      <c r="B13" s="306">
        <v>46151</v>
      </c>
      <c r="C13" s="306"/>
      <c r="D13" s="306"/>
      <c r="E13" s="307">
        <v>20000</v>
      </c>
      <c r="F13" s="307">
        <v>5200</v>
      </c>
      <c r="G13" s="305"/>
      <c r="H13" s="305"/>
      <c r="I13" s="305"/>
      <c r="J13" s="305"/>
    </row>
    <row r="14" spans="1:10" ht="14.25" customHeight="1">
      <c r="A14" s="305"/>
      <c r="B14" s="306">
        <v>46158</v>
      </c>
      <c r="C14" s="306"/>
      <c r="D14" s="306"/>
      <c r="E14" s="307">
        <v>18000</v>
      </c>
      <c r="F14" s="307">
        <v>8400</v>
      </c>
      <c r="G14" s="305"/>
      <c r="H14" s="305"/>
      <c r="I14" s="305"/>
      <c r="J14" s="305"/>
    </row>
    <row r="15" spans="1:10" ht="14.25" customHeight="1">
      <c r="A15" s="305"/>
      <c r="B15" s="306">
        <v>46165</v>
      </c>
      <c r="C15" s="306"/>
      <c r="D15" s="306"/>
      <c r="E15" s="307">
        <v>16650</v>
      </c>
      <c r="F15" s="307"/>
      <c r="G15" s="305"/>
      <c r="H15" s="305"/>
      <c r="I15" s="305"/>
      <c r="J15" s="305"/>
    </row>
    <row r="16" spans="1:10" ht="14.25" customHeight="1">
      <c r="A16" s="305"/>
      <c r="B16" s="306">
        <v>46172</v>
      </c>
      <c r="C16" s="306"/>
      <c r="D16" s="306"/>
      <c r="E16" s="307">
        <v>18500</v>
      </c>
      <c r="F16" s="307"/>
      <c r="G16" s="305"/>
      <c r="H16" s="305"/>
      <c r="I16" s="305"/>
      <c r="J16" s="305"/>
    </row>
    <row r="17" spans="1:10" ht="14.25" customHeight="1">
      <c r="A17" s="305"/>
      <c r="B17" s="306">
        <v>46179</v>
      </c>
      <c r="C17" s="306"/>
      <c r="D17" s="306"/>
      <c r="E17" s="307">
        <v>16650</v>
      </c>
      <c r="F17" s="307">
        <v>5200</v>
      </c>
      <c r="G17" s="305"/>
      <c r="H17" s="305"/>
      <c r="I17" s="305"/>
      <c r="J17" s="305"/>
    </row>
    <row r="18" spans="1:10" ht="14.25" customHeight="1">
      <c r="A18" s="305"/>
      <c r="B18" s="308">
        <v>46180</v>
      </c>
      <c r="C18" s="308"/>
      <c r="D18" s="308"/>
      <c r="E18" s="307">
        <v>16500</v>
      </c>
      <c r="F18" s="307"/>
      <c r="G18" s="305"/>
      <c r="H18" s="305"/>
      <c r="I18" s="305"/>
      <c r="J18" s="305"/>
    </row>
    <row r="19" spans="1:10" ht="14.25" customHeight="1">
      <c r="A19" s="305"/>
      <c r="B19" s="306">
        <v>46186</v>
      </c>
      <c r="C19" s="306"/>
      <c r="D19" s="306"/>
      <c r="E19" s="307">
        <v>18500</v>
      </c>
      <c r="F19" s="307">
        <v>5900</v>
      </c>
      <c r="G19" s="305"/>
      <c r="H19" s="305"/>
      <c r="I19" s="305"/>
      <c r="J19" s="305"/>
    </row>
    <row r="20" spans="1:10" ht="14.25" customHeight="1">
      <c r="A20" s="305"/>
      <c r="B20" s="308">
        <v>46193</v>
      </c>
      <c r="C20" s="308"/>
      <c r="D20" s="308"/>
      <c r="E20" s="307">
        <v>18500</v>
      </c>
      <c r="F20" s="307"/>
      <c r="G20" s="305"/>
      <c r="H20" s="305"/>
      <c r="I20" s="305"/>
      <c r="J20" s="305"/>
    </row>
    <row r="21" spans="1:10" ht="14.25" customHeight="1">
      <c r="A21" s="305"/>
      <c r="B21" s="308">
        <v>46199</v>
      </c>
      <c r="C21" s="308"/>
      <c r="D21" s="308"/>
      <c r="E21" s="307">
        <v>16500</v>
      </c>
      <c r="F21" s="307">
        <v>4800</v>
      </c>
      <c r="G21" s="305"/>
      <c r="H21" s="305"/>
      <c r="I21" s="305"/>
      <c r="J21" s="305"/>
    </row>
    <row r="22" spans="1:10" ht="14.25" customHeight="1">
      <c r="A22" s="305"/>
      <c r="B22" s="308">
        <v>46200</v>
      </c>
      <c r="C22" s="308"/>
      <c r="D22" s="308"/>
      <c r="E22" s="307">
        <v>18500</v>
      </c>
      <c r="F22" s="307"/>
      <c r="G22" s="305"/>
      <c r="H22" s="305"/>
      <c r="I22" s="305"/>
      <c r="J22" s="305"/>
    </row>
    <row r="23" spans="1:10" ht="12" customHeight="1">
      <c r="A23" s="305"/>
      <c r="B23" s="308">
        <v>46214</v>
      </c>
      <c r="C23" s="308"/>
      <c r="D23" s="308"/>
      <c r="E23" s="307">
        <v>16000</v>
      </c>
      <c r="F23" s="307">
        <v>5200</v>
      </c>
      <c r="G23" s="305"/>
      <c r="H23" s="305"/>
      <c r="I23" s="305"/>
      <c r="J23" s="305"/>
    </row>
    <row r="24" spans="1:10" ht="20.25" customHeight="1">
      <c r="A24" s="309" t="s">
        <v>630</v>
      </c>
      <c r="B24" s="310">
        <v>46234</v>
      </c>
      <c r="C24" s="309" t="s">
        <v>631</v>
      </c>
      <c r="D24" s="309" t="s">
        <v>632</v>
      </c>
      <c r="E24" s="311"/>
      <c r="F24" s="312"/>
      <c r="G24" s="312">
        <v>2000</v>
      </c>
      <c r="H24" s="312">
        <f t="shared" ref="H24:H62" si="0">SUM(E24:G24)</f>
        <v>2000</v>
      </c>
      <c r="I24" s="313" t="s">
        <v>633</v>
      </c>
      <c r="J24" s="314"/>
    </row>
    <row r="25" spans="1:10" ht="20.25" customHeight="1">
      <c r="A25" s="309" t="s">
        <v>634</v>
      </c>
      <c r="B25" s="315">
        <v>46235</v>
      </c>
      <c r="C25" s="309" t="s">
        <v>635</v>
      </c>
      <c r="D25" s="309" t="s">
        <v>636</v>
      </c>
      <c r="E25" s="312">
        <v>17000</v>
      </c>
      <c r="F25" s="312">
        <f>3600+1200</f>
        <v>4800</v>
      </c>
      <c r="G25" s="312">
        <v>0</v>
      </c>
      <c r="H25" s="312">
        <f t="shared" si="0"/>
        <v>21800</v>
      </c>
      <c r="I25" s="309" t="s">
        <v>637</v>
      </c>
      <c r="J25" s="314"/>
    </row>
    <row r="26" spans="1:10" ht="20.25" customHeight="1">
      <c r="A26" s="309" t="s">
        <v>638</v>
      </c>
      <c r="B26" s="315">
        <v>46241</v>
      </c>
      <c r="C26" s="309" t="s">
        <v>631</v>
      </c>
      <c r="D26" s="309" t="s">
        <v>632</v>
      </c>
      <c r="E26" s="312">
        <v>350</v>
      </c>
      <c r="F26" s="312"/>
      <c r="G26" s="312"/>
      <c r="H26" s="312">
        <f t="shared" si="0"/>
        <v>350</v>
      </c>
      <c r="I26" s="309" t="s">
        <v>639</v>
      </c>
      <c r="J26" s="314"/>
    </row>
    <row r="27" spans="1:10" ht="20.25" customHeight="1">
      <c r="A27" s="309" t="s">
        <v>640</v>
      </c>
      <c r="B27" s="315">
        <v>46242</v>
      </c>
      <c r="C27" s="309" t="s">
        <v>635</v>
      </c>
      <c r="D27" s="309" t="s">
        <v>636</v>
      </c>
      <c r="E27" s="312">
        <v>6000</v>
      </c>
      <c r="F27" s="312">
        <v>2200</v>
      </c>
      <c r="G27" s="312">
        <v>350</v>
      </c>
      <c r="H27" s="316">
        <f t="shared" si="0"/>
        <v>8550</v>
      </c>
      <c r="I27" s="309" t="s">
        <v>641</v>
      </c>
      <c r="J27" s="314"/>
    </row>
    <row r="28" spans="1:10" ht="20.25" customHeight="1">
      <c r="A28" s="309" t="s">
        <v>642</v>
      </c>
      <c r="B28" s="315">
        <v>46249</v>
      </c>
      <c r="C28" s="309" t="s">
        <v>635</v>
      </c>
      <c r="D28" s="309" t="s">
        <v>643</v>
      </c>
      <c r="E28" s="312">
        <v>25500</v>
      </c>
      <c r="F28" s="309"/>
      <c r="G28" s="312"/>
      <c r="H28" s="312">
        <f t="shared" si="0"/>
        <v>25500</v>
      </c>
      <c r="I28" s="317"/>
      <c r="J28" s="314"/>
    </row>
    <row r="29" spans="1:10" ht="20.25" customHeight="1">
      <c r="A29" s="309" t="s">
        <v>644</v>
      </c>
      <c r="B29" s="315">
        <v>46254</v>
      </c>
      <c r="C29" s="309" t="s">
        <v>645</v>
      </c>
      <c r="D29" s="309" t="s">
        <v>646</v>
      </c>
      <c r="E29" s="312">
        <v>600</v>
      </c>
      <c r="F29" s="309"/>
      <c r="G29" s="312"/>
      <c r="H29" s="312">
        <f t="shared" si="0"/>
        <v>600</v>
      </c>
      <c r="I29" s="317" t="s">
        <v>647</v>
      </c>
      <c r="J29" s="314"/>
    </row>
    <row r="30" spans="1:10" ht="20.25" customHeight="1">
      <c r="A30" s="309" t="s">
        <v>648</v>
      </c>
      <c r="B30" s="315">
        <v>46255</v>
      </c>
      <c r="C30" s="309" t="s">
        <v>635</v>
      </c>
      <c r="D30" s="309" t="s">
        <v>632</v>
      </c>
      <c r="E30" s="312">
        <v>500</v>
      </c>
      <c r="F30" s="309"/>
      <c r="G30" s="312"/>
      <c r="H30" s="312">
        <f t="shared" si="0"/>
        <v>500</v>
      </c>
      <c r="I30" s="309" t="s">
        <v>649</v>
      </c>
      <c r="J30" s="314"/>
    </row>
    <row r="31" spans="1:10" ht="20.25" customHeight="1">
      <c r="A31" s="309" t="s">
        <v>650</v>
      </c>
      <c r="B31" s="315">
        <v>46256</v>
      </c>
      <c r="C31" s="309" t="s">
        <v>635</v>
      </c>
      <c r="D31" s="309" t="s">
        <v>636</v>
      </c>
      <c r="E31" s="312">
        <v>16500</v>
      </c>
      <c r="F31" s="318">
        <v>5200</v>
      </c>
      <c r="G31" s="312"/>
      <c r="H31" s="312">
        <f t="shared" si="0"/>
        <v>21700</v>
      </c>
      <c r="I31" s="309"/>
      <c r="J31" s="314"/>
    </row>
    <row r="32" spans="1:10" ht="20.25" customHeight="1">
      <c r="A32" s="309" t="s">
        <v>651</v>
      </c>
      <c r="B32" s="315">
        <v>46263</v>
      </c>
      <c r="C32" s="309" t="s">
        <v>635</v>
      </c>
      <c r="D32" s="309" t="s">
        <v>636</v>
      </c>
      <c r="E32" s="312">
        <v>16500</v>
      </c>
      <c r="F32" s="312">
        <v>3600</v>
      </c>
      <c r="G32" s="312">
        <v>400</v>
      </c>
      <c r="H32" s="312">
        <f t="shared" si="0"/>
        <v>20500</v>
      </c>
      <c r="I32" s="309" t="s">
        <v>652</v>
      </c>
      <c r="J32" s="314"/>
    </row>
    <row r="33" spans="1:10" ht="20.25" customHeight="1">
      <c r="A33" s="319" t="s">
        <v>653</v>
      </c>
      <c r="B33" s="320">
        <v>46264</v>
      </c>
      <c r="C33" s="319" t="s">
        <v>654</v>
      </c>
      <c r="D33" s="319" t="s">
        <v>646</v>
      </c>
      <c r="E33" s="321">
        <v>600</v>
      </c>
      <c r="F33" s="322"/>
      <c r="G33" s="321"/>
      <c r="H33" s="321">
        <f t="shared" si="0"/>
        <v>600</v>
      </c>
      <c r="I33" s="319"/>
      <c r="J33" s="323"/>
    </row>
    <row r="34" spans="1:10" ht="20.25" customHeight="1">
      <c r="A34" s="309" t="s">
        <v>655</v>
      </c>
      <c r="B34" s="315">
        <v>46269</v>
      </c>
      <c r="C34" s="309" t="s">
        <v>631</v>
      </c>
      <c r="D34" s="309" t="s">
        <v>636</v>
      </c>
      <c r="E34" s="312">
        <f>16500</f>
        <v>16500</v>
      </c>
      <c r="F34" s="312">
        <v>5200</v>
      </c>
      <c r="H34" s="312">
        <f t="shared" si="0"/>
        <v>21700</v>
      </c>
      <c r="I34" s="309" t="s">
        <v>656</v>
      </c>
      <c r="J34" s="314"/>
    </row>
    <row r="35" spans="1:10" ht="20.25" customHeight="1">
      <c r="A35" s="309" t="s">
        <v>657</v>
      </c>
      <c r="B35" s="315">
        <v>46270</v>
      </c>
      <c r="C35" s="309" t="s">
        <v>635</v>
      </c>
      <c r="D35" s="309" t="s">
        <v>658</v>
      </c>
      <c r="E35" s="312">
        <v>1450</v>
      </c>
      <c r="F35" s="324"/>
      <c r="G35" s="312"/>
      <c r="H35" s="312">
        <f t="shared" si="0"/>
        <v>1450</v>
      </c>
      <c r="I35" s="309" t="s">
        <v>659</v>
      </c>
      <c r="J35" s="314"/>
    </row>
    <row r="36" spans="1:10" ht="20.25" customHeight="1">
      <c r="A36" s="309" t="s">
        <v>660</v>
      </c>
      <c r="B36" s="315">
        <v>46270</v>
      </c>
      <c r="C36" s="309" t="s">
        <v>635</v>
      </c>
      <c r="D36" s="309" t="s">
        <v>658</v>
      </c>
      <c r="E36" s="312"/>
      <c r="F36" s="324"/>
      <c r="G36" s="312">
        <v>1200</v>
      </c>
      <c r="H36" s="312">
        <f t="shared" si="0"/>
        <v>1200</v>
      </c>
      <c r="I36" s="309" t="s">
        <v>661</v>
      </c>
      <c r="J36" s="314"/>
    </row>
    <row r="37" spans="1:10" ht="20.25" customHeight="1">
      <c r="A37" s="309" t="s">
        <v>662</v>
      </c>
      <c r="B37" s="315">
        <v>46271</v>
      </c>
      <c r="C37" s="309" t="s">
        <v>654</v>
      </c>
      <c r="D37" s="309" t="s">
        <v>636</v>
      </c>
      <c r="E37" s="312">
        <v>18500</v>
      </c>
      <c r="F37" s="324">
        <v>5900</v>
      </c>
      <c r="G37" s="312"/>
      <c r="H37" s="312">
        <f t="shared" si="0"/>
        <v>24400</v>
      </c>
      <c r="I37" s="309"/>
      <c r="J37" s="314"/>
    </row>
    <row r="38" spans="1:10" ht="20.25" customHeight="1">
      <c r="A38" s="309" t="s">
        <v>663</v>
      </c>
      <c r="B38" s="315">
        <v>46277</v>
      </c>
      <c r="C38" s="309" t="s">
        <v>635</v>
      </c>
      <c r="D38" s="309" t="s">
        <v>636</v>
      </c>
      <c r="E38" s="312">
        <v>18500</v>
      </c>
      <c r="F38" s="324">
        <v>3600</v>
      </c>
      <c r="G38" s="312"/>
      <c r="H38" s="312">
        <f t="shared" si="0"/>
        <v>22100</v>
      </c>
      <c r="I38" s="309"/>
      <c r="J38" s="314"/>
    </row>
    <row r="39" spans="1:10" ht="20.25" customHeight="1">
      <c r="A39" s="309" t="s">
        <v>664</v>
      </c>
      <c r="B39" s="315">
        <v>46283</v>
      </c>
      <c r="C39" s="309" t="s">
        <v>631</v>
      </c>
      <c r="D39" s="309" t="s">
        <v>636</v>
      </c>
      <c r="E39" s="312">
        <v>16500</v>
      </c>
      <c r="F39" s="324">
        <v>1800</v>
      </c>
      <c r="G39" s="312"/>
      <c r="H39" s="312">
        <f t="shared" si="0"/>
        <v>18300</v>
      </c>
      <c r="I39" s="309"/>
      <c r="J39" s="314"/>
    </row>
    <row r="40" spans="1:10" ht="20.25" customHeight="1">
      <c r="A40" s="309" t="s">
        <v>665</v>
      </c>
      <c r="B40" s="315">
        <v>46284</v>
      </c>
      <c r="C40" s="309" t="s">
        <v>635</v>
      </c>
      <c r="D40" s="309" t="s">
        <v>636</v>
      </c>
      <c r="E40" s="312">
        <v>18500</v>
      </c>
      <c r="F40" s="324"/>
      <c r="G40" s="312"/>
      <c r="H40" s="312">
        <f t="shared" si="0"/>
        <v>18500</v>
      </c>
      <c r="I40" s="309"/>
      <c r="J40" s="314"/>
    </row>
    <row r="41" spans="1:10" ht="20.25" customHeight="1">
      <c r="A41" s="309" t="s">
        <v>666</v>
      </c>
      <c r="B41" s="315">
        <v>46290</v>
      </c>
      <c r="C41" s="309" t="s">
        <v>631</v>
      </c>
      <c r="D41" s="309" t="s">
        <v>632</v>
      </c>
      <c r="E41" s="312">
        <v>850</v>
      </c>
      <c r="F41" s="324"/>
      <c r="G41" s="312"/>
      <c r="H41" s="312">
        <f t="shared" si="0"/>
        <v>850</v>
      </c>
      <c r="I41" s="309" t="s">
        <v>667</v>
      </c>
      <c r="J41" s="314"/>
    </row>
    <row r="42" spans="1:10" ht="20.25" customHeight="1">
      <c r="A42" s="309" t="s">
        <v>668</v>
      </c>
      <c r="B42" s="315">
        <v>46291</v>
      </c>
      <c r="C42" s="309" t="s">
        <v>635</v>
      </c>
      <c r="D42" s="309" t="s">
        <v>636</v>
      </c>
      <c r="E42" s="312">
        <v>18500</v>
      </c>
      <c r="F42" s="324">
        <v>5200</v>
      </c>
      <c r="G42" s="312"/>
      <c r="H42" s="312">
        <f t="shared" si="0"/>
        <v>23700</v>
      </c>
      <c r="I42" s="309"/>
      <c r="J42" s="314"/>
    </row>
    <row r="43" spans="1:10" ht="20.25" customHeight="1">
      <c r="A43" s="309" t="s">
        <v>669</v>
      </c>
      <c r="B43" s="315">
        <v>46297</v>
      </c>
      <c r="C43" s="309" t="s">
        <v>631</v>
      </c>
      <c r="D43" s="309" t="s">
        <v>632</v>
      </c>
      <c r="E43" s="312">
        <v>1200</v>
      </c>
      <c r="F43" s="324"/>
      <c r="G43" s="312"/>
      <c r="H43" s="312">
        <f t="shared" si="0"/>
        <v>1200</v>
      </c>
      <c r="I43" s="309" t="s">
        <v>670</v>
      </c>
      <c r="J43" s="314"/>
    </row>
    <row r="44" spans="1:10" ht="20.25" customHeight="1">
      <c r="A44" s="309" t="s">
        <v>671</v>
      </c>
      <c r="B44" s="315">
        <v>46298</v>
      </c>
      <c r="C44" s="309" t="s">
        <v>635</v>
      </c>
      <c r="D44" s="309" t="s">
        <v>636</v>
      </c>
      <c r="E44" s="312">
        <v>18500</v>
      </c>
      <c r="F44" s="324">
        <v>5200</v>
      </c>
      <c r="G44" s="312"/>
      <c r="H44" s="312">
        <f t="shared" si="0"/>
        <v>23700</v>
      </c>
      <c r="I44" s="309"/>
      <c r="J44" s="314"/>
    </row>
    <row r="45" spans="1:10" ht="20.25" customHeight="1">
      <c r="A45" s="309" t="s">
        <v>672</v>
      </c>
      <c r="B45" s="315">
        <v>46299</v>
      </c>
      <c r="C45" s="309" t="s">
        <v>654</v>
      </c>
      <c r="D45" s="309" t="s">
        <v>636</v>
      </c>
      <c r="E45" s="312">
        <v>18500</v>
      </c>
      <c r="F45" s="324"/>
      <c r="G45" s="312"/>
      <c r="H45" s="312">
        <f t="shared" si="0"/>
        <v>18500</v>
      </c>
      <c r="I45" s="309"/>
      <c r="J45" s="314"/>
    </row>
    <row r="46" spans="1:10" ht="20.25" customHeight="1">
      <c r="A46" s="325" t="s">
        <v>673</v>
      </c>
      <c r="B46" s="326">
        <v>46305</v>
      </c>
      <c r="C46" s="325" t="s">
        <v>635</v>
      </c>
      <c r="D46" s="325" t="s">
        <v>636</v>
      </c>
      <c r="E46" s="327">
        <v>18500</v>
      </c>
      <c r="F46" s="328">
        <v>5200</v>
      </c>
      <c r="G46" s="327"/>
      <c r="H46" s="327">
        <f t="shared" si="0"/>
        <v>23700</v>
      </c>
      <c r="I46" s="325" t="s">
        <v>629</v>
      </c>
      <c r="J46" s="329"/>
    </row>
    <row r="47" spans="1:10" ht="20.25" customHeight="1">
      <c r="A47" s="309" t="s">
        <v>674</v>
      </c>
      <c r="B47" s="315">
        <v>46311</v>
      </c>
      <c r="C47" s="309" t="s">
        <v>631</v>
      </c>
      <c r="D47" s="309" t="s">
        <v>636</v>
      </c>
      <c r="E47" s="312">
        <v>16500</v>
      </c>
      <c r="F47" s="324">
        <v>5200</v>
      </c>
      <c r="G47" s="312"/>
      <c r="H47" s="312">
        <f t="shared" si="0"/>
        <v>21700</v>
      </c>
      <c r="I47" s="309"/>
      <c r="J47" s="314"/>
    </row>
    <row r="48" spans="1:10" ht="20.25" customHeight="1">
      <c r="A48" s="309" t="s">
        <v>675</v>
      </c>
      <c r="B48" s="315">
        <v>46319</v>
      </c>
      <c r="C48" s="309" t="s">
        <v>635</v>
      </c>
      <c r="D48" s="309" t="s">
        <v>636</v>
      </c>
      <c r="E48" s="312">
        <v>16650</v>
      </c>
      <c r="F48" s="324">
        <v>3600</v>
      </c>
      <c r="G48" s="312"/>
      <c r="H48" s="312">
        <f t="shared" si="0"/>
        <v>20250</v>
      </c>
      <c r="I48" s="309"/>
      <c r="J48" s="314"/>
    </row>
    <row r="49" spans="1:10" ht="20.25" customHeight="1">
      <c r="A49" s="309" t="s">
        <v>676</v>
      </c>
      <c r="B49" s="310">
        <v>46325</v>
      </c>
      <c r="C49" s="309" t="s">
        <v>631</v>
      </c>
      <c r="D49" s="309" t="s">
        <v>636</v>
      </c>
      <c r="E49" s="312">
        <v>16500</v>
      </c>
      <c r="F49" s="312">
        <v>5200</v>
      </c>
      <c r="G49" s="312">
        <v>250</v>
      </c>
      <c r="H49" s="312">
        <f t="shared" si="0"/>
        <v>21950</v>
      </c>
      <c r="I49" s="309" t="s">
        <v>677</v>
      </c>
      <c r="J49" s="314"/>
    </row>
    <row r="50" spans="1:10" ht="20.25" customHeight="1">
      <c r="A50" s="309" t="s">
        <v>678</v>
      </c>
      <c r="B50" s="310">
        <v>46331</v>
      </c>
      <c r="C50" s="309" t="s">
        <v>645</v>
      </c>
      <c r="D50" s="309" t="s">
        <v>646</v>
      </c>
      <c r="E50" s="312">
        <v>600</v>
      </c>
      <c r="F50" s="309"/>
      <c r="G50" s="309"/>
      <c r="H50" s="312">
        <f t="shared" si="0"/>
        <v>600</v>
      </c>
      <c r="I50" s="312" t="s">
        <v>647</v>
      </c>
      <c r="J50" s="314"/>
    </row>
    <row r="51" spans="1:10" ht="20.25" customHeight="1">
      <c r="A51" s="309" t="s">
        <v>678</v>
      </c>
      <c r="B51" s="310">
        <v>46332</v>
      </c>
      <c r="C51" s="309" t="s">
        <v>631</v>
      </c>
      <c r="D51" s="309" t="s">
        <v>646</v>
      </c>
      <c r="E51" s="312">
        <v>600</v>
      </c>
      <c r="F51" s="309"/>
      <c r="G51" s="309"/>
      <c r="H51" s="312">
        <f t="shared" si="0"/>
        <v>600</v>
      </c>
      <c r="I51" s="312" t="s">
        <v>679</v>
      </c>
      <c r="J51" s="314"/>
    </row>
    <row r="52" spans="1:10" ht="20.25" customHeight="1">
      <c r="A52" s="309" t="s">
        <v>680</v>
      </c>
      <c r="B52" s="310">
        <v>46347</v>
      </c>
      <c r="C52" s="309" t="s">
        <v>635</v>
      </c>
      <c r="D52" s="309" t="s">
        <v>636</v>
      </c>
      <c r="E52" s="312">
        <v>17000</v>
      </c>
      <c r="F52" s="312">
        <v>3600</v>
      </c>
      <c r="G52" s="309"/>
      <c r="H52" s="312">
        <f t="shared" si="0"/>
        <v>20600</v>
      </c>
      <c r="I52" s="330"/>
      <c r="J52" s="314"/>
    </row>
    <row r="53" spans="1:10" ht="20.25" customHeight="1">
      <c r="A53" s="309" t="s">
        <v>681</v>
      </c>
      <c r="B53" s="310">
        <v>46466</v>
      </c>
      <c r="C53" s="309" t="s">
        <v>635</v>
      </c>
      <c r="D53" s="309" t="s">
        <v>636</v>
      </c>
      <c r="E53" s="312">
        <v>19500</v>
      </c>
      <c r="F53" s="312"/>
      <c r="G53" s="309"/>
      <c r="H53" s="312">
        <f t="shared" si="0"/>
        <v>19500</v>
      </c>
      <c r="I53" s="317"/>
      <c r="J53" s="314"/>
    </row>
    <row r="54" spans="1:10" ht="20.25" customHeight="1">
      <c r="A54" s="331" t="s">
        <v>682</v>
      </c>
      <c r="B54" s="310">
        <v>46494</v>
      </c>
      <c r="C54" s="309" t="s">
        <v>635</v>
      </c>
      <c r="D54" s="309" t="s">
        <v>636</v>
      </c>
      <c r="E54" s="312">
        <v>19500</v>
      </c>
      <c r="F54" s="312"/>
      <c r="G54" s="309"/>
      <c r="H54" s="312">
        <f t="shared" si="0"/>
        <v>19500</v>
      </c>
      <c r="I54" s="317"/>
      <c r="J54" s="314"/>
    </row>
    <row r="55" spans="1:10" ht="20.25" customHeight="1">
      <c r="A55" s="309" t="s">
        <v>683</v>
      </c>
      <c r="B55" s="310">
        <v>46501</v>
      </c>
      <c r="C55" s="309" t="s">
        <v>635</v>
      </c>
      <c r="D55" s="309" t="s">
        <v>636</v>
      </c>
      <c r="E55" s="312">
        <v>19500</v>
      </c>
      <c r="F55" s="312"/>
      <c r="G55" s="309"/>
      <c r="H55" s="312">
        <f t="shared" si="0"/>
        <v>19500</v>
      </c>
      <c r="I55" s="317"/>
      <c r="J55" s="314"/>
    </row>
    <row r="56" spans="1:10" ht="20.25" customHeight="1">
      <c r="A56" s="313" t="s">
        <v>684</v>
      </c>
      <c r="B56" s="332">
        <v>46508</v>
      </c>
      <c r="C56" s="313" t="s">
        <v>635</v>
      </c>
      <c r="D56" s="313" t="s">
        <v>636</v>
      </c>
      <c r="E56" s="316">
        <v>19500</v>
      </c>
      <c r="F56" s="316"/>
      <c r="G56" s="313"/>
      <c r="H56" s="316">
        <f t="shared" si="0"/>
        <v>19500</v>
      </c>
      <c r="I56" s="333"/>
      <c r="J56" s="334"/>
    </row>
    <row r="57" spans="1:10" ht="20.25" customHeight="1">
      <c r="A57" s="309" t="s">
        <v>685</v>
      </c>
      <c r="B57" s="310">
        <v>46522</v>
      </c>
      <c r="C57" s="309" t="s">
        <v>635</v>
      </c>
      <c r="D57" s="309" t="s">
        <v>636</v>
      </c>
      <c r="E57" s="312">
        <v>18500</v>
      </c>
      <c r="F57" s="312"/>
      <c r="G57" s="309"/>
      <c r="H57" s="312">
        <f t="shared" si="0"/>
        <v>18500</v>
      </c>
      <c r="I57" s="317"/>
      <c r="J57" s="314"/>
    </row>
    <row r="58" spans="1:10" ht="20.25" customHeight="1">
      <c r="A58" s="309" t="s">
        <v>686</v>
      </c>
      <c r="B58" s="310">
        <v>46529</v>
      </c>
      <c r="C58" s="309" t="s">
        <v>635</v>
      </c>
      <c r="D58" s="309" t="s">
        <v>636</v>
      </c>
      <c r="E58" s="312">
        <v>19500</v>
      </c>
      <c r="F58" s="312"/>
      <c r="G58" s="309"/>
      <c r="H58" s="312">
        <f t="shared" si="0"/>
        <v>19500</v>
      </c>
      <c r="I58" s="317"/>
      <c r="J58" s="314"/>
    </row>
    <row r="59" spans="1:10" ht="20.25" customHeight="1">
      <c r="A59" s="309" t="s">
        <v>687</v>
      </c>
      <c r="B59" s="310">
        <v>46536</v>
      </c>
      <c r="C59" s="309" t="s">
        <v>635</v>
      </c>
      <c r="D59" s="309" t="s">
        <v>688</v>
      </c>
      <c r="E59" s="312">
        <v>50000</v>
      </c>
      <c r="F59" s="312"/>
      <c r="G59" s="309"/>
      <c r="H59" s="312">
        <f t="shared" si="0"/>
        <v>50000</v>
      </c>
      <c r="I59" s="317"/>
      <c r="J59" s="314"/>
    </row>
    <row r="60" spans="1:10" ht="20.25" customHeight="1">
      <c r="A60" s="309" t="s">
        <v>689</v>
      </c>
      <c r="B60" s="310">
        <v>46543</v>
      </c>
      <c r="C60" s="309" t="s">
        <v>635</v>
      </c>
      <c r="D60" s="309" t="s">
        <v>688</v>
      </c>
      <c r="E60" s="312">
        <v>50000</v>
      </c>
      <c r="F60" s="312"/>
      <c r="G60" s="309"/>
      <c r="H60" s="312">
        <f t="shared" si="0"/>
        <v>50000</v>
      </c>
      <c r="I60" s="317"/>
      <c r="J60" s="314"/>
    </row>
    <row r="61" spans="1:10" ht="20.25" customHeight="1">
      <c r="A61" s="309" t="s">
        <v>690</v>
      </c>
      <c r="B61" s="310">
        <v>46557</v>
      </c>
      <c r="C61" s="309" t="s">
        <v>635</v>
      </c>
      <c r="D61" s="309" t="s">
        <v>636</v>
      </c>
      <c r="E61" s="312">
        <v>19500</v>
      </c>
      <c r="F61" s="312"/>
      <c r="G61" s="309"/>
      <c r="H61" s="312">
        <f t="shared" si="0"/>
        <v>19500</v>
      </c>
      <c r="I61" s="317"/>
      <c r="J61" s="314"/>
    </row>
    <row r="62" spans="1:10" ht="20.25" customHeight="1">
      <c r="A62" s="309" t="s">
        <v>691</v>
      </c>
      <c r="B62" s="310">
        <v>46563</v>
      </c>
      <c r="C62" s="309" t="s">
        <v>631</v>
      </c>
      <c r="D62" s="309" t="s">
        <v>632</v>
      </c>
      <c r="E62" s="312">
        <v>1200</v>
      </c>
      <c r="F62" s="312"/>
      <c r="G62" s="309"/>
      <c r="H62" s="312">
        <f t="shared" si="0"/>
        <v>1200</v>
      </c>
      <c r="I62" s="317" t="s">
        <v>692</v>
      </c>
      <c r="J62" s="314"/>
    </row>
    <row r="63" spans="1:10" ht="20.25" customHeight="1">
      <c r="A63" s="309" t="s">
        <v>693</v>
      </c>
      <c r="B63" s="310">
        <v>46564</v>
      </c>
      <c r="C63" s="309" t="s">
        <v>635</v>
      </c>
      <c r="D63" s="309" t="s">
        <v>636</v>
      </c>
      <c r="E63" s="312">
        <v>19500</v>
      </c>
      <c r="F63" s="312">
        <v>5200</v>
      </c>
      <c r="G63" s="309"/>
      <c r="H63" s="312">
        <f t="shared" ref="H63" si="1">SUM(E63:G63)</f>
        <v>24700</v>
      </c>
      <c r="I63" s="317"/>
      <c r="J63" s="314"/>
    </row>
    <row r="64" spans="1:10" ht="20.25" customHeight="1">
      <c r="A64" s="335" t="s">
        <v>694</v>
      </c>
      <c r="B64" s="336">
        <v>46683</v>
      </c>
      <c r="C64" s="335" t="s">
        <v>635</v>
      </c>
      <c r="D64" s="335" t="s">
        <v>636</v>
      </c>
      <c r="E64" s="337">
        <v>19500</v>
      </c>
      <c r="F64" s="337"/>
      <c r="G64" s="335"/>
      <c r="H64" s="337"/>
      <c r="I64" s="338"/>
      <c r="J64" s="339"/>
    </row>
    <row r="65" spans="1:10" ht="20.25" customHeight="1">
      <c r="A65" s="309"/>
      <c r="B65" s="310"/>
      <c r="C65" s="309"/>
      <c r="D65" s="309"/>
      <c r="E65" s="312"/>
      <c r="F65" s="312"/>
      <c r="G65" s="309"/>
      <c r="H65" s="312">
        <f>SUM(H28:H63)</f>
        <v>615800</v>
      </c>
      <c r="I65" s="317"/>
      <c r="J65" s="314"/>
    </row>
  </sheetData>
  <conditionalFormatting sqref="D1:D24 B1:B52 C1:C65 D28:D48 D50:D52">
    <cfRule type="timePeriod" dxfId="8" priority="1" timePeriod="today">
      <formula>FLOOR(B1,1)=TODAY()</formula>
    </cfRule>
  </conditionalFormatting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59C6-7544-4B7A-8D5B-4D9FEA08B2D2}">
  <sheetPr>
    <tabColor theme="3"/>
  </sheetPr>
  <dimension ref="A1:K319"/>
  <sheetViews>
    <sheetView workbookViewId="0"/>
  </sheetViews>
  <sheetFormatPr defaultRowHeight="14.5"/>
  <cols>
    <col min="2" max="2" width="28.453125" customWidth="1"/>
    <col min="3" max="3" width="28.54296875" customWidth="1"/>
    <col min="4" max="5" width="10.453125" bestFit="1" customWidth="1"/>
  </cols>
  <sheetData>
    <row r="1" spans="1:11">
      <c r="E1" t="s">
        <v>1160</v>
      </c>
    </row>
    <row r="2" spans="1:11" ht="17">
      <c r="A2" s="357">
        <v>1</v>
      </c>
      <c r="B2" s="358" t="s">
        <v>754</v>
      </c>
      <c r="C2" s="358" t="s">
        <v>755</v>
      </c>
      <c r="D2" s="358" t="s">
        <v>756</v>
      </c>
      <c r="E2" s="359">
        <v>46026</v>
      </c>
      <c r="F2" s="350">
        <f>EOMONTH(E2,0)</f>
        <v>46053</v>
      </c>
      <c r="H2" s="2" t="s">
        <v>468</v>
      </c>
      <c r="I2" s="2"/>
    </row>
    <row r="3" spans="1:11" ht="17">
      <c r="A3" s="357">
        <v>2</v>
      </c>
      <c r="B3" s="358" t="s">
        <v>757</v>
      </c>
      <c r="C3" s="358" t="s">
        <v>758</v>
      </c>
      <c r="D3" s="358" t="s">
        <v>756</v>
      </c>
      <c r="E3" s="359">
        <v>46026</v>
      </c>
      <c r="F3" s="350">
        <f t="shared" ref="F3:F66" si="0">EOMONTH(E3,0)</f>
        <v>46053</v>
      </c>
      <c r="H3" s="2" t="s">
        <v>473</v>
      </c>
      <c r="I3" s="2" t="s">
        <v>1161</v>
      </c>
    </row>
    <row r="4" spans="1:11" ht="15.5">
      <c r="A4" s="357">
        <v>3</v>
      </c>
      <c r="B4" s="358" t="s">
        <v>759</v>
      </c>
      <c r="C4" s="358" t="s">
        <v>760</v>
      </c>
      <c r="D4" s="358" t="s">
        <v>756</v>
      </c>
      <c r="E4" s="359">
        <v>46027</v>
      </c>
      <c r="F4" s="350">
        <f t="shared" si="0"/>
        <v>46053</v>
      </c>
      <c r="H4" s="350">
        <v>46053</v>
      </c>
      <c r="I4">
        <f>COUNTIFS(F:F,H4)</f>
        <v>67</v>
      </c>
      <c r="J4">
        <f>AVERAGE(I4:I10)</f>
        <v>43.571428571428569</v>
      </c>
      <c r="K4">
        <f>J4*12</f>
        <v>522.85714285714289</v>
      </c>
    </row>
    <row r="5" spans="1:11" ht="15.5">
      <c r="A5" s="357">
        <v>4</v>
      </c>
      <c r="B5" s="358" t="s">
        <v>761</v>
      </c>
      <c r="C5" s="358" t="s">
        <v>762</v>
      </c>
      <c r="D5" s="358" t="s">
        <v>756</v>
      </c>
      <c r="E5" s="359">
        <v>46027</v>
      </c>
      <c r="F5" s="350">
        <f t="shared" si="0"/>
        <v>46053</v>
      </c>
      <c r="H5" s="350">
        <f>EOMONTH(H4,1)</f>
        <v>46081</v>
      </c>
      <c r="I5">
        <f t="shared" ref="I5:I10" si="1">COUNTIFS(F:F,H5)</f>
        <v>30</v>
      </c>
    </row>
    <row r="6" spans="1:11" ht="15.5">
      <c r="A6" s="357">
        <v>5</v>
      </c>
      <c r="B6" s="358" t="s">
        <v>763</v>
      </c>
      <c r="C6" s="358" t="s">
        <v>764</v>
      </c>
      <c r="D6" s="359">
        <v>46270</v>
      </c>
      <c r="E6" s="359">
        <v>46028</v>
      </c>
      <c r="F6" s="350">
        <f t="shared" si="0"/>
        <v>46053</v>
      </c>
      <c r="H6" s="350">
        <f t="shared" ref="H6:H10" si="2">EOMONTH(H5,1)</f>
        <v>46112</v>
      </c>
      <c r="I6">
        <f t="shared" si="1"/>
        <v>29</v>
      </c>
    </row>
    <row r="7" spans="1:11" ht="15.5">
      <c r="A7" s="357">
        <v>6</v>
      </c>
      <c r="B7" s="358" t="s">
        <v>765</v>
      </c>
      <c r="C7" s="358" t="s">
        <v>766</v>
      </c>
      <c r="D7" s="359">
        <v>46255</v>
      </c>
      <c r="E7" s="359">
        <v>46028</v>
      </c>
      <c r="F7" s="350">
        <f t="shared" si="0"/>
        <v>46053</v>
      </c>
      <c r="H7" s="350">
        <f t="shared" si="2"/>
        <v>46142</v>
      </c>
      <c r="I7">
        <f t="shared" si="1"/>
        <v>53</v>
      </c>
    </row>
    <row r="8" spans="1:11" ht="15.5">
      <c r="A8" s="357">
        <v>7</v>
      </c>
      <c r="B8" s="358" t="s">
        <v>767</v>
      </c>
      <c r="C8" s="358" t="s">
        <v>768</v>
      </c>
      <c r="D8" s="358" t="s">
        <v>756</v>
      </c>
      <c r="E8" s="359">
        <v>46029</v>
      </c>
      <c r="F8" s="350">
        <f t="shared" si="0"/>
        <v>46053</v>
      </c>
      <c r="H8" s="350">
        <f t="shared" si="2"/>
        <v>46173</v>
      </c>
      <c r="I8">
        <f t="shared" si="1"/>
        <v>45</v>
      </c>
    </row>
    <row r="9" spans="1:11" ht="15.5">
      <c r="A9" s="357">
        <v>8</v>
      </c>
      <c r="B9" s="358" t="s">
        <v>769</v>
      </c>
      <c r="C9" s="358" t="s">
        <v>770</v>
      </c>
      <c r="D9" s="358" t="s">
        <v>756</v>
      </c>
      <c r="E9" s="359">
        <v>46029</v>
      </c>
      <c r="F9" s="350">
        <f t="shared" si="0"/>
        <v>46053</v>
      </c>
      <c r="H9" s="350">
        <f t="shared" si="2"/>
        <v>46203</v>
      </c>
      <c r="I9">
        <f t="shared" si="1"/>
        <v>43</v>
      </c>
    </row>
    <row r="10" spans="1:11" ht="15.5">
      <c r="A10" s="357">
        <v>9</v>
      </c>
      <c r="B10" s="358" t="s">
        <v>771</v>
      </c>
      <c r="C10" s="358" t="s">
        <v>772</v>
      </c>
      <c r="D10" s="358" t="s">
        <v>756</v>
      </c>
      <c r="E10" s="359">
        <v>46030</v>
      </c>
      <c r="F10" s="350">
        <f t="shared" si="0"/>
        <v>46053</v>
      </c>
      <c r="H10" s="350">
        <f t="shared" si="2"/>
        <v>46234</v>
      </c>
      <c r="I10">
        <f t="shared" si="1"/>
        <v>38</v>
      </c>
    </row>
    <row r="11" spans="1:11" ht="15.5">
      <c r="A11" s="357">
        <v>10</v>
      </c>
      <c r="B11" s="358" t="s">
        <v>773</v>
      </c>
      <c r="C11" s="358" t="s">
        <v>774</v>
      </c>
      <c r="D11" s="359">
        <v>46290</v>
      </c>
      <c r="E11" s="359">
        <v>46030</v>
      </c>
      <c r="F11" s="350">
        <f t="shared" si="0"/>
        <v>46053</v>
      </c>
    </row>
    <row r="12" spans="1:11" ht="15.5">
      <c r="A12" s="357">
        <v>11</v>
      </c>
      <c r="B12" s="358" t="s">
        <v>775</v>
      </c>
      <c r="C12" s="358" t="s">
        <v>776</v>
      </c>
      <c r="D12" s="358" t="s">
        <v>756</v>
      </c>
      <c r="E12" s="359">
        <v>46030</v>
      </c>
      <c r="F12" s="350">
        <f t="shared" si="0"/>
        <v>46053</v>
      </c>
      <c r="I12">
        <f>SUM(Tours!G3:G9)/SUM(I3:I10)</f>
        <v>0.13442622950819672</v>
      </c>
    </row>
    <row r="13" spans="1:11" ht="15.5">
      <c r="A13" s="357">
        <v>12</v>
      </c>
      <c r="B13" s="358" t="s">
        <v>777</v>
      </c>
      <c r="C13" s="358" t="s">
        <v>778</v>
      </c>
      <c r="D13" s="358" t="s">
        <v>756</v>
      </c>
      <c r="E13" s="359">
        <v>46032</v>
      </c>
      <c r="F13" s="350">
        <f t="shared" si="0"/>
        <v>46053</v>
      </c>
    </row>
    <row r="14" spans="1:11" ht="15.5">
      <c r="A14" s="357">
        <v>13</v>
      </c>
      <c r="B14" s="358" t="s">
        <v>712</v>
      </c>
      <c r="C14" s="358" t="s">
        <v>779</v>
      </c>
      <c r="D14" s="359">
        <v>46241</v>
      </c>
      <c r="E14" s="359">
        <v>46034</v>
      </c>
      <c r="F14" s="350">
        <f t="shared" si="0"/>
        <v>46053</v>
      </c>
    </row>
    <row r="15" spans="1:11" ht="15.5">
      <c r="A15" s="357">
        <v>14</v>
      </c>
      <c r="B15" s="358" t="s">
        <v>780</v>
      </c>
      <c r="C15" s="358" t="s">
        <v>781</v>
      </c>
      <c r="D15" s="358" t="s">
        <v>756</v>
      </c>
      <c r="E15" s="359">
        <v>46034</v>
      </c>
      <c r="F15" s="350">
        <f t="shared" si="0"/>
        <v>46053</v>
      </c>
    </row>
    <row r="16" spans="1:11" ht="15.5">
      <c r="A16" s="357">
        <v>15</v>
      </c>
      <c r="B16" s="358" t="s">
        <v>782</v>
      </c>
      <c r="C16" s="358" t="s">
        <v>783</v>
      </c>
      <c r="D16" s="358" t="s">
        <v>756</v>
      </c>
      <c r="E16" s="359">
        <v>46035</v>
      </c>
      <c r="F16" s="350">
        <f t="shared" si="0"/>
        <v>46053</v>
      </c>
    </row>
    <row r="17" spans="1:6" ht="15.5">
      <c r="A17" s="357">
        <v>16</v>
      </c>
      <c r="B17" s="358" t="s">
        <v>784</v>
      </c>
      <c r="C17" s="358" t="s">
        <v>785</v>
      </c>
      <c r="D17" s="359">
        <v>46270</v>
      </c>
      <c r="E17" s="359">
        <v>46035</v>
      </c>
      <c r="F17" s="350">
        <f t="shared" si="0"/>
        <v>46053</v>
      </c>
    </row>
    <row r="18" spans="1:6" ht="15.5">
      <c r="A18" s="357">
        <v>17</v>
      </c>
      <c r="B18" s="358" t="s">
        <v>786</v>
      </c>
      <c r="C18" s="358" t="s">
        <v>787</v>
      </c>
      <c r="D18" s="359">
        <v>46299</v>
      </c>
      <c r="E18" s="359">
        <v>46035</v>
      </c>
      <c r="F18" s="350">
        <f t="shared" si="0"/>
        <v>46053</v>
      </c>
    </row>
    <row r="19" spans="1:6" ht="15.5">
      <c r="A19" s="357">
        <v>18</v>
      </c>
      <c r="B19" s="358" t="s">
        <v>788</v>
      </c>
      <c r="C19" s="358" t="s">
        <v>789</v>
      </c>
      <c r="D19" s="358" t="s">
        <v>756</v>
      </c>
      <c r="E19" s="359">
        <v>46035</v>
      </c>
      <c r="F19" s="350">
        <f t="shared" si="0"/>
        <v>46053</v>
      </c>
    </row>
    <row r="20" spans="1:6" ht="15.5">
      <c r="A20" s="357">
        <v>19</v>
      </c>
      <c r="B20" s="358" t="s">
        <v>790</v>
      </c>
      <c r="C20" s="358" t="s">
        <v>791</v>
      </c>
      <c r="D20" s="358" t="s">
        <v>756</v>
      </c>
      <c r="E20" s="359">
        <v>46035</v>
      </c>
      <c r="F20" s="350">
        <f t="shared" si="0"/>
        <v>46053</v>
      </c>
    </row>
    <row r="21" spans="1:6" ht="15.5">
      <c r="A21" s="357">
        <v>20</v>
      </c>
      <c r="B21" s="358" t="s">
        <v>792</v>
      </c>
      <c r="C21" s="358" t="s">
        <v>793</v>
      </c>
      <c r="D21" s="358" t="s">
        <v>756</v>
      </c>
      <c r="E21" s="359">
        <v>46035</v>
      </c>
      <c r="F21" s="350">
        <f t="shared" si="0"/>
        <v>46053</v>
      </c>
    </row>
    <row r="22" spans="1:6" ht="15.5">
      <c r="A22" s="357">
        <v>21</v>
      </c>
      <c r="B22" s="358" t="s">
        <v>794</v>
      </c>
      <c r="C22" s="358" t="s">
        <v>795</v>
      </c>
      <c r="D22" s="358" t="s">
        <v>756</v>
      </c>
      <c r="E22" s="359">
        <v>46036</v>
      </c>
      <c r="F22" s="350">
        <f t="shared" si="0"/>
        <v>46053</v>
      </c>
    </row>
    <row r="23" spans="1:6" ht="15.5">
      <c r="A23" s="357">
        <v>22</v>
      </c>
      <c r="B23" s="358" t="s">
        <v>796</v>
      </c>
      <c r="C23" s="358" t="s">
        <v>797</v>
      </c>
      <c r="D23" s="358" t="s">
        <v>756</v>
      </c>
      <c r="E23" s="359">
        <v>46036</v>
      </c>
      <c r="F23" s="350">
        <f t="shared" si="0"/>
        <v>46053</v>
      </c>
    </row>
    <row r="24" spans="1:6" ht="15.5">
      <c r="A24" s="357">
        <v>23</v>
      </c>
      <c r="B24" s="358" t="s">
        <v>798</v>
      </c>
      <c r="C24" s="358" t="s">
        <v>799</v>
      </c>
      <c r="D24" s="358" t="s">
        <v>756</v>
      </c>
      <c r="E24" s="359">
        <v>46036</v>
      </c>
      <c r="F24" s="350">
        <f t="shared" si="0"/>
        <v>46053</v>
      </c>
    </row>
    <row r="25" spans="1:6" ht="15.5">
      <c r="A25" s="357">
        <v>24</v>
      </c>
      <c r="B25" s="358" t="s">
        <v>800</v>
      </c>
      <c r="C25" s="358" t="s">
        <v>801</v>
      </c>
      <c r="D25" s="359">
        <v>46185</v>
      </c>
      <c r="E25" s="359">
        <v>46036</v>
      </c>
      <c r="F25" s="350">
        <f t="shared" si="0"/>
        <v>46053</v>
      </c>
    </row>
    <row r="26" spans="1:6" ht="15.5">
      <c r="A26" s="357">
        <v>25</v>
      </c>
      <c r="B26" s="358" t="s">
        <v>802</v>
      </c>
      <c r="C26" s="358" t="s">
        <v>803</v>
      </c>
      <c r="D26" s="358" t="s">
        <v>756</v>
      </c>
      <c r="E26" s="359">
        <v>46036</v>
      </c>
      <c r="F26" s="350">
        <f t="shared" si="0"/>
        <v>46053</v>
      </c>
    </row>
    <row r="27" spans="1:6" ht="15.5">
      <c r="A27" s="357">
        <v>26</v>
      </c>
      <c r="B27" s="358" t="s">
        <v>804</v>
      </c>
      <c r="C27" s="358" t="s">
        <v>805</v>
      </c>
      <c r="D27" s="358" t="s">
        <v>756</v>
      </c>
      <c r="E27" s="359">
        <v>46036</v>
      </c>
      <c r="F27" s="350">
        <f t="shared" si="0"/>
        <v>46053</v>
      </c>
    </row>
    <row r="28" spans="1:6" ht="15.5">
      <c r="A28" s="357">
        <v>27</v>
      </c>
      <c r="B28" s="358" t="s">
        <v>806</v>
      </c>
      <c r="C28" s="358" t="s">
        <v>807</v>
      </c>
      <c r="D28" s="358" t="s">
        <v>756</v>
      </c>
      <c r="E28" s="359">
        <v>46036</v>
      </c>
      <c r="F28" s="350">
        <f t="shared" si="0"/>
        <v>46053</v>
      </c>
    </row>
    <row r="29" spans="1:6" ht="15.5">
      <c r="A29" s="357">
        <v>28</v>
      </c>
      <c r="B29" s="358" t="s">
        <v>808</v>
      </c>
      <c r="C29" s="358" t="s">
        <v>809</v>
      </c>
      <c r="D29" s="358" t="s">
        <v>756</v>
      </c>
      <c r="E29" s="359">
        <v>46036</v>
      </c>
      <c r="F29" s="350">
        <f t="shared" si="0"/>
        <v>46053</v>
      </c>
    </row>
    <row r="30" spans="1:6" ht="15.5">
      <c r="A30" s="357">
        <v>29</v>
      </c>
      <c r="B30" s="358" t="s">
        <v>810</v>
      </c>
      <c r="C30" s="358" t="s">
        <v>811</v>
      </c>
      <c r="D30" s="358" t="s">
        <v>756</v>
      </c>
      <c r="E30" s="359">
        <v>46037</v>
      </c>
      <c r="F30" s="350">
        <f t="shared" si="0"/>
        <v>46053</v>
      </c>
    </row>
    <row r="31" spans="1:6" ht="15.5">
      <c r="A31" s="357">
        <v>30</v>
      </c>
      <c r="B31" s="358" t="s">
        <v>812</v>
      </c>
      <c r="C31" s="358" t="s">
        <v>813</v>
      </c>
      <c r="D31" s="359">
        <v>46180</v>
      </c>
      <c r="E31" s="359">
        <v>46037</v>
      </c>
      <c r="F31" s="350">
        <f t="shared" si="0"/>
        <v>46053</v>
      </c>
    </row>
    <row r="32" spans="1:6" ht="15.5">
      <c r="A32" s="357">
        <v>31</v>
      </c>
      <c r="B32" s="358" t="s">
        <v>814</v>
      </c>
      <c r="C32" s="358" t="s">
        <v>815</v>
      </c>
      <c r="D32" s="358" t="s">
        <v>756</v>
      </c>
      <c r="E32" s="359">
        <v>46037</v>
      </c>
      <c r="F32" s="350">
        <f t="shared" si="0"/>
        <v>46053</v>
      </c>
    </row>
    <row r="33" spans="1:6" ht="15.5">
      <c r="A33" s="357">
        <v>32</v>
      </c>
      <c r="B33" s="358" t="s">
        <v>816</v>
      </c>
      <c r="C33" s="358" t="s">
        <v>817</v>
      </c>
      <c r="D33" s="358" t="s">
        <v>756</v>
      </c>
      <c r="E33" s="359">
        <v>46038</v>
      </c>
      <c r="F33" s="350">
        <f t="shared" si="0"/>
        <v>46053</v>
      </c>
    </row>
    <row r="34" spans="1:6" ht="15.5">
      <c r="A34" s="357">
        <v>33</v>
      </c>
      <c r="B34" s="358" t="s">
        <v>818</v>
      </c>
      <c r="C34" s="358" t="s">
        <v>819</v>
      </c>
      <c r="D34" s="358" t="s">
        <v>756</v>
      </c>
      <c r="E34" s="359">
        <v>46039</v>
      </c>
      <c r="F34" s="350">
        <f t="shared" si="0"/>
        <v>46053</v>
      </c>
    </row>
    <row r="35" spans="1:6" ht="15.5">
      <c r="A35" s="357">
        <v>34</v>
      </c>
      <c r="B35" s="358" t="s">
        <v>820</v>
      </c>
      <c r="C35" s="358" t="s">
        <v>821</v>
      </c>
      <c r="D35" s="358" t="s">
        <v>756</v>
      </c>
      <c r="E35" s="359">
        <v>46039</v>
      </c>
      <c r="F35" s="350">
        <f t="shared" si="0"/>
        <v>46053</v>
      </c>
    </row>
    <row r="36" spans="1:6" ht="15.5">
      <c r="A36" s="357">
        <v>35</v>
      </c>
      <c r="B36" s="358" t="s">
        <v>822</v>
      </c>
      <c r="C36" s="358" t="s">
        <v>823</v>
      </c>
      <c r="D36" s="358" t="s">
        <v>756</v>
      </c>
      <c r="E36" s="359">
        <v>46039</v>
      </c>
      <c r="F36" s="350">
        <f t="shared" si="0"/>
        <v>46053</v>
      </c>
    </row>
    <row r="37" spans="1:6" ht="15.5">
      <c r="A37" s="357">
        <v>36</v>
      </c>
      <c r="B37" s="358" t="s">
        <v>824</v>
      </c>
      <c r="C37" s="358" t="s">
        <v>825</v>
      </c>
      <c r="D37" s="358" t="s">
        <v>756</v>
      </c>
      <c r="E37" s="359">
        <v>46039</v>
      </c>
      <c r="F37" s="350">
        <f t="shared" si="0"/>
        <v>46053</v>
      </c>
    </row>
    <row r="38" spans="1:6" ht="15.5">
      <c r="A38" s="357">
        <v>37</v>
      </c>
      <c r="B38" s="358" t="s">
        <v>826</v>
      </c>
      <c r="C38" s="358" t="s">
        <v>827</v>
      </c>
      <c r="D38" s="358" t="s">
        <v>756</v>
      </c>
      <c r="E38" s="359">
        <v>46039</v>
      </c>
      <c r="F38" s="350">
        <f t="shared" si="0"/>
        <v>46053</v>
      </c>
    </row>
    <row r="39" spans="1:6" ht="15.5">
      <c r="A39" s="357">
        <v>38</v>
      </c>
      <c r="B39" s="358" t="s">
        <v>828</v>
      </c>
      <c r="C39" s="358" t="s">
        <v>829</v>
      </c>
      <c r="D39" s="358" t="s">
        <v>756</v>
      </c>
      <c r="E39" s="359">
        <v>46040</v>
      </c>
      <c r="F39" s="350">
        <f t="shared" si="0"/>
        <v>46053</v>
      </c>
    </row>
    <row r="40" spans="1:6" ht="15.5">
      <c r="A40" s="357">
        <v>39</v>
      </c>
      <c r="B40" s="358" t="s">
        <v>830</v>
      </c>
      <c r="C40" s="358" t="s">
        <v>831</v>
      </c>
      <c r="D40" s="358" t="s">
        <v>756</v>
      </c>
      <c r="E40" s="359">
        <v>46040</v>
      </c>
      <c r="F40" s="350">
        <f t="shared" si="0"/>
        <v>46053</v>
      </c>
    </row>
    <row r="41" spans="1:6" ht="15.5">
      <c r="A41" s="357">
        <v>40</v>
      </c>
      <c r="B41" s="358" t="s">
        <v>832</v>
      </c>
      <c r="C41" s="358" t="s">
        <v>833</v>
      </c>
      <c r="D41" s="358" t="s">
        <v>756</v>
      </c>
      <c r="E41" s="359">
        <v>46040</v>
      </c>
      <c r="F41" s="350">
        <f t="shared" si="0"/>
        <v>46053</v>
      </c>
    </row>
    <row r="42" spans="1:6" ht="15.5">
      <c r="A42" s="357">
        <v>41</v>
      </c>
      <c r="B42" s="358" t="s">
        <v>634</v>
      </c>
      <c r="C42" s="358" t="s">
        <v>834</v>
      </c>
      <c r="D42" s="359">
        <v>46235</v>
      </c>
      <c r="E42" s="359">
        <v>46041</v>
      </c>
      <c r="F42" s="350">
        <f t="shared" si="0"/>
        <v>46053</v>
      </c>
    </row>
    <row r="43" spans="1:6" ht="15.5">
      <c r="A43" s="357">
        <v>42</v>
      </c>
      <c r="B43" s="358" t="s">
        <v>835</v>
      </c>
      <c r="C43" s="358" t="s">
        <v>836</v>
      </c>
      <c r="D43" s="358" t="s">
        <v>756</v>
      </c>
      <c r="E43" s="359">
        <v>46041</v>
      </c>
      <c r="F43" s="350">
        <f t="shared" si="0"/>
        <v>46053</v>
      </c>
    </row>
    <row r="44" spans="1:6" ht="15.5">
      <c r="A44" s="357">
        <v>43</v>
      </c>
      <c r="B44" s="358" t="s">
        <v>837</v>
      </c>
      <c r="C44" s="358" t="s">
        <v>838</v>
      </c>
      <c r="D44" s="358" t="s">
        <v>756</v>
      </c>
      <c r="E44" s="359">
        <v>46042</v>
      </c>
      <c r="F44" s="350">
        <f t="shared" si="0"/>
        <v>46053</v>
      </c>
    </row>
    <row r="45" spans="1:6" ht="15.5">
      <c r="A45" s="357">
        <v>44</v>
      </c>
      <c r="B45" s="358" t="s">
        <v>839</v>
      </c>
      <c r="C45" s="358" t="s">
        <v>840</v>
      </c>
      <c r="D45" s="359">
        <v>46198</v>
      </c>
      <c r="E45" s="359">
        <v>46042</v>
      </c>
      <c r="F45" s="350">
        <f t="shared" si="0"/>
        <v>46053</v>
      </c>
    </row>
    <row r="46" spans="1:6" ht="15.5">
      <c r="A46" s="357">
        <v>45</v>
      </c>
      <c r="B46" s="358" t="s">
        <v>841</v>
      </c>
      <c r="C46" s="358" t="s">
        <v>842</v>
      </c>
      <c r="D46" s="358" t="s">
        <v>756</v>
      </c>
      <c r="E46" s="359">
        <v>46042</v>
      </c>
      <c r="F46" s="350">
        <f t="shared" si="0"/>
        <v>46053</v>
      </c>
    </row>
    <row r="47" spans="1:6" ht="15.5">
      <c r="A47" s="357">
        <v>46</v>
      </c>
      <c r="B47" s="358" t="s">
        <v>843</v>
      </c>
      <c r="C47" s="358" t="s">
        <v>844</v>
      </c>
      <c r="D47" s="358" t="s">
        <v>756</v>
      </c>
      <c r="E47" s="359">
        <v>46042</v>
      </c>
      <c r="F47" s="350">
        <f t="shared" si="0"/>
        <v>46053</v>
      </c>
    </row>
    <row r="48" spans="1:6" ht="15.5">
      <c r="A48" s="357">
        <v>47</v>
      </c>
      <c r="B48" s="358" t="s">
        <v>845</v>
      </c>
      <c r="C48" s="358" t="s">
        <v>846</v>
      </c>
      <c r="D48" s="358" t="s">
        <v>756</v>
      </c>
      <c r="E48" s="359">
        <v>46043</v>
      </c>
      <c r="F48" s="350">
        <f t="shared" si="0"/>
        <v>46053</v>
      </c>
    </row>
    <row r="49" spans="1:6" ht="15.5">
      <c r="A49" s="357">
        <v>48</v>
      </c>
      <c r="B49" s="358" t="s">
        <v>847</v>
      </c>
      <c r="C49" s="358" t="s">
        <v>848</v>
      </c>
      <c r="D49" s="358" t="s">
        <v>756</v>
      </c>
      <c r="E49" s="359">
        <v>46043</v>
      </c>
      <c r="F49" s="350">
        <f t="shared" si="0"/>
        <v>46053</v>
      </c>
    </row>
    <row r="50" spans="1:6" ht="15.5">
      <c r="A50" s="357">
        <v>49</v>
      </c>
      <c r="B50" s="358" t="s">
        <v>849</v>
      </c>
      <c r="C50" s="358" t="s">
        <v>850</v>
      </c>
      <c r="D50" s="358" t="s">
        <v>756</v>
      </c>
      <c r="E50" s="359">
        <v>46043</v>
      </c>
      <c r="F50" s="350">
        <f t="shared" si="0"/>
        <v>46053</v>
      </c>
    </row>
    <row r="51" spans="1:6" ht="15.5">
      <c r="A51" s="357">
        <v>50</v>
      </c>
      <c r="B51" s="358" t="s">
        <v>851</v>
      </c>
      <c r="C51" s="358" t="s">
        <v>852</v>
      </c>
      <c r="D51" s="360">
        <v>46149</v>
      </c>
      <c r="E51" s="359">
        <v>46044</v>
      </c>
      <c r="F51" s="350">
        <f t="shared" si="0"/>
        <v>46053</v>
      </c>
    </row>
    <row r="52" spans="1:6" ht="15.5">
      <c r="A52" s="357">
        <v>51</v>
      </c>
      <c r="B52" s="358" t="s">
        <v>853</v>
      </c>
      <c r="C52" s="358" t="s">
        <v>854</v>
      </c>
      <c r="D52" s="358" t="s">
        <v>756</v>
      </c>
      <c r="E52" s="359">
        <v>46044</v>
      </c>
      <c r="F52" s="350">
        <f t="shared" si="0"/>
        <v>46053</v>
      </c>
    </row>
    <row r="53" spans="1:6" ht="15.5">
      <c r="A53" s="357">
        <v>52</v>
      </c>
      <c r="B53" s="358" t="s">
        <v>855</v>
      </c>
      <c r="C53" s="358" t="s">
        <v>856</v>
      </c>
      <c r="D53" s="358" t="s">
        <v>756</v>
      </c>
      <c r="E53" s="359">
        <v>46045</v>
      </c>
      <c r="F53" s="350">
        <f t="shared" si="0"/>
        <v>46053</v>
      </c>
    </row>
    <row r="54" spans="1:6" ht="15.5">
      <c r="A54" s="357">
        <v>53</v>
      </c>
      <c r="B54" s="358" t="s">
        <v>798</v>
      </c>
      <c r="C54" s="358" t="s">
        <v>799</v>
      </c>
      <c r="D54" s="358" t="s">
        <v>756</v>
      </c>
      <c r="E54" s="359">
        <v>46045</v>
      </c>
      <c r="F54" s="350">
        <f t="shared" si="0"/>
        <v>46053</v>
      </c>
    </row>
    <row r="55" spans="1:6" ht="15.5">
      <c r="A55" s="357">
        <v>54</v>
      </c>
      <c r="B55" s="358" t="s">
        <v>798</v>
      </c>
      <c r="C55" s="358" t="s">
        <v>799</v>
      </c>
      <c r="D55" s="358" t="s">
        <v>756</v>
      </c>
      <c r="E55" s="359">
        <v>46045</v>
      </c>
      <c r="F55" s="350">
        <f t="shared" si="0"/>
        <v>46053</v>
      </c>
    </row>
    <row r="56" spans="1:6" ht="15.5">
      <c r="A56" s="357">
        <v>55</v>
      </c>
      <c r="B56" s="358" t="s">
        <v>857</v>
      </c>
      <c r="C56" s="358" t="s">
        <v>858</v>
      </c>
      <c r="D56" s="358" t="s">
        <v>756</v>
      </c>
      <c r="E56" s="359">
        <v>46045</v>
      </c>
      <c r="F56" s="350">
        <f t="shared" si="0"/>
        <v>46053</v>
      </c>
    </row>
    <row r="57" spans="1:6" ht="15.5">
      <c r="A57" s="357">
        <v>56</v>
      </c>
      <c r="B57" s="358" t="s">
        <v>859</v>
      </c>
      <c r="C57" s="358" t="s">
        <v>860</v>
      </c>
      <c r="D57" s="358" t="s">
        <v>756</v>
      </c>
      <c r="E57" s="359">
        <v>46046</v>
      </c>
      <c r="F57" s="350">
        <f t="shared" si="0"/>
        <v>46053</v>
      </c>
    </row>
    <row r="58" spans="1:6" ht="15.5">
      <c r="A58" s="357">
        <v>57</v>
      </c>
      <c r="B58" s="358" t="s">
        <v>861</v>
      </c>
      <c r="C58" s="358" t="s">
        <v>862</v>
      </c>
      <c r="D58" s="358" t="s">
        <v>756</v>
      </c>
      <c r="E58" s="359">
        <v>46046</v>
      </c>
      <c r="F58" s="350">
        <f t="shared" si="0"/>
        <v>46053</v>
      </c>
    </row>
    <row r="59" spans="1:6" ht="15.5">
      <c r="A59" s="357">
        <v>58</v>
      </c>
      <c r="B59" s="358" t="s">
        <v>863</v>
      </c>
      <c r="C59" s="358" t="s">
        <v>864</v>
      </c>
      <c r="D59" s="358" t="s">
        <v>756</v>
      </c>
      <c r="E59" s="359">
        <v>46047</v>
      </c>
      <c r="F59" s="350">
        <f t="shared" si="0"/>
        <v>46053</v>
      </c>
    </row>
    <row r="60" spans="1:6" ht="15.5">
      <c r="A60" s="357">
        <v>59</v>
      </c>
      <c r="B60" s="358" t="s">
        <v>865</v>
      </c>
      <c r="C60" s="358" t="s">
        <v>866</v>
      </c>
      <c r="D60" s="358" t="s">
        <v>756</v>
      </c>
      <c r="E60" s="359">
        <v>46049</v>
      </c>
      <c r="F60" s="350">
        <f t="shared" si="0"/>
        <v>46053</v>
      </c>
    </row>
    <row r="61" spans="1:6" ht="15.5">
      <c r="A61" s="357">
        <v>60</v>
      </c>
      <c r="B61" s="358" t="s">
        <v>867</v>
      </c>
      <c r="C61" s="358" t="s">
        <v>868</v>
      </c>
      <c r="D61" s="358" t="s">
        <v>756</v>
      </c>
      <c r="E61" s="359">
        <v>46049</v>
      </c>
      <c r="F61" s="350">
        <f t="shared" si="0"/>
        <v>46053</v>
      </c>
    </row>
    <row r="62" spans="1:6" ht="15.5">
      <c r="A62" s="357">
        <v>61</v>
      </c>
      <c r="B62" s="358" t="s">
        <v>869</v>
      </c>
      <c r="C62" s="358" t="s">
        <v>870</v>
      </c>
      <c r="D62" s="358" t="s">
        <v>756</v>
      </c>
      <c r="E62" s="359">
        <v>46049</v>
      </c>
      <c r="F62" s="350">
        <f t="shared" si="0"/>
        <v>46053</v>
      </c>
    </row>
    <row r="63" spans="1:6" ht="15.5">
      <c r="A63" s="357">
        <v>62</v>
      </c>
      <c r="B63" s="358" t="s">
        <v>871</v>
      </c>
      <c r="C63" s="358" t="s">
        <v>872</v>
      </c>
      <c r="D63" s="360">
        <v>46143</v>
      </c>
      <c r="E63" s="359">
        <v>46049</v>
      </c>
      <c r="F63" s="350">
        <f t="shared" si="0"/>
        <v>46053</v>
      </c>
    </row>
    <row r="64" spans="1:6" ht="15.5">
      <c r="A64" s="357">
        <v>63</v>
      </c>
      <c r="B64" s="358" t="s">
        <v>873</v>
      </c>
      <c r="C64" s="358" t="s">
        <v>874</v>
      </c>
      <c r="D64" s="359">
        <v>46282</v>
      </c>
      <c r="E64" s="359">
        <v>46050</v>
      </c>
      <c r="F64" s="350">
        <f t="shared" si="0"/>
        <v>46053</v>
      </c>
    </row>
    <row r="65" spans="1:6" ht="15.5">
      <c r="A65" s="357">
        <v>64</v>
      </c>
      <c r="B65" s="358" t="s">
        <v>875</v>
      </c>
      <c r="C65" s="358" t="s">
        <v>852</v>
      </c>
      <c r="D65" s="360">
        <v>46149</v>
      </c>
      <c r="E65" s="359">
        <v>46050</v>
      </c>
      <c r="F65" s="350">
        <f t="shared" si="0"/>
        <v>46053</v>
      </c>
    </row>
    <row r="66" spans="1:6" ht="15.5">
      <c r="A66" s="357">
        <v>65</v>
      </c>
      <c r="B66" s="358" t="s">
        <v>876</v>
      </c>
      <c r="C66" s="358" t="s">
        <v>877</v>
      </c>
      <c r="D66" s="358" t="s">
        <v>756</v>
      </c>
      <c r="E66" s="359">
        <v>46050</v>
      </c>
      <c r="F66" s="350">
        <f t="shared" si="0"/>
        <v>46053</v>
      </c>
    </row>
    <row r="67" spans="1:6" ht="15.5">
      <c r="A67" s="357">
        <v>66</v>
      </c>
      <c r="B67" s="358" t="s">
        <v>878</v>
      </c>
      <c r="C67" s="358" t="s">
        <v>879</v>
      </c>
      <c r="D67" s="358" t="s">
        <v>756</v>
      </c>
      <c r="E67" s="359">
        <v>46051</v>
      </c>
      <c r="F67" s="350">
        <f t="shared" ref="F67:F130" si="3">EOMONTH(E67,0)</f>
        <v>46053</v>
      </c>
    </row>
    <row r="68" spans="1:6" ht="15.5">
      <c r="A68" s="357">
        <v>67</v>
      </c>
      <c r="B68" s="358" t="s">
        <v>880</v>
      </c>
      <c r="C68" s="358" t="s">
        <v>881</v>
      </c>
      <c r="D68" s="358" t="s">
        <v>756</v>
      </c>
      <c r="E68" s="359">
        <v>46051</v>
      </c>
      <c r="F68" s="350">
        <f t="shared" si="3"/>
        <v>46053</v>
      </c>
    </row>
    <row r="69" spans="1:6" ht="15.5">
      <c r="A69" s="357">
        <v>68</v>
      </c>
      <c r="B69" s="358" t="s">
        <v>882</v>
      </c>
      <c r="C69" s="358" t="s">
        <v>883</v>
      </c>
      <c r="D69" s="359">
        <v>46290</v>
      </c>
      <c r="E69" s="359">
        <v>46056</v>
      </c>
      <c r="F69" s="350">
        <f t="shared" si="3"/>
        <v>46081</v>
      </c>
    </row>
    <row r="70" spans="1:6" ht="15.5">
      <c r="A70" s="357">
        <v>69</v>
      </c>
      <c r="B70" s="358" t="s">
        <v>884</v>
      </c>
      <c r="C70" s="358" t="s">
        <v>885</v>
      </c>
      <c r="D70" s="359">
        <v>46269</v>
      </c>
      <c r="E70" s="359">
        <v>46056</v>
      </c>
      <c r="F70" s="350">
        <f t="shared" si="3"/>
        <v>46081</v>
      </c>
    </row>
    <row r="71" spans="1:6" ht="15.5">
      <c r="A71" s="357">
        <v>70</v>
      </c>
      <c r="B71" s="358" t="s">
        <v>886</v>
      </c>
      <c r="C71" s="358" t="s">
        <v>887</v>
      </c>
      <c r="D71" s="360">
        <v>46152</v>
      </c>
      <c r="E71" s="359">
        <v>46057</v>
      </c>
      <c r="F71" s="350">
        <f t="shared" si="3"/>
        <v>46081</v>
      </c>
    </row>
    <row r="72" spans="1:6" ht="15.5">
      <c r="A72" s="357">
        <v>71</v>
      </c>
      <c r="B72" s="358" t="s">
        <v>888</v>
      </c>
      <c r="C72" s="358" t="s">
        <v>856</v>
      </c>
      <c r="D72" s="360">
        <v>46153</v>
      </c>
      <c r="E72" s="359">
        <v>46057</v>
      </c>
      <c r="F72" s="350">
        <f t="shared" si="3"/>
        <v>46081</v>
      </c>
    </row>
    <row r="73" spans="1:6" ht="15.5">
      <c r="A73" s="357">
        <v>72</v>
      </c>
      <c r="B73" s="358" t="s">
        <v>889</v>
      </c>
      <c r="C73" s="358" t="s">
        <v>890</v>
      </c>
      <c r="D73" s="358" t="s">
        <v>756</v>
      </c>
      <c r="E73" s="359">
        <v>46060</v>
      </c>
      <c r="F73" s="350">
        <f t="shared" si="3"/>
        <v>46081</v>
      </c>
    </row>
    <row r="74" spans="1:6" ht="15.5">
      <c r="A74" s="357">
        <v>73</v>
      </c>
      <c r="B74" s="358" t="s">
        <v>891</v>
      </c>
      <c r="C74" s="358" t="s">
        <v>892</v>
      </c>
      <c r="D74" s="358" t="s">
        <v>756</v>
      </c>
      <c r="E74" s="359">
        <v>46061</v>
      </c>
      <c r="F74" s="350">
        <f t="shared" si="3"/>
        <v>46081</v>
      </c>
    </row>
    <row r="75" spans="1:6" ht="15.5">
      <c r="A75" s="357">
        <v>74</v>
      </c>
      <c r="B75" s="358" t="s">
        <v>893</v>
      </c>
      <c r="C75" s="358" t="s">
        <v>894</v>
      </c>
      <c r="D75" s="358" t="s">
        <v>756</v>
      </c>
      <c r="E75" s="359">
        <v>46061</v>
      </c>
      <c r="F75" s="350">
        <f t="shared" si="3"/>
        <v>46081</v>
      </c>
    </row>
    <row r="76" spans="1:6" ht="15.5">
      <c r="A76" s="357">
        <v>75</v>
      </c>
      <c r="B76" s="358" t="s">
        <v>895</v>
      </c>
      <c r="C76" s="358" t="s">
        <v>896</v>
      </c>
      <c r="D76" s="358" t="s">
        <v>756</v>
      </c>
      <c r="E76" s="359">
        <v>46062</v>
      </c>
      <c r="F76" s="350">
        <f t="shared" si="3"/>
        <v>46081</v>
      </c>
    </row>
    <row r="77" spans="1:6" ht="15.5">
      <c r="A77" s="357">
        <v>76</v>
      </c>
      <c r="B77" s="358" t="s">
        <v>897</v>
      </c>
      <c r="C77" s="358" t="s">
        <v>898</v>
      </c>
      <c r="D77" s="359">
        <v>46501</v>
      </c>
      <c r="E77" s="359">
        <v>46062</v>
      </c>
      <c r="F77" s="350">
        <f t="shared" si="3"/>
        <v>46081</v>
      </c>
    </row>
    <row r="78" spans="1:6" ht="15.5">
      <c r="A78" s="357">
        <v>77</v>
      </c>
      <c r="B78" s="358" t="s">
        <v>899</v>
      </c>
      <c r="C78" s="358" t="s">
        <v>900</v>
      </c>
      <c r="D78" s="358" t="s">
        <v>756</v>
      </c>
      <c r="E78" s="359">
        <v>46062</v>
      </c>
      <c r="F78" s="350">
        <f t="shared" si="3"/>
        <v>46081</v>
      </c>
    </row>
    <row r="79" spans="1:6" ht="15.5">
      <c r="A79" s="357">
        <v>78</v>
      </c>
      <c r="B79" s="358" t="s">
        <v>901</v>
      </c>
      <c r="C79" s="358" t="s">
        <v>902</v>
      </c>
      <c r="D79" s="358" t="s">
        <v>756</v>
      </c>
      <c r="E79" s="359">
        <v>46062</v>
      </c>
      <c r="F79" s="350">
        <f t="shared" si="3"/>
        <v>46081</v>
      </c>
    </row>
    <row r="80" spans="1:6" ht="15.5">
      <c r="A80" s="357">
        <v>79</v>
      </c>
      <c r="B80" s="358" t="s">
        <v>903</v>
      </c>
      <c r="C80" s="358" t="s">
        <v>904</v>
      </c>
      <c r="D80" s="358" t="s">
        <v>756</v>
      </c>
      <c r="E80" s="359">
        <v>46062</v>
      </c>
      <c r="F80" s="350">
        <f t="shared" si="3"/>
        <v>46081</v>
      </c>
    </row>
    <row r="81" spans="1:6" ht="15.5">
      <c r="A81" s="357">
        <v>80</v>
      </c>
      <c r="B81" s="358" t="s">
        <v>905</v>
      </c>
      <c r="C81" s="358" t="s">
        <v>906</v>
      </c>
      <c r="D81" s="358" t="s">
        <v>756</v>
      </c>
      <c r="E81" s="359">
        <v>46063</v>
      </c>
      <c r="F81" s="350">
        <f t="shared" si="3"/>
        <v>46081</v>
      </c>
    </row>
    <row r="82" spans="1:6" ht="15.5">
      <c r="A82" s="357">
        <v>81</v>
      </c>
      <c r="B82" s="358" t="s">
        <v>907</v>
      </c>
      <c r="C82" s="358" t="s">
        <v>908</v>
      </c>
      <c r="D82" s="358" t="s">
        <v>756</v>
      </c>
      <c r="E82" s="359">
        <v>46063</v>
      </c>
      <c r="F82" s="350">
        <f t="shared" si="3"/>
        <v>46081</v>
      </c>
    </row>
    <row r="83" spans="1:6" ht="15.5">
      <c r="A83" s="357">
        <v>82</v>
      </c>
      <c r="B83" s="358" t="s">
        <v>711</v>
      </c>
      <c r="C83" s="358" t="s">
        <v>909</v>
      </c>
      <c r="D83" s="360">
        <v>46166</v>
      </c>
      <c r="E83" s="359">
        <v>46064</v>
      </c>
      <c r="F83" s="350">
        <f t="shared" si="3"/>
        <v>46081</v>
      </c>
    </row>
    <row r="84" spans="1:6" ht="15.5">
      <c r="A84" s="357">
        <v>83</v>
      </c>
      <c r="B84" s="358" t="s">
        <v>910</v>
      </c>
      <c r="C84" s="358" t="s">
        <v>911</v>
      </c>
      <c r="D84" s="358" t="s">
        <v>756</v>
      </c>
      <c r="E84" s="359">
        <v>46066</v>
      </c>
      <c r="F84" s="350">
        <f t="shared" si="3"/>
        <v>46081</v>
      </c>
    </row>
    <row r="85" spans="1:6" ht="15.5">
      <c r="A85" s="357">
        <v>84</v>
      </c>
      <c r="B85" s="358" t="s">
        <v>912</v>
      </c>
      <c r="C85" s="358" t="s">
        <v>913</v>
      </c>
      <c r="D85" s="358" t="s">
        <v>756</v>
      </c>
      <c r="E85" s="359">
        <v>46066</v>
      </c>
      <c r="F85" s="350">
        <f t="shared" si="3"/>
        <v>46081</v>
      </c>
    </row>
    <row r="86" spans="1:6" ht="15.5">
      <c r="A86" s="357">
        <v>85</v>
      </c>
      <c r="B86" s="358" t="s">
        <v>914</v>
      </c>
      <c r="C86" s="358" t="s">
        <v>915</v>
      </c>
      <c r="D86" s="358" t="s">
        <v>756</v>
      </c>
      <c r="E86" s="359">
        <v>46066</v>
      </c>
      <c r="F86" s="350">
        <f t="shared" si="3"/>
        <v>46081</v>
      </c>
    </row>
    <row r="87" spans="1:6" ht="15.5">
      <c r="A87" s="357">
        <v>86</v>
      </c>
      <c r="B87" s="358" t="s">
        <v>916</v>
      </c>
      <c r="C87" s="358" t="s">
        <v>917</v>
      </c>
      <c r="D87" s="358" t="s">
        <v>756</v>
      </c>
      <c r="E87" s="359">
        <v>46066</v>
      </c>
      <c r="F87" s="350">
        <f t="shared" si="3"/>
        <v>46081</v>
      </c>
    </row>
    <row r="88" spans="1:6" ht="15.5">
      <c r="A88" s="357">
        <v>87</v>
      </c>
      <c r="B88" s="358" t="s">
        <v>918</v>
      </c>
      <c r="C88" s="358" t="s">
        <v>919</v>
      </c>
      <c r="D88" s="358" t="s">
        <v>756</v>
      </c>
      <c r="E88" s="359">
        <v>46068</v>
      </c>
      <c r="F88" s="350">
        <f t="shared" si="3"/>
        <v>46081</v>
      </c>
    </row>
    <row r="89" spans="1:6" ht="15.5">
      <c r="A89" s="357">
        <v>88</v>
      </c>
      <c r="B89" s="358" t="s">
        <v>920</v>
      </c>
      <c r="C89" s="358" t="s">
        <v>921</v>
      </c>
      <c r="D89" s="358" t="s">
        <v>756</v>
      </c>
      <c r="E89" s="359">
        <v>46068</v>
      </c>
      <c r="F89" s="350">
        <f t="shared" si="3"/>
        <v>46081</v>
      </c>
    </row>
    <row r="90" spans="1:6" ht="15.5">
      <c r="A90" s="357">
        <v>89</v>
      </c>
      <c r="B90" s="358" t="s">
        <v>922</v>
      </c>
      <c r="C90" s="358" t="s">
        <v>923</v>
      </c>
      <c r="D90" s="358" t="s">
        <v>756</v>
      </c>
      <c r="E90" s="359">
        <v>46069</v>
      </c>
      <c r="F90" s="350">
        <f t="shared" si="3"/>
        <v>46081</v>
      </c>
    </row>
    <row r="91" spans="1:6" ht="15.5">
      <c r="A91" s="357">
        <v>90</v>
      </c>
      <c r="B91" s="358" t="s">
        <v>924</v>
      </c>
      <c r="C91" s="358" t="s">
        <v>925</v>
      </c>
      <c r="D91" s="358" t="s">
        <v>756</v>
      </c>
      <c r="E91" s="359">
        <v>46070</v>
      </c>
      <c r="F91" s="350">
        <f t="shared" si="3"/>
        <v>46081</v>
      </c>
    </row>
    <row r="92" spans="1:6" ht="15.5">
      <c r="A92" s="357">
        <v>91</v>
      </c>
      <c r="B92" s="358" t="s">
        <v>926</v>
      </c>
      <c r="C92" s="358" t="s">
        <v>927</v>
      </c>
      <c r="D92" s="358" t="s">
        <v>756</v>
      </c>
      <c r="E92" s="359">
        <v>46071</v>
      </c>
      <c r="F92" s="350">
        <f t="shared" si="3"/>
        <v>46081</v>
      </c>
    </row>
    <row r="93" spans="1:6" ht="15.5">
      <c r="A93" s="357">
        <v>92</v>
      </c>
      <c r="B93" s="358" t="s">
        <v>928</v>
      </c>
      <c r="C93" s="358" t="s">
        <v>929</v>
      </c>
      <c r="D93" s="359">
        <v>46124</v>
      </c>
      <c r="E93" s="359">
        <v>46071</v>
      </c>
      <c r="F93" s="350">
        <f t="shared" si="3"/>
        <v>46081</v>
      </c>
    </row>
    <row r="94" spans="1:6" ht="15.5">
      <c r="A94" s="357">
        <v>93</v>
      </c>
      <c r="B94" s="358" t="s">
        <v>930</v>
      </c>
      <c r="C94" s="358" t="s">
        <v>931</v>
      </c>
      <c r="D94" s="359">
        <v>46108</v>
      </c>
      <c r="E94" s="359">
        <v>46072</v>
      </c>
      <c r="F94" s="350">
        <f t="shared" si="3"/>
        <v>46081</v>
      </c>
    </row>
    <row r="95" spans="1:6" ht="15.5">
      <c r="A95" s="357">
        <v>94</v>
      </c>
      <c r="B95" s="358" t="s">
        <v>932</v>
      </c>
      <c r="C95" s="358" t="s">
        <v>932</v>
      </c>
      <c r="D95" s="358" t="s">
        <v>756</v>
      </c>
      <c r="E95" s="359">
        <v>46074</v>
      </c>
      <c r="F95" s="350">
        <f t="shared" si="3"/>
        <v>46081</v>
      </c>
    </row>
    <row r="96" spans="1:6" ht="15.5">
      <c r="A96" s="357">
        <v>95</v>
      </c>
      <c r="B96" s="358" t="s">
        <v>933</v>
      </c>
      <c r="C96" s="358" t="s">
        <v>934</v>
      </c>
      <c r="D96" s="358" t="s">
        <v>756</v>
      </c>
      <c r="E96" s="359">
        <v>46076</v>
      </c>
      <c r="F96" s="350">
        <f t="shared" si="3"/>
        <v>46081</v>
      </c>
    </row>
    <row r="97" spans="1:6" ht="15.5">
      <c r="A97" s="357">
        <v>96</v>
      </c>
      <c r="B97" s="358" t="s">
        <v>935</v>
      </c>
      <c r="C97" s="358" t="s">
        <v>935</v>
      </c>
      <c r="D97" s="358" t="s">
        <v>756</v>
      </c>
      <c r="E97" s="359">
        <v>46076</v>
      </c>
      <c r="F97" s="350">
        <f t="shared" si="3"/>
        <v>46081</v>
      </c>
    </row>
    <row r="98" spans="1:6" ht="15.5">
      <c r="A98" s="357">
        <v>97</v>
      </c>
      <c r="B98" s="358" t="s">
        <v>936</v>
      </c>
      <c r="C98" s="358" t="s">
        <v>936</v>
      </c>
      <c r="D98" s="358" t="s">
        <v>756</v>
      </c>
      <c r="E98" s="359">
        <v>46078</v>
      </c>
      <c r="F98" s="350">
        <f t="shared" si="3"/>
        <v>46081</v>
      </c>
    </row>
    <row r="99" spans="1:6" ht="15.5">
      <c r="A99" s="357">
        <v>98</v>
      </c>
      <c r="B99" s="358" t="s">
        <v>937</v>
      </c>
      <c r="C99" s="358" t="s">
        <v>937</v>
      </c>
      <c r="D99" s="358" t="s">
        <v>756</v>
      </c>
      <c r="E99" s="359">
        <v>46083</v>
      </c>
      <c r="F99" s="350">
        <f t="shared" si="3"/>
        <v>46112</v>
      </c>
    </row>
    <row r="100" spans="1:6" ht="15.5">
      <c r="A100" s="357">
        <v>99</v>
      </c>
      <c r="B100" s="358" t="s">
        <v>938</v>
      </c>
      <c r="C100" s="358" t="s">
        <v>938</v>
      </c>
      <c r="D100" s="358" t="s">
        <v>756</v>
      </c>
      <c r="E100" s="359">
        <v>46083</v>
      </c>
      <c r="F100" s="350">
        <f t="shared" si="3"/>
        <v>46112</v>
      </c>
    </row>
    <row r="101" spans="1:6" ht="15.5">
      <c r="A101" s="357">
        <v>100</v>
      </c>
      <c r="B101" s="358" t="s">
        <v>939</v>
      </c>
      <c r="C101" s="358" t="s">
        <v>939</v>
      </c>
      <c r="D101" s="358" t="s">
        <v>756</v>
      </c>
      <c r="E101" s="359">
        <v>46084</v>
      </c>
      <c r="F101" s="350">
        <f t="shared" si="3"/>
        <v>46112</v>
      </c>
    </row>
    <row r="102" spans="1:6" ht="15.5">
      <c r="A102" s="357">
        <v>101</v>
      </c>
      <c r="B102" s="358" t="s">
        <v>940</v>
      </c>
      <c r="C102" s="358" t="s">
        <v>940</v>
      </c>
      <c r="D102" s="358" t="s">
        <v>756</v>
      </c>
      <c r="E102" s="359">
        <v>46086</v>
      </c>
      <c r="F102" s="350">
        <f t="shared" si="3"/>
        <v>46112</v>
      </c>
    </row>
    <row r="103" spans="1:6" ht="15.5">
      <c r="A103" s="357">
        <v>102</v>
      </c>
      <c r="B103" s="358" t="s">
        <v>941</v>
      </c>
      <c r="C103" s="358" t="s">
        <v>941</v>
      </c>
      <c r="D103" s="358" t="s">
        <v>756</v>
      </c>
      <c r="E103" s="359">
        <v>46087</v>
      </c>
      <c r="F103" s="350">
        <f t="shared" si="3"/>
        <v>46112</v>
      </c>
    </row>
    <row r="104" spans="1:6" ht="15.5">
      <c r="A104" s="357">
        <v>103</v>
      </c>
      <c r="B104" s="358" t="s">
        <v>942</v>
      </c>
      <c r="C104" s="358" t="s">
        <v>942</v>
      </c>
      <c r="D104" s="358" t="s">
        <v>756</v>
      </c>
      <c r="E104" s="359">
        <v>46088</v>
      </c>
      <c r="F104" s="350">
        <f t="shared" si="3"/>
        <v>46112</v>
      </c>
    </row>
    <row r="105" spans="1:6" ht="15.5">
      <c r="A105" s="357">
        <v>104</v>
      </c>
      <c r="B105" s="358" t="s">
        <v>943</v>
      </c>
      <c r="C105" s="358" t="s">
        <v>943</v>
      </c>
      <c r="D105" s="358" t="s">
        <v>756</v>
      </c>
      <c r="E105" s="359">
        <v>46088</v>
      </c>
      <c r="F105" s="350">
        <f t="shared" si="3"/>
        <v>46112</v>
      </c>
    </row>
    <row r="106" spans="1:6" ht="15.5">
      <c r="A106" s="357">
        <v>105</v>
      </c>
      <c r="B106" s="358" t="s">
        <v>944</v>
      </c>
      <c r="C106" s="358" t="s">
        <v>944</v>
      </c>
      <c r="D106" s="358" t="s">
        <v>756</v>
      </c>
      <c r="E106" s="359">
        <v>46091</v>
      </c>
      <c r="F106" s="350">
        <f t="shared" si="3"/>
        <v>46112</v>
      </c>
    </row>
    <row r="107" spans="1:6" ht="15.5">
      <c r="A107" s="357">
        <v>106</v>
      </c>
      <c r="B107" s="358" t="s">
        <v>945</v>
      </c>
      <c r="C107" s="358" t="s">
        <v>945</v>
      </c>
      <c r="D107" s="358" t="s">
        <v>756</v>
      </c>
      <c r="E107" s="359">
        <v>46093</v>
      </c>
      <c r="F107" s="350">
        <f t="shared" si="3"/>
        <v>46112</v>
      </c>
    </row>
    <row r="108" spans="1:6" ht="15.5">
      <c r="A108" s="357">
        <v>107</v>
      </c>
      <c r="B108" s="358" t="s">
        <v>946</v>
      </c>
      <c r="C108" s="358" t="s">
        <v>946</v>
      </c>
      <c r="D108" s="358" t="s">
        <v>756</v>
      </c>
      <c r="E108" s="359">
        <v>46093</v>
      </c>
      <c r="F108" s="350">
        <f t="shared" si="3"/>
        <v>46112</v>
      </c>
    </row>
    <row r="109" spans="1:6" ht="15.5">
      <c r="A109" s="357">
        <v>108</v>
      </c>
      <c r="B109" s="358" t="s">
        <v>947</v>
      </c>
      <c r="C109" s="358" t="s">
        <v>947</v>
      </c>
      <c r="D109" s="358" t="s">
        <v>756</v>
      </c>
      <c r="E109" s="359">
        <v>46093</v>
      </c>
      <c r="F109" s="350">
        <f t="shared" si="3"/>
        <v>46112</v>
      </c>
    </row>
    <row r="110" spans="1:6" ht="15.5">
      <c r="A110" s="357">
        <v>109</v>
      </c>
      <c r="B110" s="358" t="s">
        <v>948</v>
      </c>
      <c r="C110" s="358" t="s">
        <v>948</v>
      </c>
      <c r="D110" s="358" t="s">
        <v>756</v>
      </c>
      <c r="E110" s="359">
        <v>46094</v>
      </c>
      <c r="F110" s="350">
        <f t="shared" si="3"/>
        <v>46112</v>
      </c>
    </row>
    <row r="111" spans="1:6" ht="15.5">
      <c r="A111" s="357">
        <v>110</v>
      </c>
      <c r="B111" s="358" t="s">
        <v>773</v>
      </c>
      <c r="C111" s="358" t="s">
        <v>949</v>
      </c>
      <c r="D111" s="359">
        <v>46234</v>
      </c>
      <c r="E111" s="359">
        <v>46094</v>
      </c>
      <c r="F111" s="350">
        <f t="shared" si="3"/>
        <v>46112</v>
      </c>
    </row>
    <row r="112" spans="1:6" ht="15.5">
      <c r="A112" s="357">
        <v>111</v>
      </c>
      <c r="B112" s="358" t="s">
        <v>950</v>
      </c>
      <c r="C112" s="358" t="s">
        <v>950</v>
      </c>
      <c r="D112" s="358" t="s">
        <v>756</v>
      </c>
      <c r="E112" s="359">
        <v>46097</v>
      </c>
      <c r="F112" s="350">
        <f t="shared" si="3"/>
        <v>46112</v>
      </c>
    </row>
    <row r="113" spans="1:6" ht="15.5">
      <c r="A113" s="357">
        <v>112</v>
      </c>
      <c r="B113" s="358" t="s">
        <v>951</v>
      </c>
      <c r="C113" s="358" t="s">
        <v>951</v>
      </c>
      <c r="D113" s="358" t="s">
        <v>756</v>
      </c>
      <c r="E113" s="359">
        <v>46098</v>
      </c>
      <c r="F113" s="350">
        <f t="shared" si="3"/>
        <v>46112</v>
      </c>
    </row>
    <row r="114" spans="1:6" ht="15.5">
      <c r="A114" s="357">
        <v>113</v>
      </c>
      <c r="B114" s="358" t="s">
        <v>952</v>
      </c>
      <c r="C114" s="358" t="s">
        <v>953</v>
      </c>
      <c r="D114" s="359">
        <v>46268</v>
      </c>
      <c r="E114" s="359">
        <v>46098</v>
      </c>
      <c r="F114" s="350">
        <f t="shared" si="3"/>
        <v>46112</v>
      </c>
    </row>
    <row r="115" spans="1:6" ht="15.5">
      <c r="A115" s="357">
        <v>114</v>
      </c>
      <c r="B115" s="358" t="s">
        <v>954</v>
      </c>
      <c r="C115" s="358" t="s">
        <v>955</v>
      </c>
      <c r="D115" s="359">
        <v>46192</v>
      </c>
      <c r="E115" s="359">
        <v>46098</v>
      </c>
      <c r="F115" s="350">
        <f t="shared" si="3"/>
        <v>46112</v>
      </c>
    </row>
    <row r="116" spans="1:6" ht="15.5">
      <c r="A116" s="357">
        <v>115</v>
      </c>
      <c r="B116" s="358" t="s">
        <v>956</v>
      </c>
      <c r="C116" s="358" t="s">
        <v>956</v>
      </c>
      <c r="D116" s="358" t="s">
        <v>756</v>
      </c>
      <c r="E116" s="359">
        <v>46098</v>
      </c>
      <c r="F116" s="350">
        <f t="shared" si="3"/>
        <v>46112</v>
      </c>
    </row>
    <row r="117" spans="1:6" ht="15.5">
      <c r="A117" s="357">
        <v>116</v>
      </c>
      <c r="B117" s="358" t="s">
        <v>957</v>
      </c>
      <c r="C117" s="358" t="s">
        <v>957</v>
      </c>
      <c r="D117" s="358" t="s">
        <v>756</v>
      </c>
      <c r="E117" s="359">
        <v>46099</v>
      </c>
      <c r="F117" s="350">
        <f t="shared" si="3"/>
        <v>46112</v>
      </c>
    </row>
    <row r="118" spans="1:6" ht="15.5">
      <c r="A118" s="357">
        <v>117</v>
      </c>
      <c r="B118" s="358" t="s">
        <v>958</v>
      </c>
      <c r="C118" s="358" t="s">
        <v>959</v>
      </c>
      <c r="D118" s="359">
        <v>46297</v>
      </c>
      <c r="E118" s="359">
        <v>46100</v>
      </c>
      <c r="F118" s="350">
        <f t="shared" si="3"/>
        <v>46112</v>
      </c>
    </row>
    <row r="119" spans="1:6" ht="15.5">
      <c r="A119" s="357">
        <v>118</v>
      </c>
      <c r="B119" s="358" t="s">
        <v>960</v>
      </c>
      <c r="C119" s="358" t="s">
        <v>960</v>
      </c>
      <c r="D119" s="358" t="s">
        <v>756</v>
      </c>
      <c r="E119" s="359">
        <v>46100</v>
      </c>
      <c r="F119" s="350">
        <f t="shared" si="3"/>
        <v>46112</v>
      </c>
    </row>
    <row r="120" spans="1:6" ht="15.5">
      <c r="A120" s="357">
        <v>119</v>
      </c>
      <c r="B120" s="358" t="s">
        <v>961</v>
      </c>
      <c r="C120" s="358" t="s">
        <v>961</v>
      </c>
      <c r="D120" s="358" t="s">
        <v>756</v>
      </c>
      <c r="E120" s="359">
        <v>46103</v>
      </c>
      <c r="F120" s="350">
        <f t="shared" si="3"/>
        <v>46112</v>
      </c>
    </row>
    <row r="121" spans="1:6" ht="15.5">
      <c r="A121" s="357">
        <v>120</v>
      </c>
      <c r="B121" s="358" t="s">
        <v>962</v>
      </c>
      <c r="C121" s="358" t="s">
        <v>962</v>
      </c>
      <c r="D121" s="358" t="s">
        <v>756</v>
      </c>
      <c r="E121" s="359">
        <v>46105</v>
      </c>
      <c r="F121" s="350">
        <f t="shared" si="3"/>
        <v>46112</v>
      </c>
    </row>
    <row r="122" spans="1:6" ht="15.5">
      <c r="A122" s="357">
        <v>121</v>
      </c>
      <c r="B122" s="358" t="s">
        <v>963</v>
      </c>
      <c r="C122" s="358" t="s">
        <v>911</v>
      </c>
      <c r="D122" s="359">
        <v>46331</v>
      </c>
      <c r="E122" s="359">
        <v>46105</v>
      </c>
      <c r="F122" s="350">
        <f t="shared" si="3"/>
        <v>46112</v>
      </c>
    </row>
    <row r="123" spans="1:6" ht="15.5">
      <c r="A123" s="357">
        <v>122</v>
      </c>
      <c r="B123" s="358" t="s">
        <v>964</v>
      </c>
      <c r="C123" s="358" t="s">
        <v>911</v>
      </c>
      <c r="D123" s="359">
        <v>46332</v>
      </c>
      <c r="E123" s="359">
        <v>46105</v>
      </c>
      <c r="F123" s="350">
        <f t="shared" si="3"/>
        <v>46112</v>
      </c>
    </row>
    <row r="124" spans="1:6" ht="15.5">
      <c r="A124" s="357">
        <v>123</v>
      </c>
      <c r="B124" s="358" t="s">
        <v>965</v>
      </c>
      <c r="C124" s="358" t="s">
        <v>965</v>
      </c>
      <c r="D124" s="358" t="s">
        <v>756</v>
      </c>
      <c r="E124" s="359">
        <v>46105</v>
      </c>
      <c r="F124" s="350">
        <f t="shared" si="3"/>
        <v>46112</v>
      </c>
    </row>
    <row r="125" spans="1:6" ht="15.5">
      <c r="A125" s="357">
        <v>124</v>
      </c>
      <c r="B125" s="358" t="s">
        <v>966</v>
      </c>
      <c r="C125" s="358" t="s">
        <v>966</v>
      </c>
      <c r="D125" s="358" t="s">
        <v>756</v>
      </c>
      <c r="E125" s="359">
        <v>46107</v>
      </c>
      <c r="F125" s="350">
        <f t="shared" si="3"/>
        <v>46112</v>
      </c>
    </row>
    <row r="126" spans="1:6" ht="15.5">
      <c r="A126" s="357">
        <v>125</v>
      </c>
      <c r="B126" s="358" t="s">
        <v>967</v>
      </c>
      <c r="C126" s="358" t="s">
        <v>967</v>
      </c>
      <c r="D126" s="358" t="s">
        <v>756</v>
      </c>
      <c r="E126" s="359">
        <v>46108</v>
      </c>
      <c r="F126" s="350">
        <f t="shared" si="3"/>
        <v>46112</v>
      </c>
    </row>
    <row r="127" spans="1:6" ht="15.5">
      <c r="A127" s="357">
        <v>126</v>
      </c>
      <c r="B127" s="358" t="s">
        <v>968</v>
      </c>
      <c r="C127" s="358" t="s">
        <v>968</v>
      </c>
      <c r="D127" s="358" t="s">
        <v>756</v>
      </c>
      <c r="E127" s="359">
        <v>46110</v>
      </c>
      <c r="F127" s="350">
        <f t="shared" si="3"/>
        <v>46112</v>
      </c>
    </row>
    <row r="128" spans="1:6" ht="15.5">
      <c r="A128" s="357">
        <v>127</v>
      </c>
      <c r="B128" s="358" t="s">
        <v>969</v>
      </c>
      <c r="C128" s="358" t="s">
        <v>969</v>
      </c>
      <c r="D128" s="358" t="s">
        <v>756</v>
      </c>
      <c r="E128" s="359">
        <v>46113</v>
      </c>
      <c r="F128" s="350">
        <f t="shared" si="3"/>
        <v>46142</v>
      </c>
    </row>
    <row r="129" spans="1:6" ht="15.5">
      <c r="A129" s="357">
        <v>128</v>
      </c>
      <c r="B129" s="358" t="s">
        <v>970</v>
      </c>
      <c r="C129" s="358" t="s">
        <v>970</v>
      </c>
      <c r="D129" s="358" t="s">
        <v>756</v>
      </c>
      <c r="E129" s="359">
        <v>46114</v>
      </c>
      <c r="F129" s="350">
        <f t="shared" si="3"/>
        <v>46142</v>
      </c>
    </row>
    <row r="130" spans="1:6" ht="15.5">
      <c r="A130" s="357">
        <v>129</v>
      </c>
      <c r="B130" s="358" t="s">
        <v>971</v>
      </c>
      <c r="C130" s="358" t="s">
        <v>971</v>
      </c>
      <c r="D130" s="358" t="s">
        <v>756</v>
      </c>
      <c r="E130" s="359">
        <v>46114</v>
      </c>
      <c r="F130" s="350">
        <f t="shared" si="3"/>
        <v>46142</v>
      </c>
    </row>
    <row r="131" spans="1:6" ht="15.5">
      <c r="A131" s="357">
        <v>130</v>
      </c>
      <c r="B131" s="358" t="s">
        <v>972</v>
      </c>
      <c r="C131" s="358" t="s">
        <v>972</v>
      </c>
      <c r="D131" s="358" t="s">
        <v>756</v>
      </c>
      <c r="E131" s="359">
        <v>46114</v>
      </c>
      <c r="F131" s="350">
        <f t="shared" ref="F131:F194" si="4">EOMONTH(E131,0)</f>
        <v>46142</v>
      </c>
    </row>
    <row r="132" spans="1:6" ht="15.5">
      <c r="A132" s="357">
        <v>131</v>
      </c>
      <c r="B132" s="358" t="s">
        <v>973</v>
      </c>
      <c r="C132" s="358" t="s">
        <v>973</v>
      </c>
      <c r="D132" s="358" t="s">
        <v>756</v>
      </c>
      <c r="E132" s="359">
        <v>46115</v>
      </c>
      <c r="F132" s="350">
        <f t="shared" si="4"/>
        <v>46142</v>
      </c>
    </row>
    <row r="133" spans="1:6" ht="15.5">
      <c r="A133" s="357">
        <v>132</v>
      </c>
      <c r="B133" s="358" t="s">
        <v>974</v>
      </c>
      <c r="C133" s="358"/>
      <c r="D133" s="359">
        <v>46324</v>
      </c>
      <c r="E133" s="359">
        <v>46115</v>
      </c>
      <c r="F133" s="350">
        <f t="shared" si="4"/>
        <v>46142</v>
      </c>
    </row>
    <row r="134" spans="1:6" ht="15.5">
      <c r="A134" s="357">
        <v>133</v>
      </c>
      <c r="B134" s="358" t="s">
        <v>975</v>
      </c>
      <c r="C134" s="358" t="s">
        <v>976</v>
      </c>
      <c r="D134" s="358" t="s">
        <v>756</v>
      </c>
      <c r="E134" s="359">
        <v>46115</v>
      </c>
      <c r="F134" s="350">
        <f t="shared" si="4"/>
        <v>46142</v>
      </c>
    </row>
    <row r="135" spans="1:6" ht="15.5">
      <c r="A135" s="357">
        <v>134</v>
      </c>
      <c r="B135" s="358" t="s">
        <v>977</v>
      </c>
      <c r="C135" s="358" t="s">
        <v>977</v>
      </c>
      <c r="D135" s="358" t="s">
        <v>756</v>
      </c>
      <c r="E135" s="359">
        <v>46116</v>
      </c>
      <c r="F135" s="350">
        <f t="shared" si="4"/>
        <v>46142</v>
      </c>
    </row>
    <row r="136" spans="1:6" ht="15.5">
      <c r="A136" s="357">
        <v>135</v>
      </c>
      <c r="B136" s="358" t="s">
        <v>978</v>
      </c>
      <c r="C136" s="358" t="s">
        <v>978</v>
      </c>
      <c r="D136" s="358" t="s">
        <v>756</v>
      </c>
      <c r="E136" s="359">
        <v>46117</v>
      </c>
      <c r="F136" s="350">
        <f t="shared" si="4"/>
        <v>46142</v>
      </c>
    </row>
    <row r="137" spans="1:6" ht="15.5">
      <c r="A137" s="357">
        <v>136</v>
      </c>
      <c r="B137" s="358" t="s">
        <v>979</v>
      </c>
      <c r="C137" s="358" t="s">
        <v>979</v>
      </c>
      <c r="D137" s="358" t="s">
        <v>756</v>
      </c>
      <c r="E137" s="359">
        <v>46117</v>
      </c>
      <c r="F137" s="350">
        <f t="shared" si="4"/>
        <v>46142</v>
      </c>
    </row>
    <row r="138" spans="1:6" ht="15.5">
      <c r="A138" s="357">
        <v>137</v>
      </c>
      <c r="B138" s="358" t="s">
        <v>980</v>
      </c>
      <c r="C138" s="358" t="s">
        <v>980</v>
      </c>
      <c r="D138" s="358" t="s">
        <v>756</v>
      </c>
      <c r="E138" s="359">
        <v>46118</v>
      </c>
      <c r="F138" s="350">
        <f t="shared" si="4"/>
        <v>46142</v>
      </c>
    </row>
    <row r="139" spans="1:6" ht="15.5">
      <c r="A139" s="357">
        <v>138</v>
      </c>
      <c r="B139" s="358" t="s">
        <v>981</v>
      </c>
      <c r="C139" s="358" t="s">
        <v>981</v>
      </c>
      <c r="D139" s="358" t="s">
        <v>756</v>
      </c>
      <c r="E139" s="359">
        <v>46118</v>
      </c>
      <c r="F139" s="350">
        <f t="shared" si="4"/>
        <v>46142</v>
      </c>
    </row>
    <row r="140" spans="1:6" ht="15.5">
      <c r="A140" s="357">
        <v>139</v>
      </c>
      <c r="B140" s="358" t="s">
        <v>982</v>
      </c>
      <c r="C140" s="358" t="s">
        <v>982</v>
      </c>
      <c r="D140" s="358" t="s">
        <v>756</v>
      </c>
      <c r="E140" s="359">
        <v>46119</v>
      </c>
      <c r="F140" s="350">
        <f t="shared" si="4"/>
        <v>46142</v>
      </c>
    </row>
    <row r="141" spans="1:6" ht="15.5">
      <c r="A141" s="357">
        <v>140</v>
      </c>
      <c r="B141" s="358" t="s">
        <v>983</v>
      </c>
      <c r="C141" s="358" t="s">
        <v>983</v>
      </c>
      <c r="D141" s="358" t="s">
        <v>756</v>
      </c>
      <c r="E141" s="359">
        <v>46121</v>
      </c>
      <c r="F141" s="350">
        <f t="shared" si="4"/>
        <v>46142</v>
      </c>
    </row>
    <row r="142" spans="1:6" ht="15.5">
      <c r="A142" s="357">
        <v>141</v>
      </c>
      <c r="B142" s="358" t="s">
        <v>984</v>
      </c>
      <c r="C142" s="358" t="s">
        <v>630</v>
      </c>
      <c r="D142" s="359">
        <v>46234</v>
      </c>
      <c r="E142" s="359">
        <v>46122</v>
      </c>
      <c r="F142" s="350">
        <f t="shared" si="4"/>
        <v>46142</v>
      </c>
    </row>
    <row r="143" spans="1:6" ht="15.5">
      <c r="A143" s="357">
        <v>142</v>
      </c>
      <c r="B143" s="358" t="s">
        <v>985</v>
      </c>
      <c r="C143" s="358" t="s">
        <v>985</v>
      </c>
      <c r="D143" s="358" t="s">
        <v>756</v>
      </c>
      <c r="E143" s="359">
        <v>46123</v>
      </c>
      <c r="F143" s="350">
        <f t="shared" si="4"/>
        <v>46142</v>
      </c>
    </row>
    <row r="144" spans="1:6" ht="15.5">
      <c r="A144" s="357">
        <v>143</v>
      </c>
      <c r="B144" s="358" t="s">
        <v>986</v>
      </c>
      <c r="C144" s="358" t="s">
        <v>986</v>
      </c>
      <c r="D144" s="358" t="s">
        <v>756</v>
      </c>
      <c r="E144" s="359">
        <v>46124</v>
      </c>
      <c r="F144" s="350">
        <f t="shared" si="4"/>
        <v>46142</v>
      </c>
    </row>
    <row r="145" spans="1:6" ht="15.5">
      <c r="A145" s="357">
        <v>144</v>
      </c>
      <c r="B145" s="358" t="s">
        <v>987</v>
      </c>
      <c r="C145" s="358" t="s">
        <v>987</v>
      </c>
      <c r="D145" s="358" t="s">
        <v>756</v>
      </c>
      <c r="E145" s="359">
        <v>46124</v>
      </c>
      <c r="F145" s="350">
        <f t="shared" si="4"/>
        <v>46142</v>
      </c>
    </row>
    <row r="146" spans="1:6" ht="15.5">
      <c r="A146" s="357">
        <v>145</v>
      </c>
      <c r="B146" s="358" t="s">
        <v>988</v>
      </c>
      <c r="C146" s="358" t="s">
        <v>988</v>
      </c>
      <c r="D146" s="358" t="s">
        <v>756</v>
      </c>
      <c r="E146" s="359">
        <v>46125</v>
      </c>
      <c r="F146" s="350">
        <f t="shared" si="4"/>
        <v>46142</v>
      </c>
    </row>
    <row r="147" spans="1:6" ht="15.5">
      <c r="A147" s="357">
        <v>146</v>
      </c>
      <c r="B147" s="358" t="s">
        <v>989</v>
      </c>
      <c r="C147" s="358" t="s">
        <v>989</v>
      </c>
      <c r="D147" s="358" t="s">
        <v>756</v>
      </c>
      <c r="E147" s="359">
        <v>46125</v>
      </c>
      <c r="F147" s="350">
        <f t="shared" si="4"/>
        <v>46142</v>
      </c>
    </row>
    <row r="148" spans="1:6" ht="15.5">
      <c r="A148" s="357">
        <v>147</v>
      </c>
      <c r="B148" s="358" t="s">
        <v>990</v>
      </c>
      <c r="C148" s="358" t="s">
        <v>990</v>
      </c>
      <c r="D148" s="358" t="s">
        <v>756</v>
      </c>
      <c r="E148" s="359">
        <v>46126</v>
      </c>
      <c r="F148" s="350">
        <f t="shared" si="4"/>
        <v>46142</v>
      </c>
    </row>
    <row r="149" spans="1:6" ht="15.5">
      <c r="A149" s="357">
        <v>148</v>
      </c>
      <c r="B149" s="358" t="s">
        <v>991</v>
      </c>
      <c r="C149" s="358" t="s">
        <v>991</v>
      </c>
      <c r="D149" s="358" t="s">
        <v>756</v>
      </c>
      <c r="E149" s="359">
        <v>46126</v>
      </c>
      <c r="F149" s="350">
        <f t="shared" si="4"/>
        <v>46142</v>
      </c>
    </row>
    <row r="150" spans="1:6" ht="15.5">
      <c r="A150" s="357">
        <v>149</v>
      </c>
      <c r="B150" s="358" t="s">
        <v>992</v>
      </c>
      <c r="C150" s="358" t="s">
        <v>992</v>
      </c>
      <c r="D150" s="358" t="s">
        <v>756</v>
      </c>
      <c r="E150" s="359">
        <v>46126</v>
      </c>
      <c r="F150" s="350">
        <f t="shared" si="4"/>
        <v>46142</v>
      </c>
    </row>
    <row r="151" spans="1:6" ht="15.5">
      <c r="A151" s="357">
        <v>150</v>
      </c>
      <c r="B151" s="358" t="s">
        <v>993</v>
      </c>
      <c r="C151" s="358" t="s">
        <v>993</v>
      </c>
      <c r="D151" s="358" t="s">
        <v>756</v>
      </c>
      <c r="E151" s="359">
        <v>46127</v>
      </c>
      <c r="F151" s="350">
        <f t="shared" si="4"/>
        <v>46142</v>
      </c>
    </row>
    <row r="152" spans="1:6" ht="15.5">
      <c r="A152" s="357">
        <v>151</v>
      </c>
      <c r="B152" s="358" t="s">
        <v>994</v>
      </c>
      <c r="C152" s="358" t="s">
        <v>994</v>
      </c>
      <c r="D152" s="358" t="s">
        <v>756</v>
      </c>
      <c r="E152" s="359">
        <v>46128</v>
      </c>
      <c r="F152" s="350">
        <f t="shared" si="4"/>
        <v>46142</v>
      </c>
    </row>
    <row r="153" spans="1:6" ht="15.5">
      <c r="A153" s="357">
        <v>152</v>
      </c>
      <c r="B153" s="358" t="s">
        <v>995</v>
      </c>
      <c r="C153" s="358"/>
      <c r="D153" s="360">
        <v>46164</v>
      </c>
      <c r="E153" s="359">
        <v>46128</v>
      </c>
      <c r="F153" s="350">
        <f t="shared" si="4"/>
        <v>46142</v>
      </c>
    </row>
    <row r="154" spans="1:6" ht="15.5">
      <c r="A154" s="357">
        <v>153</v>
      </c>
      <c r="B154" s="358" t="s">
        <v>996</v>
      </c>
      <c r="C154" s="358" t="s">
        <v>996</v>
      </c>
      <c r="D154" s="358" t="s">
        <v>756</v>
      </c>
      <c r="E154" s="359">
        <v>46128</v>
      </c>
      <c r="F154" s="350">
        <f t="shared" si="4"/>
        <v>46142</v>
      </c>
    </row>
    <row r="155" spans="1:6" ht="15.5">
      <c r="A155" s="357">
        <v>154</v>
      </c>
      <c r="B155" s="358" t="s">
        <v>997</v>
      </c>
      <c r="C155" s="358" t="s">
        <v>997</v>
      </c>
      <c r="D155" s="358" t="s">
        <v>756</v>
      </c>
      <c r="E155" s="359">
        <v>46128</v>
      </c>
      <c r="F155" s="350">
        <f t="shared" si="4"/>
        <v>46142</v>
      </c>
    </row>
    <row r="156" spans="1:6" ht="15.5">
      <c r="A156" s="357">
        <v>155</v>
      </c>
      <c r="B156" s="358" t="s">
        <v>998</v>
      </c>
      <c r="C156" s="358" t="s">
        <v>998</v>
      </c>
      <c r="D156" s="358" t="s">
        <v>756</v>
      </c>
      <c r="E156" s="359">
        <v>46129</v>
      </c>
      <c r="F156" s="350">
        <f t="shared" si="4"/>
        <v>46142</v>
      </c>
    </row>
    <row r="157" spans="1:6" ht="15.5">
      <c r="A157" s="357">
        <v>156</v>
      </c>
      <c r="B157" s="358" t="s">
        <v>999</v>
      </c>
      <c r="C157" s="358" t="s">
        <v>999</v>
      </c>
      <c r="D157" s="358" t="s">
        <v>756</v>
      </c>
      <c r="E157" s="359">
        <v>46129</v>
      </c>
      <c r="F157" s="350">
        <f t="shared" si="4"/>
        <v>46142</v>
      </c>
    </row>
    <row r="158" spans="1:6" ht="15.5">
      <c r="A158" s="357">
        <v>157</v>
      </c>
      <c r="B158" s="358" t="s">
        <v>1000</v>
      </c>
      <c r="C158" s="358" t="s">
        <v>1000</v>
      </c>
      <c r="D158" s="358" t="s">
        <v>756</v>
      </c>
      <c r="E158" s="359">
        <v>46129</v>
      </c>
      <c r="F158" s="350">
        <f t="shared" si="4"/>
        <v>46142</v>
      </c>
    </row>
    <row r="159" spans="1:6" ht="15.5">
      <c r="A159" s="357">
        <v>158</v>
      </c>
      <c r="B159" s="358" t="s">
        <v>1001</v>
      </c>
      <c r="C159" s="358" t="s">
        <v>1001</v>
      </c>
      <c r="D159" s="358" t="s">
        <v>756</v>
      </c>
      <c r="E159" s="359">
        <v>46130</v>
      </c>
      <c r="F159" s="350">
        <f t="shared" si="4"/>
        <v>46142</v>
      </c>
    </row>
    <row r="160" spans="1:6" ht="15.5">
      <c r="A160" s="357">
        <v>159</v>
      </c>
      <c r="B160" s="358" t="s">
        <v>1002</v>
      </c>
      <c r="C160" s="358" t="s">
        <v>1002</v>
      </c>
      <c r="D160" s="359">
        <v>46564</v>
      </c>
      <c r="E160" s="359">
        <v>46130</v>
      </c>
      <c r="F160" s="350">
        <f t="shared" si="4"/>
        <v>46142</v>
      </c>
    </row>
    <row r="161" spans="1:6" ht="15.5">
      <c r="A161" s="357">
        <v>160</v>
      </c>
      <c r="B161" s="358" t="s">
        <v>1003</v>
      </c>
      <c r="C161" s="358" t="s">
        <v>1003</v>
      </c>
      <c r="D161" s="358" t="s">
        <v>756</v>
      </c>
      <c r="E161" s="359">
        <v>46131</v>
      </c>
      <c r="F161" s="350">
        <f t="shared" si="4"/>
        <v>46142</v>
      </c>
    </row>
    <row r="162" spans="1:6" ht="15.5">
      <c r="A162" s="357">
        <v>161</v>
      </c>
      <c r="B162" s="358" t="s">
        <v>1004</v>
      </c>
      <c r="C162" s="358" t="s">
        <v>1004</v>
      </c>
      <c r="D162" s="358" t="s">
        <v>756</v>
      </c>
      <c r="E162" s="359">
        <v>46131</v>
      </c>
      <c r="F162" s="350">
        <f t="shared" si="4"/>
        <v>46142</v>
      </c>
    </row>
    <row r="163" spans="1:6" ht="15.5">
      <c r="A163" s="357">
        <v>162</v>
      </c>
      <c r="B163" s="358" t="s">
        <v>1005</v>
      </c>
      <c r="C163" s="358" t="s">
        <v>1005</v>
      </c>
      <c r="D163" s="358" t="s">
        <v>756</v>
      </c>
      <c r="E163" s="359">
        <v>46131</v>
      </c>
      <c r="F163" s="350">
        <f t="shared" si="4"/>
        <v>46142</v>
      </c>
    </row>
    <row r="164" spans="1:6" ht="15.5">
      <c r="A164" s="357">
        <v>163</v>
      </c>
      <c r="B164" s="358" t="s">
        <v>1006</v>
      </c>
      <c r="C164" s="358" t="s">
        <v>1006</v>
      </c>
      <c r="D164" s="358" t="s">
        <v>756</v>
      </c>
      <c r="E164" s="359">
        <v>46131</v>
      </c>
      <c r="F164" s="350">
        <f t="shared" si="4"/>
        <v>46142</v>
      </c>
    </row>
    <row r="165" spans="1:6" ht="15.5">
      <c r="A165" s="357">
        <v>164</v>
      </c>
      <c r="B165" s="358" t="s">
        <v>1006</v>
      </c>
      <c r="C165" s="358" t="s">
        <v>1006</v>
      </c>
      <c r="D165" s="358" t="s">
        <v>756</v>
      </c>
      <c r="E165" s="359">
        <v>46132</v>
      </c>
      <c r="F165" s="350">
        <f t="shared" si="4"/>
        <v>46142</v>
      </c>
    </row>
    <row r="166" spans="1:6" ht="15.5">
      <c r="A166" s="357">
        <v>165</v>
      </c>
      <c r="B166" s="358" t="s">
        <v>1007</v>
      </c>
      <c r="C166" s="358" t="s">
        <v>1007</v>
      </c>
      <c r="D166" s="358" t="s">
        <v>756</v>
      </c>
      <c r="E166" s="359">
        <v>46132</v>
      </c>
      <c r="F166" s="350">
        <f t="shared" si="4"/>
        <v>46142</v>
      </c>
    </row>
    <row r="167" spans="1:6" ht="15.5">
      <c r="A167" s="357">
        <v>166</v>
      </c>
      <c r="B167" s="358" t="s">
        <v>1008</v>
      </c>
      <c r="C167" s="358" t="s">
        <v>1008</v>
      </c>
      <c r="D167" s="358" t="s">
        <v>756</v>
      </c>
      <c r="E167" s="359">
        <v>46133</v>
      </c>
      <c r="F167" s="350">
        <f t="shared" si="4"/>
        <v>46142</v>
      </c>
    </row>
    <row r="168" spans="1:6" ht="15.5">
      <c r="A168" s="357">
        <v>167</v>
      </c>
      <c r="B168" s="358" t="s">
        <v>1009</v>
      </c>
      <c r="C168" s="358" t="s">
        <v>1009</v>
      </c>
      <c r="D168" s="358" t="s">
        <v>756</v>
      </c>
      <c r="E168" s="359">
        <v>46133</v>
      </c>
      <c r="F168" s="350">
        <f t="shared" si="4"/>
        <v>46142</v>
      </c>
    </row>
    <row r="169" spans="1:6" ht="15.5">
      <c r="A169" s="357">
        <v>168</v>
      </c>
      <c r="B169" s="358" t="s">
        <v>1010</v>
      </c>
      <c r="C169" s="358" t="s">
        <v>1010</v>
      </c>
      <c r="D169" s="358" t="s">
        <v>756</v>
      </c>
      <c r="E169" s="359">
        <v>46134</v>
      </c>
      <c r="F169" s="350">
        <f t="shared" si="4"/>
        <v>46142</v>
      </c>
    </row>
    <row r="170" spans="1:6" ht="15.5">
      <c r="A170" s="357">
        <v>169</v>
      </c>
      <c r="B170" s="358" t="s">
        <v>1011</v>
      </c>
      <c r="C170" s="358" t="s">
        <v>1011</v>
      </c>
      <c r="D170" s="358" t="s">
        <v>756</v>
      </c>
      <c r="E170" s="359">
        <v>46135</v>
      </c>
      <c r="F170" s="350">
        <f t="shared" si="4"/>
        <v>46142</v>
      </c>
    </row>
    <row r="171" spans="1:6" ht="15.5">
      <c r="A171" s="357">
        <v>170</v>
      </c>
      <c r="B171" s="358" t="s">
        <v>1012</v>
      </c>
      <c r="C171" s="358" t="s">
        <v>957</v>
      </c>
      <c r="D171" s="359">
        <v>46543</v>
      </c>
      <c r="E171" s="359">
        <v>46135</v>
      </c>
      <c r="F171" s="350">
        <f t="shared" si="4"/>
        <v>46142</v>
      </c>
    </row>
    <row r="172" spans="1:6" ht="15.5">
      <c r="A172" s="357">
        <v>171</v>
      </c>
      <c r="B172" s="358" t="s">
        <v>1013</v>
      </c>
      <c r="C172" s="358" t="s">
        <v>1014</v>
      </c>
      <c r="D172" s="360">
        <v>46150</v>
      </c>
      <c r="E172" s="359">
        <v>46137</v>
      </c>
      <c r="F172" s="350">
        <f t="shared" si="4"/>
        <v>46142</v>
      </c>
    </row>
    <row r="173" spans="1:6" ht="15.5">
      <c r="A173" s="357">
        <v>172</v>
      </c>
      <c r="B173" s="358" t="s">
        <v>1015</v>
      </c>
      <c r="C173" s="358" t="s">
        <v>1015</v>
      </c>
      <c r="D173" s="358" t="s">
        <v>756</v>
      </c>
      <c r="E173" s="359">
        <v>46138</v>
      </c>
      <c r="F173" s="350">
        <f t="shared" si="4"/>
        <v>46142</v>
      </c>
    </row>
    <row r="174" spans="1:6" ht="15.5">
      <c r="A174" s="357">
        <v>173</v>
      </c>
      <c r="B174" s="358" t="s">
        <v>1016</v>
      </c>
      <c r="C174" s="358" t="s">
        <v>1016</v>
      </c>
      <c r="D174" s="358" t="s">
        <v>756</v>
      </c>
      <c r="E174" s="359">
        <v>46139</v>
      </c>
      <c r="F174" s="350">
        <f t="shared" si="4"/>
        <v>46142</v>
      </c>
    </row>
    <row r="175" spans="1:6" ht="15.5">
      <c r="A175" s="357">
        <v>174</v>
      </c>
      <c r="B175" s="358" t="s">
        <v>1017</v>
      </c>
      <c r="C175" s="358" t="s">
        <v>1017</v>
      </c>
      <c r="D175" s="358" t="s">
        <v>756</v>
      </c>
      <c r="E175" s="359">
        <v>46140</v>
      </c>
      <c r="F175" s="350">
        <f t="shared" si="4"/>
        <v>46142</v>
      </c>
    </row>
    <row r="176" spans="1:6" ht="15.5">
      <c r="A176" s="357">
        <v>175</v>
      </c>
      <c r="B176" s="358" t="s">
        <v>1018</v>
      </c>
      <c r="C176" s="358" t="s">
        <v>1018</v>
      </c>
      <c r="D176" s="358" t="s">
        <v>756</v>
      </c>
      <c r="E176" s="359">
        <v>46141</v>
      </c>
      <c r="F176" s="350">
        <f t="shared" si="4"/>
        <v>46142</v>
      </c>
    </row>
    <row r="177" spans="1:6" ht="15.5">
      <c r="A177" s="357">
        <v>176</v>
      </c>
      <c r="B177" s="358" t="s">
        <v>1019</v>
      </c>
      <c r="C177" s="358" t="s">
        <v>1019</v>
      </c>
      <c r="D177" s="358" t="s">
        <v>756</v>
      </c>
      <c r="E177" s="359">
        <v>46141</v>
      </c>
      <c r="F177" s="350">
        <f t="shared" si="4"/>
        <v>46142</v>
      </c>
    </row>
    <row r="178" spans="1:6" ht="15.5">
      <c r="A178" s="357">
        <v>177</v>
      </c>
      <c r="B178" s="358" t="s">
        <v>1020</v>
      </c>
      <c r="C178" s="358" t="s">
        <v>1020</v>
      </c>
      <c r="D178" s="358" t="s">
        <v>756</v>
      </c>
      <c r="E178" s="359">
        <v>46142</v>
      </c>
      <c r="F178" s="350">
        <f t="shared" si="4"/>
        <v>46142</v>
      </c>
    </row>
    <row r="179" spans="1:6" ht="15.5">
      <c r="A179" s="357">
        <v>178</v>
      </c>
      <c r="B179" s="358" t="s">
        <v>1021</v>
      </c>
      <c r="C179" s="358" t="s">
        <v>1021</v>
      </c>
      <c r="D179" s="358" t="s">
        <v>756</v>
      </c>
      <c r="E179" s="359">
        <v>46142</v>
      </c>
      <c r="F179" s="350">
        <f t="shared" si="4"/>
        <v>46142</v>
      </c>
    </row>
    <row r="180" spans="1:6" ht="15.5">
      <c r="A180" s="357">
        <v>179</v>
      </c>
      <c r="B180" s="358" t="s">
        <v>1022</v>
      </c>
      <c r="C180" s="358" t="s">
        <v>1022</v>
      </c>
      <c r="D180" s="358" t="s">
        <v>756</v>
      </c>
      <c r="E180" s="359">
        <v>46142</v>
      </c>
      <c r="F180" s="350">
        <f t="shared" si="4"/>
        <v>46142</v>
      </c>
    </row>
    <row r="181" spans="1:6" ht="15.5">
      <c r="A181" s="357">
        <v>180</v>
      </c>
      <c r="B181" s="358" t="s">
        <v>1023</v>
      </c>
      <c r="C181" s="358" t="s">
        <v>1023</v>
      </c>
      <c r="D181" s="358" t="s">
        <v>756</v>
      </c>
      <c r="E181" s="360">
        <v>46144</v>
      </c>
      <c r="F181" s="350">
        <f t="shared" si="4"/>
        <v>46173</v>
      </c>
    </row>
    <row r="182" spans="1:6" ht="15.5">
      <c r="A182" s="357">
        <v>181</v>
      </c>
      <c r="B182" s="358" t="s">
        <v>1024</v>
      </c>
      <c r="C182" s="358" t="s">
        <v>1024</v>
      </c>
      <c r="D182" s="358" t="s">
        <v>756</v>
      </c>
      <c r="E182" s="360">
        <v>46145</v>
      </c>
      <c r="F182" s="350">
        <f t="shared" si="4"/>
        <v>46173</v>
      </c>
    </row>
    <row r="183" spans="1:6" ht="15.5">
      <c r="A183" s="357">
        <v>182</v>
      </c>
      <c r="B183" s="358" t="s">
        <v>1025</v>
      </c>
      <c r="C183" s="358" t="s">
        <v>1025</v>
      </c>
      <c r="D183" s="358" t="s">
        <v>756</v>
      </c>
      <c r="E183" s="360">
        <v>46145</v>
      </c>
      <c r="F183" s="350">
        <f t="shared" si="4"/>
        <v>46173</v>
      </c>
    </row>
    <row r="184" spans="1:6" ht="15.5">
      <c r="A184" s="357">
        <v>183</v>
      </c>
      <c r="B184" s="358" t="s">
        <v>1026</v>
      </c>
      <c r="C184" s="358" t="s">
        <v>1026</v>
      </c>
      <c r="D184" s="358" t="s">
        <v>756</v>
      </c>
      <c r="E184" s="360">
        <v>46146</v>
      </c>
      <c r="F184" s="350">
        <f t="shared" si="4"/>
        <v>46173</v>
      </c>
    </row>
    <row r="185" spans="1:6" ht="15.5">
      <c r="A185" s="357">
        <v>184</v>
      </c>
      <c r="B185" s="358" t="s">
        <v>1027</v>
      </c>
      <c r="C185" s="358" t="s">
        <v>1027</v>
      </c>
      <c r="D185" s="359">
        <v>46557</v>
      </c>
      <c r="E185" s="360">
        <v>46146</v>
      </c>
      <c r="F185" s="350">
        <f t="shared" si="4"/>
        <v>46173</v>
      </c>
    </row>
    <row r="186" spans="1:6" ht="15.5">
      <c r="A186" s="357">
        <v>185</v>
      </c>
      <c r="B186" s="358" t="s">
        <v>1028</v>
      </c>
      <c r="C186" s="358" t="s">
        <v>1028</v>
      </c>
      <c r="D186" s="358" t="s">
        <v>756</v>
      </c>
      <c r="E186" s="360">
        <v>46146</v>
      </c>
      <c r="F186" s="350">
        <f t="shared" si="4"/>
        <v>46173</v>
      </c>
    </row>
    <row r="187" spans="1:6" ht="15.5">
      <c r="A187" s="357">
        <v>186</v>
      </c>
      <c r="B187" s="358" t="s">
        <v>1029</v>
      </c>
      <c r="C187" s="358" t="s">
        <v>1029</v>
      </c>
      <c r="D187" s="358" t="s">
        <v>756</v>
      </c>
      <c r="E187" s="360">
        <v>46146</v>
      </c>
      <c r="F187" s="350">
        <f t="shared" si="4"/>
        <v>46173</v>
      </c>
    </row>
    <row r="188" spans="1:6" ht="15.5">
      <c r="A188" s="357">
        <v>187</v>
      </c>
      <c r="B188" s="358" t="s">
        <v>1030</v>
      </c>
      <c r="C188" s="358" t="s">
        <v>1030</v>
      </c>
      <c r="D188" s="358" t="s">
        <v>756</v>
      </c>
      <c r="E188" s="360">
        <v>46147</v>
      </c>
      <c r="F188" s="350">
        <f t="shared" si="4"/>
        <v>46173</v>
      </c>
    </row>
    <row r="189" spans="1:6" ht="15.5">
      <c r="A189" s="357">
        <v>188</v>
      </c>
      <c r="B189" s="358" t="s">
        <v>1031</v>
      </c>
      <c r="C189" s="358" t="s">
        <v>1031</v>
      </c>
      <c r="D189" s="358" t="s">
        <v>756</v>
      </c>
      <c r="E189" s="360">
        <v>46148</v>
      </c>
      <c r="F189" s="350">
        <f t="shared" si="4"/>
        <v>46173</v>
      </c>
    </row>
    <row r="190" spans="1:6" ht="15.5">
      <c r="A190" s="357">
        <v>189</v>
      </c>
      <c r="B190" s="358" t="s">
        <v>1032</v>
      </c>
      <c r="C190" s="358" t="s">
        <v>1032</v>
      </c>
      <c r="D190" s="359">
        <v>46347</v>
      </c>
      <c r="E190" s="360">
        <v>46148</v>
      </c>
      <c r="F190" s="350">
        <f t="shared" si="4"/>
        <v>46173</v>
      </c>
    </row>
    <row r="191" spans="1:6" ht="15.5">
      <c r="A191" s="357">
        <v>190</v>
      </c>
      <c r="B191" s="358" t="s">
        <v>1033</v>
      </c>
      <c r="C191" s="358" t="s">
        <v>1033</v>
      </c>
      <c r="D191" s="358" t="s">
        <v>756</v>
      </c>
      <c r="E191" s="360">
        <v>46149</v>
      </c>
      <c r="F191" s="350">
        <f t="shared" si="4"/>
        <v>46173</v>
      </c>
    </row>
    <row r="192" spans="1:6" ht="15.5">
      <c r="A192" s="357">
        <v>191</v>
      </c>
      <c r="B192" s="358" t="s">
        <v>1034</v>
      </c>
      <c r="C192" s="358" t="s">
        <v>1034</v>
      </c>
      <c r="D192" s="358" t="s">
        <v>756</v>
      </c>
      <c r="E192" s="360">
        <v>46149</v>
      </c>
      <c r="F192" s="350">
        <f t="shared" si="4"/>
        <v>46173</v>
      </c>
    </row>
    <row r="193" spans="1:6" ht="15.5">
      <c r="A193" s="357">
        <v>192</v>
      </c>
      <c r="B193" s="358" t="s">
        <v>1035</v>
      </c>
      <c r="C193" s="358" t="s">
        <v>1035</v>
      </c>
      <c r="D193" s="358" t="s">
        <v>756</v>
      </c>
      <c r="E193" s="360">
        <v>46149</v>
      </c>
      <c r="F193" s="350">
        <f t="shared" si="4"/>
        <v>46173</v>
      </c>
    </row>
    <row r="194" spans="1:6" ht="15.5">
      <c r="A194" s="357">
        <v>193</v>
      </c>
      <c r="B194" s="358" t="s">
        <v>1036</v>
      </c>
      <c r="C194" s="358" t="s">
        <v>1036</v>
      </c>
      <c r="D194" s="358" t="s">
        <v>756</v>
      </c>
      <c r="E194" s="360">
        <v>46151</v>
      </c>
      <c r="F194" s="350">
        <f t="shared" si="4"/>
        <v>46173</v>
      </c>
    </row>
    <row r="195" spans="1:6" ht="15.5">
      <c r="A195" s="357">
        <v>194</v>
      </c>
      <c r="B195" s="358" t="s">
        <v>1037</v>
      </c>
      <c r="C195" s="358" t="s">
        <v>1037</v>
      </c>
      <c r="D195" s="358" t="s">
        <v>756</v>
      </c>
      <c r="E195" s="360">
        <v>46153</v>
      </c>
      <c r="F195" s="350">
        <f t="shared" ref="F195:F258" si="5">EOMONTH(E195,0)</f>
        <v>46173</v>
      </c>
    </row>
    <row r="196" spans="1:6" ht="15.5">
      <c r="A196" s="357">
        <v>195</v>
      </c>
      <c r="B196" s="358" t="s">
        <v>1038</v>
      </c>
      <c r="C196" s="358" t="s">
        <v>1038</v>
      </c>
      <c r="D196" s="358" t="s">
        <v>756</v>
      </c>
      <c r="E196" s="360">
        <v>46153</v>
      </c>
      <c r="F196" s="350">
        <f t="shared" si="5"/>
        <v>46173</v>
      </c>
    </row>
    <row r="197" spans="1:6" ht="15.5">
      <c r="A197" s="357">
        <v>196</v>
      </c>
      <c r="B197" s="358" t="s">
        <v>1039</v>
      </c>
      <c r="C197" s="358"/>
      <c r="D197" s="360">
        <v>46173</v>
      </c>
      <c r="E197" s="360">
        <v>46153</v>
      </c>
      <c r="F197" s="350">
        <f t="shared" si="5"/>
        <v>46173</v>
      </c>
    </row>
    <row r="198" spans="1:6" ht="15.5">
      <c r="A198" s="357">
        <v>197</v>
      </c>
      <c r="B198" s="358" t="s">
        <v>1040</v>
      </c>
      <c r="C198" s="358" t="s">
        <v>1040</v>
      </c>
      <c r="D198" s="358" t="s">
        <v>756</v>
      </c>
      <c r="E198" s="360">
        <v>46154</v>
      </c>
      <c r="F198" s="350">
        <f t="shared" si="5"/>
        <v>46173</v>
      </c>
    </row>
    <row r="199" spans="1:6" ht="15.5">
      <c r="A199" s="357">
        <v>198</v>
      </c>
      <c r="B199" s="358" t="s">
        <v>1041</v>
      </c>
      <c r="C199" s="358" t="s">
        <v>1041</v>
      </c>
      <c r="D199" s="358" t="s">
        <v>756</v>
      </c>
      <c r="E199" s="360">
        <v>46155</v>
      </c>
      <c r="F199" s="350">
        <f t="shared" si="5"/>
        <v>46173</v>
      </c>
    </row>
    <row r="200" spans="1:6" ht="15.5">
      <c r="A200" s="357">
        <v>199</v>
      </c>
      <c r="B200" s="358" t="s">
        <v>1042</v>
      </c>
      <c r="C200" s="358" t="s">
        <v>1042</v>
      </c>
      <c r="D200" s="359">
        <v>46374</v>
      </c>
      <c r="E200" s="360">
        <v>46156</v>
      </c>
      <c r="F200" s="350">
        <f t="shared" si="5"/>
        <v>46173</v>
      </c>
    </row>
    <row r="201" spans="1:6" ht="15.5">
      <c r="A201" s="357">
        <v>200</v>
      </c>
      <c r="B201" s="358" t="s">
        <v>1043</v>
      </c>
      <c r="C201" s="358" t="s">
        <v>1043</v>
      </c>
      <c r="D201" s="358" t="s">
        <v>756</v>
      </c>
      <c r="E201" s="360">
        <v>46158</v>
      </c>
      <c r="F201" s="350">
        <f t="shared" si="5"/>
        <v>46173</v>
      </c>
    </row>
    <row r="202" spans="1:6" ht="15.5">
      <c r="A202" s="357">
        <v>201</v>
      </c>
      <c r="B202" s="358" t="s">
        <v>1044</v>
      </c>
      <c r="C202" s="358" t="s">
        <v>1044</v>
      </c>
      <c r="D202" s="358" t="s">
        <v>756</v>
      </c>
      <c r="E202" s="360">
        <v>46159</v>
      </c>
      <c r="F202" s="350">
        <f t="shared" si="5"/>
        <v>46173</v>
      </c>
    </row>
    <row r="203" spans="1:6" ht="15.5">
      <c r="A203" s="357">
        <v>202</v>
      </c>
      <c r="B203" s="358" t="s">
        <v>1045</v>
      </c>
      <c r="C203" s="358" t="s">
        <v>1045</v>
      </c>
      <c r="D203" s="358" t="s">
        <v>756</v>
      </c>
      <c r="E203" s="360">
        <v>46159</v>
      </c>
      <c r="F203" s="350">
        <f t="shared" si="5"/>
        <v>46173</v>
      </c>
    </row>
    <row r="204" spans="1:6" ht="15.5">
      <c r="A204" s="357">
        <v>203</v>
      </c>
      <c r="B204" s="358" t="s">
        <v>1046</v>
      </c>
      <c r="C204" s="358" t="s">
        <v>1047</v>
      </c>
      <c r="D204" s="359">
        <v>46262</v>
      </c>
      <c r="E204" s="360">
        <v>46160</v>
      </c>
      <c r="F204" s="350">
        <f t="shared" si="5"/>
        <v>46173</v>
      </c>
    </row>
    <row r="205" spans="1:6" ht="15.5">
      <c r="A205" s="357">
        <v>204</v>
      </c>
      <c r="B205" s="358" t="s">
        <v>1048</v>
      </c>
      <c r="C205" s="358" t="s">
        <v>1048</v>
      </c>
      <c r="D205" s="358" t="s">
        <v>756</v>
      </c>
      <c r="E205" s="360">
        <v>46160</v>
      </c>
      <c r="F205" s="350">
        <f t="shared" si="5"/>
        <v>46173</v>
      </c>
    </row>
    <row r="206" spans="1:6" ht="15.5">
      <c r="A206" s="357">
        <v>205</v>
      </c>
      <c r="B206" s="358" t="s">
        <v>1049</v>
      </c>
      <c r="C206" s="358" t="s">
        <v>1049</v>
      </c>
      <c r="D206" s="358" t="s">
        <v>756</v>
      </c>
      <c r="E206" s="360">
        <v>46161</v>
      </c>
      <c r="F206" s="350">
        <f t="shared" si="5"/>
        <v>46173</v>
      </c>
    </row>
    <row r="207" spans="1:6" ht="15.5">
      <c r="A207" s="357">
        <v>206</v>
      </c>
      <c r="B207" s="358" t="s">
        <v>1050</v>
      </c>
      <c r="C207" s="358" t="s">
        <v>1050</v>
      </c>
      <c r="D207" s="358" t="s">
        <v>756</v>
      </c>
      <c r="E207" s="360">
        <v>46161</v>
      </c>
      <c r="F207" s="350">
        <f t="shared" si="5"/>
        <v>46173</v>
      </c>
    </row>
    <row r="208" spans="1:6" ht="15.5">
      <c r="A208" s="357">
        <v>207</v>
      </c>
      <c r="B208" s="358" t="s">
        <v>1051</v>
      </c>
      <c r="C208" s="358" t="s">
        <v>1051</v>
      </c>
      <c r="D208" s="358" t="s">
        <v>756</v>
      </c>
      <c r="E208" s="360">
        <v>46161</v>
      </c>
      <c r="F208" s="350">
        <f t="shared" si="5"/>
        <v>46173</v>
      </c>
    </row>
    <row r="209" spans="1:6" ht="15.5">
      <c r="A209" s="357">
        <v>208</v>
      </c>
      <c r="B209" s="358" t="s">
        <v>1052</v>
      </c>
      <c r="C209" s="358" t="s">
        <v>1052</v>
      </c>
      <c r="D209" s="358" t="s">
        <v>756</v>
      </c>
      <c r="E209" s="360">
        <v>46162</v>
      </c>
      <c r="F209" s="350">
        <f t="shared" si="5"/>
        <v>46173</v>
      </c>
    </row>
    <row r="210" spans="1:6" ht="15.5">
      <c r="A210" s="357">
        <v>209</v>
      </c>
      <c r="B210" s="358" t="s">
        <v>1053</v>
      </c>
      <c r="C210" s="358" t="s">
        <v>1053</v>
      </c>
      <c r="D210" s="359">
        <v>46970</v>
      </c>
      <c r="E210" s="360">
        <v>46163</v>
      </c>
      <c r="F210" s="350">
        <f t="shared" si="5"/>
        <v>46173</v>
      </c>
    </row>
    <row r="211" spans="1:6" ht="15.5">
      <c r="A211" s="357">
        <v>210</v>
      </c>
      <c r="B211" s="358" t="s">
        <v>1054</v>
      </c>
      <c r="C211" s="358" t="s">
        <v>1054</v>
      </c>
      <c r="D211" s="358" t="s">
        <v>756</v>
      </c>
      <c r="E211" s="360">
        <v>46164</v>
      </c>
      <c r="F211" s="350">
        <f t="shared" si="5"/>
        <v>46173</v>
      </c>
    </row>
    <row r="212" spans="1:6" ht="15.5">
      <c r="A212" s="357">
        <v>211</v>
      </c>
      <c r="B212" s="358" t="s">
        <v>1055</v>
      </c>
      <c r="C212" s="358" t="s">
        <v>1055</v>
      </c>
      <c r="D212" s="358" t="s">
        <v>756</v>
      </c>
      <c r="E212" s="360">
        <v>46165</v>
      </c>
      <c r="F212" s="350">
        <f t="shared" si="5"/>
        <v>46173</v>
      </c>
    </row>
    <row r="213" spans="1:6" ht="15.5">
      <c r="A213" s="357">
        <v>212</v>
      </c>
      <c r="B213" s="358" t="s">
        <v>1056</v>
      </c>
      <c r="C213" s="358" t="s">
        <v>1056</v>
      </c>
      <c r="D213" s="358" t="s">
        <v>756</v>
      </c>
      <c r="E213" s="360">
        <v>46166</v>
      </c>
      <c r="F213" s="350">
        <f t="shared" si="5"/>
        <v>46173</v>
      </c>
    </row>
    <row r="214" spans="1:6" ht="15.5">
      <c r="A214" s="357">
        <v>213</v>
      </c>
      <c r="B214" s="358" t="s">
        <v>1057</v>
      </c>
      <c r="C214" s="358" t="s">
        <v>1057</v>
      </c>
      <c r="D214" s="358" t="s">
        <v>756</v>
      </c>
      <c r="E214" s="360">
        <v>46166</v>
      </c>
      <c r="F214" s="350">
        <f t="shared" si="5"/>
        <v>46173</v>
      </c>
    </row>
    <row r="215" spans="1:6" ht="15.5">
      <c r="A215" s="357">
        <v>214</v>
      </c>
      <c r="B215" s="358" t="s">
        <v>1058</v>
      </c>
      <c r="C215" s="358" t="s">
        <v>1058</v>
      </c>
      <c r="D215" s="358" t="s">
        <v>756</v>
      </c>
      <c r="E215" s="360">
        <v>46166</v>
      </c>
      <c r="F215" s="350">
        <f t="shared" si="5"/>
        <v>46173</v>
      </c>
    </row>
    <row r="216" spans="1:6" ht="15.5">
      <c r="A216" s="357">
        <v>215</v>
      </c>
      <c r="B216" s="358" t="s">
        <v>1058</v>
      </c>
      <c r="C216" s="358" t="s">
        <v>1058</v>
      </c>
      <c r="D216" s="358" t="s">
        <v>756</v>
      </c>
      <c r="E216" s="360">
        <v>46167</v>
      </c>
      <c r="F216" s="350">
        <f t="shared" si="5"/>
        <v>46173</v>
      </c>
    </row>
    <row r="217" spans="1:6" ht="15.5">
      <c r="A217" s="357">
        <v>216</v>
      </c>
      <c r="B217" s="358" t="s">
        <v>1059</v>
      </c>
      <c r="C217" s="358" t="s">
        <v>1059</v>
      </c>
      <c r="D217" s="358" t="s">
        <v>756</v>
      </c>
      <c r="E217" s="360">
        <v>46169</v>
      </c>
      <c r="F217" s="350">
        <f t="shared" si="5"/>
        <v>46173</v>
      </c>
    </row>
    <row r="218" spans="1:6" ht="15.5">
      <c r="A218" s="357">
        <v>217</v>
      </c>
      <c r="B218" s="358" t="s">
        <v>1022</v>
      </c>
      <c r="C218" s="358" t="s">
        <v>1022</v>
      </c>
      <c r="D218" s="358" t="s">
        <v>756</v>
      </c>
      <c r="E218" s="360">
        <v>46169</v>
      </c>
      <c r="F218" s="350">
        <f t="shared" si="5"/>
        <v>46173</v>
      </c>
    </row>
    <row r="219" spans="1:6" ht="15.5">
      <c r="A219" s="357">
        <v>218</v>
      </c>
      <c r="B219" s="358" t="s">
        <v>1060</v>
      </c>
      <c r="C219" s="358" t="s">
        <v>1060</v>
      </c>
      <c r="D219" s="358" t="s">
        <v>756</v>
      </c>
      <c r="E219" s="360">
        <v>46169</v>
      </c>
      <c r="F219" s="350">
        <f t="shared" si="5"/>
        <v>46173</v>
      </c>
    </row>
    <row r="220" spans="1:6" ht="15.5">
      <c r="A220" s="357">
        <v>219</v>
      </c>
      <c r="B220" s="358" t="s">
        <v>1061</v>
      </c>
      <c r="C220" s="358" t="s">
        <v>1002</v>
      </c>
      <c r="D220" s="359">
        <v>46563</v>
      </c>
      <c r="E220" s="360">
        <v>46170</v>
      </c>
      <c r="F220" s="350">
        <f t="shared" si="5"/>
        <v>46173</v>
      </c>
    </row>
    <row r="221" spans="1:6" ht="15.5">
      <c r="A221" s="357">
        <v>220</v>
      </c>
      <c r="B221" s="358" t="s">
        <v>712</v>
      </c>
      <c r="C221" s="358" t="s">
        <v>1002</v>
      </c>
      <c r="D221" s="359">
        <v>46563</v>
      </c>
      <c r="E221" s="360">
        <v>46170</v>
      </c>
      <c r="F221" s="350">
        <f t="shared" si="5"/>
        <v>46173</v>
      </c>
    </row>
    <row r="222" spans="1:6" ht="15.5">
      <c r="A222" s="357">
        <v>221</v>
      </c>
      <c r="B222" s="358" t="s">
        <v>1062</v>
      </c>
      <c r="C222" s="358"/>
      <c r="D222" s="359">
        <v>46375</v>
      </c>
      <c r="E222" s="360">
        <v>46170</v>
      </c>
      <c r="F222" s="350">
        <f t="shared" si="5"/>
        <v>46173</v>
      </c>
    </row>
    <row r="223" spans="1:6" ht="15.5">
      <c r="A223" s="357">
        <v>222</v>
      </c>
      <c r="B223" s="358" t="s">
        <v>1063</v>
      </c>
      <c r="C223" s="358" t="s">
        <v>1064</v>
      </c>
      <c r="D223" s="359">
        <v>46466</v>
      </c>
      <c r="E223" s="360">
        <v>46171</v>
      </c>
      <c r="F223" s="350">
        <f t="shared" si="5"/>
        <v>46173</v>
      </c>
    </row>
    <row r="224" spans="1:6" ht="15.5">
      <c r="A224" s="357">
        <v>223</v>
      </c>
      <c r="B224" s="358" t="s">
        <v>1065</v>
      </c>
      <c r="C224" s="358" t="s">
        <v>1065</v>
      </c>
      <c r="D224" s="358" t="s">
        <v>756</v>
      </c>
      <c r="E224" s="360">
        <v>46171</v>
      </c>
      <c r="F224" s="350">
        <f t="shared" si="5"/>
        <v>46173</v>
      </c>
    </row>
    <row r="225" spans="1:6" ht="15.5">
      <c r="A225" s="357">
        <v>224</v>
      </c>
      <c r="B225" s="358" t="s">
        <v>1066</v>
      </c>
      <c r="C225" s="358" t="s">
        <v>1066</v>
      </c>
      <c r="D225" s="358" t="s">
        <v>756</v>
      </c>
      <c r="E225" s="360">
        <v>46173</v>
      </c>
      <c r="F225" s="350">
        <f t="shared" si="5"/>
        <v>46173</v>
      </c>
    </row>
    <row r="226" spans="1:6" ht="15.5">
      <c r="A226" s="357">
        <v>225</v>
      </c>
      <c r="B226" s="358" t="s">
        <v>1067</v>
      </c>
      <c r="C226" s="358" t="s">
        <v>1067</v>
      </c>
      <c r="D226" s="358" t="s">
        <v>756</v>
      </c>
      <c r="E226" s="359">
        <v>46175</v>
      </c>
      <c r="F226" s="350">
        <f t="shared" si="5"/>
        <v>46203</v>
      </c>
    </row>
    <row r="227" spans="1:6" ht="15.5">
      <c r="A227" s="357">
        <v>226</v>
      </c>
      <c r="B227" s="358" t="s">
        <v>1068</v>
      </c>
      <c r="C227" s="358" t="s">
        <v>1069</v>
      </c>
      <c r="D227" s="359">
        <v>46213</v>
      </c>
      <c r="E227" s="359">
        <v>46177</v>
      </c>
      <c r="F227" s="350">
        <f t="shared" si="5"/>
        <v>46203</v>
      </c>
    </row>
    <row r="228" spans="1:6" ht="15.5">
      <c r="A228" s="357">
        <v>227</v>
      </c>
      <c r="B228" s="358" t="s">
        <v>773</v>
      </c>
      <c r="C228" s="358" t="s">
        <v>1032</v>
      </c>
      <c r="D228" s="359">
        <v>46346</v>
      </c>
      <c r="E228" s="359">
        <v>46177</v>
      </c>
      <c r="F228" s="350">
        <f t="shared" si="5"/>
        <v>46203</v>
      </c>
    </row>
    <row r="229" spans="1:6" ht="15.5">
      <c r="A229" s="357">
        <v>228</v>
      </c>
      <c r="B229" s="358" t="s">
        <v>1070</v>
      </c>
      <c r="C229" s="358" t="s">
        <v>1070</v>
      </c>
      <c r="D229" s="358" t="s">
        <v>756</v>
      </c>
      <c r="E229" s="359">
        <v>46177</v>
      </c>
      <c r="F229" s="350">
        <f t="shared" si="5"/>
        <v>46203</v>
      </c>
    </row>
    <row r="230" spans="1:6" ht="15.5">
      <c r="A230" s="357">
        <v>229</v>
      </c>
      <c r="B230" s="358" t="s">
        <v>1071</v>
      </c>
      <c r="C230" s="358" t="s">
        <v>1071</v>
      </c>
      <c r="D230" s="358" t="s">
        <v>756</v>
      </c>
      <c r="E230" s="359">
        <v>46178</v>
      </c>
      <c r="F230" s="350">
        <f t="shared" si="5"/>
        <v>46203</v>
      </c>
    </row>
    <row r="231" spans="1:6" ht="15.5">
      <c r="A231" s="357">
        <v>230</v>
      </c>
      <c r="B231" s="358" t="s">
        <v>1072</v>
      </c>
      <c r="C231" s="358" t="s">
        <v>1072</v>
      </c>
      <c r="D231" s="358" t="s">
        <v>756</v>
      </c>
      <c r="E231" s="359">
        <v>46178</v>
      </c>
      <c r="F231" s="350">
        <f t="shared" si="5"/>
        <v>46203</v>
      </c>
    </row>
    <row r="232" spans="1:6" ht="15.5">
      <c r="A232" s="357">
        <v>231</v>
      </c>
      <c r="B232" s="358" t="s">
        <v>1073</v>
      </c>
      <c r="C232" s="358" t="s">
        <v>1073</v>
      </c>
      <c r="D232" s="358" t="s">
        <v>756</v>
      </c>
      <c r="E232" s="359">
        <v>46179</v>
      </c>
      <c r="F232" s="350">
        <f t="shared" si="5"/>
        <v>46203</v>
      </c>
    </row>
    <row r="233" spans="1:6" ht="15.5">
      <c r="A233" s="357">
        <v>232</v>
      </c>
      <c r="B233" s="358" t="s">
        <v>1074</v>
      </c>
      <c r="C233" s="358" t="s">
        <v>1074</v>
      </c>
      <c r="D233" s="358" t="s">
        <v>756</v>
      </c>
      <c r="E233" s="359">
        <v>46180</v>
      </c>
      <c r="F233" s="350">
        <f t="shared" si="5"/>
        <v>46203</v>
      </c>
    </row>
    <row r="234" spans="1:6" ht="15.5">
      <c r="A234" s="357">
        <v>233</v>
      </c>
      <c r="B234" s="358" t="s">
        <v>1075</v>
      </c>
      <c r="C234" s="358" t="s">
        <v>1075</v>
      </c>
      <c r="D234" s="358" t="s">
        <v>756</v>
      </c>
      <c r="E234" s="359">
        <v>46180</v>
      </c>
      <c r="F234" s="350">
        <f t="shared" si="5"/>
        <v>46203</v>
      </c>
    </row>
    <row r="235" spans="1:6" ht="15.5">
      <c r="A235" s="357">
        <v>234</v>
      </c>
      <c r="B235" s="358" t="s">
        <v>1076</v>
      </c>
      <c r="C235" s="358" t="s">
        <v>1076</v>
      </c>
      <c r="D235" s="358" t="s">
        <v>756</v>
      </c>
      <c r="E235" s="359">
        <v>46181</v>
      </c>
      <c r="F235" s="350">
        <f t="shared" si="5"/>
        <v>46203</v>
      </c>
    </row>
    <row r="236" spans="1:6" ht="15.5">
      <c r="A236" s="357">
        <v>235</v>
      </c>
      <c r="B236" s="358" t="s">
        <v>1077</v>
      </c>
      <c r="C236" s="358" t="s">
        <v>1078</v>
      </c>
      <c r="D236" s="359">
        <v>46254</v>
      </c>
      <c r="E236" s="359">
        <v>46182</v>
      </c>
      <c r="F236" s="350">
        <f t="shared" si="5"/>
        <v>46203</v>
      </c>
    </row>
    <row r="237" spans="1:6" ht="15.5">
      <c r="A237" s="357">
        <v>236</v>
      </c>
      <c r="B237" s="358" t="s">
        <v>1079</v>
      </c>
      <c r="C237" s="358" t="s">
        <v>1079</v>
      </c>
      <c r="D237" s="358" t="s">
        <v>756</v>
      </c>
      <c r="E237" s="359">
        <v>46182</v>
      </c>
      <c r="F237" s="350">
        <f t="shared" si="5"/>
        <v>46203</v>
      </c>
    </row>
    <row r="238" spans="1:6" ht="15.5">
      <c r="A238" s="357">
        <v>237</v>
      </c>
      <c r="B238" s="358" t="s">
        <v>1080</v>
      </c>
      <c r="C238" s="358" t="s">
        <v>1080</v>
      </c>
      <c r="D238" s="358" t="s">
        <v>756</v>
      </c>
      <c r="E238" s="359">
        <v>46182</v>
      </c>
      <c r="F238" s="350">
        <f t="shared" si="5"/>
        <v>46203</v>
      </c>
    </row>
    <row r="239" spans="1:6" ht="15.5">
      <c r="A239" s="357">
        <v>238</v>
      </c>
      <c r="B239" s="358" t="s">
        <v>1081</v>
      </c>
      <c r="C239" s="358" t="s">
        <v>1081</v>
      </c>
      <c r="D239" s="358" t="s">
        <v>756</v>
      </c>
      <c r="E239" s="359">
        <v>46183</v>
      </c>
      <c r="F239" s="350">
        <f t="shared" si="5"/>
        <v>46203</v>
      </c>
    </row>
    <row r="240" spans="1:6" ht="15.5">
      <c r="A240" s="357">
        <v>239</v>
      </c>
      <c r="B240" s="358" t="s">
        <v>1082</v>
      </c>
      <c r="C240" s="358" t="s">
        <v>1083</v>
      </c>
      <c r="D240" s="359">
        <v>46837</v>
      </c>
      <c r="E240" s="359">
        <v>46183</v>
      </c>
      <c r="F240" s="350">
        <f t="shared" si="5"/>
        <v>46203</v>
      </c>
    </row>
    <row r="241" spans="1:6" ht="15.5">
      <c r="A241" s="357">
        <v>240</v>
      </c>
      <c r="B241" s="358" t="s">
        <v>1084</v>
      </c>
      <c r="C241" s="358" t="s">
        <v>1084</v>
      </c>
      <c r="D241" s="358" t="s">
        <v>756</v>
      </c>
      <c r="E241" s="359">
        <v>46184</v>
      </c>
      <c r="F241" s="350">
        <f t="shared" si="5"/>
        <v>46203</v>
      </c>
    </row>
    <row r="242" spans="1:6" ht="15.5">
      <c r="A242" s="357">
        <v>241</v>
      </c>
      <c r="B242" s="358" t="s">
        <v>1085</v>
      </c>
      <c r="C242" s="358" t="s">
        <v>1085</v>
      </c>
      <c r="D242" s="358" t="s">
        <v>756</v>
      </c>
      <c r="E242" s="359">
        <v>46184</v>
      </c>
      <c r="F242" s="350">
        <f t="shared" si="5"/>
        <v>46203</v>
      </c>
    </row>
    <row r="243" spans="1:6" ht="15.5">
      <c r="A243" s="357">
        <v>242</v>
      </c>
      <c r="B243" s="358" t="s">
        <v>1086</v>
      </c>
      <c r="C243" s="358" t="s">
        <v>1086</v>
      </c>
      <c r="D243" s="358" t="s">
        <v>756</v>
      </c>
      <c r="E243" s="359">
        <v>46184</v>
      </c>
      <c r="F243" s="350">
        <f t="shared" si="5"/>
        <v>46203</v>
      </c>
    </row>
    <row r="244" spans="1:6" ht="15.5">
      <c r="A244" s="357">
        <v>243</v>
      </c>
      <c r="B244" s="358" t="s">
        <v>1087</v>
      </c>
      <c r="C244" s="358" t="s">
        <v>1087</v>
      </c>
      <c r="D244" s="358" t="s">
        <v>756</v>
      </c>
      <c r="E244" s="359">
        <v>46185</v>
      </c>
      <c r="F244" s="350">
        <f t="shared" si="5"/>
        <v>46203</v>
      </c>
    </row>
    <row r="245" spans="1:6" ht="15.5">
      <c r="A245" s="357">
        <v>244</v>
      </c>
      <c r="B245" s="358" t="s">
        <v>1088</v>
      </c>
      <c r="C245" s="358" t="s">
        <v>1088</v>
      </c>
      <c r="D245" s="358" t="s">
        <v>756</v>
      </c>
      <c r="E245" s="359">
        <v>46188</v>
      </c>
      <c r="F245" s="350">
        <f t="shared" si="5"/>
        <v>46203</v>
      </c>
    </row>
    <row r="246" spans="1:6" ht="15.5">
      <c r="A246" s="357">
        <v>245</v>
      </c>
      <c r="B246" s="358" t="s">
        <v>1089</v>
      </c>
      <c r="C246" s="358" t="s">
        <v>1089</v>
      </c>
      <c r="D246" s="358" t="s">
        <v>756</v>
      </c>
      <c r="E246" s="359">
        <v>46189</v>
      </c>
      <c r="F246" s="350">
        <f t="shared" si="5"/>
        <v>46203</v>
      </c>
    </row>
    <row r="247" spans="1:6" ht="15.5">
      <c r="A247" s="357">
        <v>246</v>
      </c>
      <c r="B247" s="358" t="s">
        <v>1090</v>
      </c>
      <c r="C247" s="358" t="s">
        <v>1091</v>
      </c>
      <c r="D247" s="359">
        <v>46209</v>
      </c>
      <c r="E247" s="359">
        <v>46189</v>
      </c>
      <c r="F247" s="350">
        <f t="shared" si="5"/>
        <v>46203</v>
      </c>
    </row>
    <row r="248" spans="1:6" ht="15.5">
      <c r="A248" s="357">
        <v>247</v>
      </c>
      <c r="B248" s="358" t="s">
        <v>1092</v>
      </c>
      <c r="C248" s="358" t="s">
        <v>1092</v>
      </c>
      <c r="D248" s="358" t="s">
        <v>756</v>
      </c>
      <c r="E248" s="359">
        <v>46190</v>
      </c>
      <c r="F248" s="350">
        <f t="shared" si="5"/>
        <v>46203</v>
      </c>
    </row>
    <row r="249" spans="1:6" ht="15.5">
      <c r="A249" s="357">
        <v>248</v>
      </c>
      <c r="B249" s="358" t="s">
        <v>1093</v>
      </c>
      <c r="C249" s="358" t="s">
        <v>1093</v>
      </c>
      <c r="D249" s="358" t="s">
        <v>756</v>
      </c>
      <c r="E249" s="359">
        <v>46190</v>
      </c>
      <c r="F249" s="350">
        <f t="shared" si="5"/>
        <v>46203</v>
      </c>
    </row>
    <row r="250" spans="1:6" ht="15.5">
      <c r="A250" s="357">
        <v>249</v>
      </c>
      <c r="B250" s="358" t="s">
        <v>1094</v>
      </c>
      <c r="C250" s="358" t="s">
        <v>1094</v>
      </c>
      <c r="D250" s="358" t="s">
        <v>756</v>
      </c>
      <c r="E250" s="359">
        <v>46190</v>
      </c>
      <c r="F250" s="350">
        <f t="shared" si="5"/>
        <v>46203</v>
      </c>
    </row>
    <row r="251" spans="1:6" ht="15.5">
      <c r="A251" s="357">
        <v>250</v>
      </c>
      <c r="B251" s="358" t="s">
        <v>1095</v>
      </c>
      <c r="C251" s="358" t="s">
        <v>1095</v>
      </c>
      <c r="D251" s="358" t="s">
        <v>756</v>
      </c>
      <c r="E251" s="359">
        <v>46191</v>
      </c>
      <c r="F251" s="350">
        <f t="shared" si="5"/>
        <v>46203</v>
      </c>
    </row>
    <row r="252" spans="1:6" ht="15.5">
      <c r="A252" s="357">
        <v>251</v>
      </c>
      <c r="B252" s="358" t="s">
        <v>1096</v>
      </c>
      <c r="C252" s="358" t="s">
        <v>1096</v>
      </c>
      <c r="D252" s="358" t="s">
        <v>756</v>
      </c>
      <c r="E252" s="359">
        <v>46193</v>
      </c>
      <c r="F252" s="350">
        <f t="shared" si="5"/>
        <v>46203</v>
      </c>
    </row>
    <row r="253" spans="1:6" ht="15.5">
      <c r="A253" s="357">
        <v>252</v>
      </c>
      <c r="B253" s="358" t="s">
        <v>1097</v>
      </c>
      <c r="C253" s="358" t="s">
        <v>1097</v>
      </c>
      <c r="D253" s="358" t="s">
        <v>756</v>
      </c>
      <c r="E253" s="359">
        <v>46193</v>
      </c>
      <c r="F253" s="350">
        <f t="shared" si="5"/>
        <v>46203</v>
      </c>
    </row>
    <row r="254" spans="1:6" ht="15.5">
      <c r="A254" s="357">
        <v>253</v>
      </c>
      <c r="B254" s="358" t="s">
        <v>1098</v>
      </c>
      <c r="C254" s="358" t="s">
        <v>1098</v>
      </c>
      <c r="D254" s="358" t="s">
        <v>756</v>
      </c>
      <c r="E254" s="359">
        <v>46194</v>
      </c>
      <c r="F254" s="350">
        <f t="shared" si="5"/>
        <v>46203</v>
      </c>
    </row>
    <row r="255" spans="1:6" ht="15.5">
      <c r="A255" s="357">
        <v>254</v>
      </c>
      <c r="B255" s="358" t="s">
        <v>1099</v>
      </c>
      <c r="C255" s="358" t="s">
        <v>1099</v>
      </c>
      <c r="D255" s="358" t="s">
        <v>756</v>
      </c>
      <c r="E255" s="359">
        <v>46195</v>
      </c>
      <c r="F255" s="350">
        <f t="shared" si="5"/>
        <v>46203</v>
      </c>
    </row>
    <row r="256" spans="1:6" ht="15.5">
      <c r="A256" s="357">
        <v>255</v>
      </c>
      <c r="B256" s="358" t="s">
        <v>1100</v>
      </c>
      <c r="C256" s="358" t="s">
        <v>1100</v>
      </c>
      <c r="D256" s="358" t="s">
        <v>756</v>
      </c>
      <c r="E256" s="359">
        <v>46195</v>
      </c>
      <c r="F256" s="350">
        <f t="shared" si="5"/>
        <v>46203</v>
      </c>
    </row>
    <row r="257" spans="1:6" ht="15.5">
      <c r="A257" s="357">
        <v>256</v>
      </c>
      <c r="B257" s="358" t="s">
        <v>1101</v>
      </c>
      <c r="C257" s="358" t="s">
        <v>1101</v>
      </c>
      <c r="D257" s="358" t="s">
        <v>756</v>
      </c>
      <c r="E257" s="359">
        <v>46196</v>
      </c>
      <c r="F257" s="350">
        <f t="shared" si="5"/>
        <v>46203</v>
      </c>
    </row>
    <row r="258" spans="1:6" ht="15.5">
      <c r="A258" s="357">
        <v>257</v>
      </c>
      <c r="B258" s="358" t="s">
        <v>1102</v>
      </c>
      <c r="C258" s="358" t="s">
        <v>1102</v>
      </c>
      <c r="D258" s="358" t="s">
        <v>756</v>
      </c>
      <c r="E258" s="359">
        <v>46196</v>
      </c>
      <c r="F258" s="350">
        <f t="shared" si="5"/>
        <v>46203</v>
      </c>
    </row>
    <row r="259" spans="1:6" ht="15.5">
      <c r="A259" s="357">
        <v>258</v>
      </c>
      <c r="B259" s="358" t="s">
        <v>1103</v>
      </c>
      <c r="C259" s="358" t="s">
        <v>1104</v>
      </c>
      <c r="D259" s="359">
        <v>46264</v>
      </c>
      <c r="E259" s="359">
        <v>46196</v>
      </c>
      <c r="F259" s="350">
        <f t="shared" ref="F259:F319" si="6">EOMONTH(E259,0)</f>
        <v>46203</v>
      </c>
    </row>
    <row r="260" spans="1:6" ht="15.5">
      <c r="A260" s="357">
        <v>259</v>
      </c>
      <c r="B260" s="358" t="s">
        <v>1105</v>
      </c>
      <c r="C260" s="358" t="s">
        <v>1105</v>
      </c>
      <c r="D260" s="358" t="s">
        <v>756</v>
      </c>
      <c r="E260" s="359">
        <v>46197</v>
      </c>
      <c r="F260" s="350">
        <f t="shared" si="6"/>
        <v>46203</v>
      </c>
    </row>
    <row r="261" spans="1:6" ht="15.5">
      <c r="A261" s="357">
        <v>260</v>
      </c>
      <c r="B261" s="358" t="s">
        <v>1072</v>
      </c>
      <c r="C261" s="358" t="s">
        <v>1072</v>
      </c>
      <c r="D261" s="358" t="s">
        <v>756</v>
      </c>
      <c r="E261" s="359">
        <v>46198</v>
      </c>
      <c r="F261" s="350">
        <f t="shared" si="6"/>
        <v>46203</v>
      </c>
    </row>
    <row r="262" spans="1:6" ht="15.5">
      <c r="A262" s="357">
        <v>261</v>
      </c>
      <c r="B262" s="358" t="s">
        <v>1106</v>
      </c>
      <c r="C262" s="358" t="s">
        <v>1106</v>
      </c>
      <c r="D262" s="358" t="s">
        <v>756</v>
      </c>
      <c r="E262" s="359">
        <v>46199</v>
      </c>
      <c r="F262" s="350">
        <f t="shared" si="6"/>
        <v>46203</v>
      </c>
    </row>
    <row r="263" spans="1:6" ht="15.5">
      <c r="A263" s="357">
        <v>262</v>
      </c>
      <c r="B263" s="358" t="s">
        <v>1107</v>
      </c>
      <c r="C263" s="358" t="s">
        <v>1107</v>
      </c>
      <c r="D263" s="358" t="s">
        <v>756</v>
      </c>
      <c r="E263" s="359">
        <v>46199</v>
      </c>
      <c r="F263" s="350">
        <f t="shared" si="6"/>
        <v>46203</v>
      </c>
    </row>
    <row r="264" spans="1:6" ht="15.5">
      <c r="A264" s="357">
        <v>263</v>
      </c>
      <c r="B264" s="358" t="s">
        <v>1108</v>
      </c>
      <c r="C264" s="358" t="s">
        <v>1108</v>
      </c>
      <c r="D264" s="358" t="s">
        <v>756</v>
      </c>
      <c r="E264" s="359">
        <v>46201</v>
      </c>
      <c r="F264" s="350">
        <f t="shared" si="6"/>
        <v>46203</v>
      </c>
    </row>
    <row r="265" spans="1:6" ht="15.5">
      <c r="A265" s="357">
        <v>264</v>
      </c>
      <c r="B265" s="358" t="s">
        <v>1109</v>
      </c>
      <c r="C265" s="358" t="s">
        <v>1109</v>
      </c>
      <c r="D265" s="358" t="s">
        <v>756</v>
      </c>
      <c r="E265" s="359">
        <v>46202</v>
      </c>
      <c r="F265" s="350">
        <f t="shared" si="6"/>
        <v>46203</v>
      </c>
    </row>
    <row r="266" spans="1:6" ht="15.5">
      <c r="A266" s="357">
        <v>265</v>
      </c>
      <c r="B266" s="358" t="s">
        <v>712</v>
      </c>
      <c r="C266" s="358" t="s">
        <v>1110</v>
      </c>
      <c r="D266" s="359">
        <v>46276</v>
      </c>
      <c r="E266" s="359">
        <v>46203</v>
      </c>
      <c r="F266" s="350">
        <f t="shared" si="6"/>
        <v>46203</v>
      </c>
    </row>
    <row r="267" spans="1:6" ht="15.5">
      <c r="A267" s="357">
        <v>266</v>
      </c>
      <c r="B267" s="358" t="s">
        <v>1111</v>
      </c>
      <c r="C267" s="358" t="s">
        <v>1111</v>
      </c>
      <c r="D267" s="358" t="s">
        <v>756</v>
      </c>
      <c r="E267" s="359">
        <v>46203</v>
      </c>
      <c r="F267" s="350">
        <f t="shared" si="6"/>
        <v>46203</v>
      </c>
    </row>
    <row r="268" spans="1:6" ht="15.5">
      <c r="A268" s="357">
        <v>267</v>
      </c>
      <c r="B268" s="358" t="s">
        <v>1112</v>
      </c>
      <c r="C268" s="358" t="s">
        <v>1112</v>
      </c>
      <c r="D268" s="358" t="s">
        <v>756</v>
      </c>
      <c r="E268" s="359">
        <v>46203</v>
      </c>
      <c r="F268" s="350">
        <f t="shared" si="6"/>
        <v>46203</v>
      </c>
    </row>
    <row r="269" spans="1:6" ht="15.5">
      <c r="A269" s="357">
        <v>268</v>
      </c>
      <c r="B269" s="358" t="s">
        <v>1113</v>
      </c>
      <c r="C269" s="358" t="s">
        <v>1113</v>
      </c>
      <c r="D269" s="358" t="s">
        <v>756</v>
      </c>
      <c r="E269" s="359">
        <v>46204</v>
      </c>
      <c r="F269" s="350">
        <f t="shared" si="6"/>
        <v>46234</v>
      </c>
    </row>
    <row r="270" spans="1:6" ht="15.5">
      <c r="A270" s="357">
        <v>269</v>
      </c>
      <c r="B270" s="358" t="s">
        <v>1114</v>
      </c>
      <c r="C270" s="358" t="s">
        <v>1114</v>
      </c>
      <c r="D270" s="358" t="s">
        <v>756</v>
      </c>
      <c r="E270" s="359">
        <v>46208</v>
      </c>
      <c r="F270" s="350">
        <f t="shared" si="6"/>
        <v>46234</v>
      </c>
    </row>
    <row r="271" spans="1:6" ht="15.5">
      <c r="A271" s="357">
        <v>270</v>
      </c>
      <c r="B271" s="358" t="s">
        <v>1115</v>
      </c>
      <c r="C271" s="358" t="s">
        <v>1115</v>
      </c>
      <c r="D271" s="358" t="s">
        <v>756</v>
      </c>
      <c r="E271" s="359">
        <v>46209</v>
      </c>
      <c r="F271" s="350">
        <f t="shared" si="6"/>
        <v>46234</v>
      </c>
    </row>
    <row r="272" spans="1:6" ht="15.5">
      <c r="A272" s="357">
        <v>271</v>
      </c>
      <c r="B272" s="358" t="s">
        <v>1116</v>
      </c>
      <c r="C272" s="358" t="s">
        <v>1116</v>
      </c>
      <c r="D272" s="358" t="s">
        <v>756</v>
      </c>
      <c r="E272" s="359">
        <v>46209</v>
      </c>
      <c r="F272" s="350">
        <f t="shared" si="6"/>
        <v>46234</v>
      </c>
    </row>
    <row r="273" spans="1:6" ht="15.5">
      <c r="A273" s="357">
        <v>272</v>
      </c>
      <c r="B273" s="358" t="s">
        <v>1117</v>
      </c>
      <c r="C273" s="358" t="s">
        <v>1118</v>
      </c>
      <c r="D273" s="358" t="s">
        <v>756</v>
      </c>
      <c r="E273" s="359">
        <v>46210</v>
      </c>
      <c r="F273" s="350">
        <f t="shared" si="6"/>
        <v>46234</v>
      </c>
    </row>
    <row r="274" spans="1:6" ht="15.5">
      <c r="A274" s="357">
        <v>273</v>
      </c>
      <c r="B274" s="358" t="s">
        <v>1119</v>
      </c>
      <c r="C274" s="358" t="s">
        <v>1119</v>
      </c>
      <c r="D274" s="358" t="s">
        <v>756</v>
      </c>
      <c r="E274" s="359">
        <v>46210</v>
      </c>
      <c r="F274" s="350">
        <f t="shared" si="6"/>
        <v>46234</v>
      </c>
    </row>
    <row r="275" spans="1:6" ht="15.5">
      <c r="A275" s="357">
        <v>274</v>
      </c>
      <c r="B275" s="358" t="s">
        <v>1120</v>
      </c>
      <c r="C275" s="358" t="s">
        <v>1120</v>
      </c>
      <c r="D275" s="358" t="s">
        <v>756</v>
      </c>
      <c r="E275" s="359">
        <v>46211</v>
      </c>
      <c r="F275" s="350">
        <f t="shared" si="6"/>
        <v>46234</v>
      </c>
    </row>
    <row r="276" spans="1:6" ht="15.5">
      <c r="A276" s="357">
        <v>275</v>
      </c>
      <c r="B276" s="358" t="s">
        <v>1121</v>
      </c>
      <c r="C276" s="358" t="s">
        <v>1121</v>
      </c>
      <c r="D276" s="358" t="s">
        <v>756</v>
      </c>
      <c r="E276" s="359">
        <v>46211</v>
      </c>
      <c r="F276" s="350">
        <f t="shared" si="6"/>
        <v>46234</v>
      </c>
    </row>
    <row r="277" spans="1:6" ht="15.5">
      <c r="A277" s="357">
        <v>276</v>
      </c>
      <c r="B277" s="358" t="s">
        <v>1119</v>
      </c>
      <c r="C277" s="358" t="s">
        <v>1119</v>
      </c>
      <c r="D277" s="359">
        <v>46556</v>
      </c>
      <c r="E277" s="359">
        <v>46213</v>
      </c>
      <c r="F277" s="350">
        <f t="shared" si="6"/>
        <v>46234</v>
      </c>
    </row>
    <row r="278" spans="1:6" ht="15.5">
      <c r="A278" s="357">
        <v>277</v>
      </c>
      <c r="B278" s="358" t="s">
        <v>1122</v>
      </c>
      <c r="C278" s="358" t="s">
        <v>1122</v>
      </c>
      <c r="D278" s="358" t="s">
        <v>756</v>
      </c>
      <c r="E278" s="359">
        <v>46214</v>
      </c>
      <c r="F278" s="350">
        <f t="shared" si="6"/>
        <v>46234</v>
      </c>
    </row>
    <row r="279" spans="1:6" ht="15.5">
      <c r="A279" s="357">
        <v>278</v>
      </c>
      <c r="B279" s="358" t="s">
        <v>1123</v>
      </c>
      <c r="C279" s="358" t="s">
        <v>1123</v>
      </c>
      <c r="D279" s="358" t="s">
        <v>756</v>
      </c>
      <c r="E279" s="359">
        <v>46215</v>
      </c>
      <c r="F279" s="350">
        <f t="shared" si="6"/>
        <v>46234</v>
      </c>
    </row>
    <row r="280" spans="1:6" ht="15.5">
      <c r="A280" s="357">
        <v>279</v>
      </c>
      <c r="B280" s="358" t="s">
        <v>1124</v>
      </c>
      <c r="C280" s="358" t="s">
        <v>1124</v>
      </c>
      <c r="D280" s="358" t="s">
        <v>756</v>
      </c>
      <c r="E280" s="359">
        <v>46216</v>
      </c>
      <c r="F280" s="350">
        <f t="shared" si="6"/>
        <v>46234</v>
      </c>
    </row>
    <row r="281" spans="1:6" ht="15.5">
      <c r="A281" s="357">
        <v>280</v>
      </c>
      <c r="B281" s="358" t="s">
        <v>1125</v>
      </c>
      <c r="C281" s="358" t="s">
        <v>1125</v>
      </c>
      <c r="D281" s="358" t="s">
        <v>756</v>
      </c>
      <c r="E281" s="359">
        <v>46219</v>
      </c>
      <c r="F281" s="350">
        <f t="shared" si="6"/>
        <v>46234</v>
      </c>
    </row>
    <row r="282" spans="1:6" ht="15.5">
      <c r="A282" s="357">
        <v>281</v>
      </c>
      <c r="B282" s="358" t="s">
        <v>1126</v>
      </c>
      <c r="C282" s="358" t="s">
        <v>1126</v>
      </c>
      <c r="D282" s="358" t="s">
        <v>756</v>
      </c>
      <c r="E282" s="359">
        <v>46219</v>
      </c>
      <c r="F282" s="350">
        <f t="shared" si="6"/>
        <v>46234</v>
      </c>
    </row>
    <row r="283" spans="1:6" ht="15.5">
      <c r="A283" s="357">
        <v>282</v>
      </c>
      <c r="B283" s="358" t="s">
        <v>1127</v>
      </c>
      <c r="C283" s="358" t="s">
        <v>1126</v>
      </c>
      <c r="D283" s="359">
        <v>46494</v>
      </c>
      <c r="E283" s="359">
        <v>46220</v>
      </c>
      <c r="F283" s="350">
        <f t="shared" si="6"/>
        <v>46234</v>
      </c>
    </row>
    <row r="284" spans="1:6" ht="15.5">
      <c r="A284" s="357">
        <v>283</v>
      </c>
      <c r="B284" s="358" t="s">
        <v>1128</v>
      </c>
      <c r="C284" s="358" t="s">
        <v>1128</v>
      </c>
      <c r="D284" s="358" t="s">
        <v>756</v>
      </c>
      <c r="E284" s="359">
        <v>46220</v>
      </c>
      <c r="F284" s="350">
        <f t="shared" si="6"/>
        <v>46234</v>
      </c>
    </row>
    <row r="285" spans="1:6" ht="15.5">
      <c r="A285" s="357">
        <v>284</v>
      </c>
      <c r="B285" s="358" t="s">
        <v>1129</v>
      </c>
      <c r="C285" s="358" t="s">
        <v>1129</v>
      </c>
      <c r="D285" s="358" t="s">
        <v>756</v>
      </c>
      <c r="E285" s="359">
        <v>46220</v>
      </c>
      <c r="F285" s="350">
        <f t="shared" si="6"/>
        <v>46234</v>
      </c>
    </row>
    <row r="286" spans="1:6" ht="15.5">
      <c r="A286" s="357">
        <v>285</v>
      </c>
      <c r="B286" s="358" t="s">
        <v>1130</v>
      </c>
      <c r="C286" s="358" t="s">
        <v>1130</v>
      </c>
      <c r="D286" s="358" t="s">
        <v>756</v>
      </c>
      <c r="E286" s="359">
        <v>46222</v>
      </c>
      <c r="F286" s="350">
        <f t="shared" si="6"/>
        <v>46234</v>
      </c>
    </row>
    <row r="287" spans="1:6" ht="15.5">
      <c r="A287" s="357">
        <v>286</v>
      </c>
      <c r="B287" s="358" t="s">
        <v>1075</v>
      </c>
      <c r="C287" s="358" t="s">
        <v>1075</v>
      </c>
      <c r="D287" s="360">
        <v>46508</v>
      </c>
      <c r="E287" s="359">
        <v>46223</v>
      </c>
      <c r="F287" s="350">
        <f t="shared" si="6"/>
        <v>46234</v>
      </c>
    </row>
    <row r="288" spans="1:6" ht="15.5">
      <c r="A288" s="357">
        <v>287</v>
      </c>
      <c r="B288" s="358" t="s">
        <v>1131</v>
      </c>
      <c r="C288" s="358" t="s">
        <v>1131</v>
      </c>
      <c r="D288" s="359">
        <v>46669</v>
      </c>
      <c r="E288" s="359">
        <v>46223</v>
      </c>
      <c r="F288" s="350">
        <f t="shared" si="6"/>
        <v>46234</v>
      </c>
    </row>
    <row r="289" spans="1:6" ht="15.5">
      <c r="A289" s="357">
        <v>288</v>
      </c>
      <c r="B289" s="358" t="s">
        <v>1132</v>
      </c>
      <c r="C289" s="358" t="s">
        <v>1132</v>
      </c>
      <c r="D289" s="358" t="s">
        <v>756</v>
      </c>
      <c r="E289" s="359">
        <v>46223</v>
      </c>
      <c r="F289" s="350">
        <f t="shared" si="6"/>
        <v>46234</v>
      </c>
    </row>
    <row r="290" spans="1:6" ht="15.5">
      <c r="A290" s="357">
        <v>289</v>
      </c>
      <c r="B290" s="358" t="s">
        <v>1133</v>
      </c>
      <c r="C290" s="358" t="s">
        <v>1133</v>
      </c>
      <c r="D290" s="358" t="s">
        <v>756</v>
      </c>
      <c r="E290" s="359">
        <v>46225</v>
      </c>
      <c r="F290" s="350">
        <f t="shared" si="6"/>
        <v>46234</v>
      </c>
    </row>
    <row r="291" spans="1:6" ht="15.5">
      <c r="A291" s="357">
        <v>290</v>
      </c>
      <c r="B291" s="358" t="s">
        <v>1134</v>
      </c>
      <c r="C291" s="358" t="s">
        <v>1134</v>
      </c>
      <c r="D291" s="358" t="s">
        <v>756</v>
      </c>
      <c r="E291" s="359">
        <v>46225</v>
      </c>
      <c r="F291" s="350">
        <f t="shared" si="6"/>
        <v>46234</v>
      </c>
    </row>
    <row r="292" spans="1:6" ht="15.5">
      <c r="A292" s="357">
        <v>291</v>
      </c>
      <c r="B292" s="358" t="s">
        <v>1135</v>
      </c>
      <c r="C292" s="358" t="s">
        <v>1135</v>
      </c>
      <c r="D292" s="358" t="s">
        <v>756</v>
      </c>
      <c r="E292" s="359">
        <v>46225</v>
      </c>
      <c r="F292" s="350">
        <f t="shared" si="6"/>
        <v>46234</v>
      </c>
    </row>
    <row r="293" spans="1:6" ht="15.5">
      <c r="A293" s="357">
        <v>292</v>
      </c>
      <c r="B293" s="358" t="s">
        <v>1136</v>
      </c>
      <c r="C293" s="358" t="s">
        <v>1136</v>
      </c>
      <c r="D293" s="358" t="s">
        <v>756</v>
      </c>
      <c r="E293" s="359">
        <v>46225</v>
      </c>
      <c r="F293" s="350">
        <f t="shared" si="6"/>
        <v>46234</v>
      </c>
    </row>
    <row r="294" spans="1:6" ht="15.5">
      <c r="A294" s="357">
        <v>293</v>
      </c>
      <c r="B294" s="358" t="s">
        <v>1137</v>
      </c>
      <c r="C294" s="358" t="s">
        <v>1137</v>
      </c>
      <c r="D294" s="358" t="s">
        <v>756</v>
      </c>
      <c r="E294" s="359">
        <v>46225</v>
      </c>
      <c r="F294" s="350">
        <f t="shared" si="6"/>
        <v>46234</v>
      </c>
    </row>
    <row r="295" spans="1:6" ht="15.5">
      <c r="A295" s="357">
        <v>294</v>
      </c>
      <c r="B295" s="358" t="s">
        <v>1134</v>
      </c>
      <c r="C295" s="358" t="s">
        <v>1134</v>
      </c>
      <c r="D295" s="358" t="s">
        <v>756</v>
      </c>
      <c r="E295" s="359">
        <v>46226</v>
      </c>
      <c r="F295" s="350">
        <f t="shared" si="6"/>
        <v>46234</v>
      </c>
    </row>
    <row r="296" spans="1:6" ht="15.5">
      <c r="A296" s="357">
        <v>295</v>
      </c>
      <c r="B296" s="358" t="s">
        <v>1138</v>
      </c>
      <c r="C296" s="358" t="s">
        <v>1138</v>
      </c>
      <c r="D296" s="358" t="s">
        <v>756</v>
      </c>
      <c r="E296" s="359">
        <v>46226</v>
      </c>
      <c r="F296" s="350">
        <f t="shared" si="6"/>
        <v>46234</v>
      </c>
    </row>
    <row r="297" spans="1:6" ht="15.5">
      <c r="A297" s="357">
        <v>296</v>
      </c>
      <c r="B297" s="358" t="s">
        <v>1139</v>
      </c>
      <c r="C297" s="358" t="s">
        <v>1139</v>
      </c>
      <c r="D297" s="358" t="s">
        <v>756</v>
      </c>
      <c r="E297" s="359">
        <v>46226</v>
      </c>
      <c r="F297" s="350">
        <f t="shared" si="6"/>
        <v>46234</v>
      </c>
    </row>
    <row r="298" spans="1:6" ht="15.5">
      <c r="A298" s="357">
        <v>297</v>
      </c>
      <c r="B298" s="358" t="s">
        <v>1140</v>
      </c>
      <c r="C298" s="358" t="s">
        <v>1140</v>
      </c>
      <c r="D298" s="358" t="s">
        <v>756</v>
      </c>
      <c r="E298" s="359">
        <v>46228</v>
      </c>
      <c r="F298" s="350">
        <f t="shared" si="6"/>
        <v>46234</v>
      </c>
    </row>
    <row r="299" spans="1:6" ht="15.5">
      <c r="A299" s="357">
        <v>298</v>
      </c>
      <c r="B299" s="358" t="s">
        <v>1141</v>
      </c>
      <c r="C299" s="358" t="s">
        <v>1141</v>
      </c>
      <c r="D299" s="358" t="s">
        <v>756</v>
      </c>
      <c r="E299" s="359">
        <v>46229</v>
      </c>
      <c r="F299" s="350">
        <f t="shared" si="6"/>
        <v>46234</v>
      </c>
    </row>
    <row r="300" spans="1:6" ht="15.5">
      <c r="A300" s="357">
        <v>299</v>
      </c>
      <c r="B300" s="358" t="s">
        <v>1142</v>
      </c>
      <c r="C300" s="358" t="s">
        <v>1142</v>
      </c>
      <c r="D300" s="358" t="s">
        <v>756</v>
      </c>
      <c r="E300" s="359">
        <v>46230</v>
      </c>
      <c r="F300" s="350">
        <f t="shared" si="6"/>
        <v>46234</v>
      </c>
    </row>
    <row r="301" spans="1:6" ht="15.5">
      <c r="A301" s="357">
        <v>300</v>
      </c>
      <c r="B301" s="358" t="s">
        <v>1143</v>
      </c>
      <c r="C301" s="358" t="s">
        <v>1143</v>
      </c>
      <c r="D301" s="358" t="s">
        <v>756</v>
      </c>
      <c r="E301" s="359">
        <v>46230</v>
      </c>
      <c r="F301" s="350">
        <f t="shared" si="6"/>
        <v>46234</v>
      </c>
    </row>
    <row r="302" spans="1:6" ht="15.5">
      <c r="A302" s="357">
        <v>301</v>
      </c>
      <c r="B302" s="358" t="s">
        <v>1144</v>
      </c>
      <c r="C302" s="358" t="s">
        <v>1144</v>
      </c>
      <c r="D302" s="358" t="s">
        <v>756</v>
      </c>
      <c r="E302" s="359">
        <v>46230</v>
      </c>
      <c r="F302" s="350">
        <f t="shared" si="6"/>
        <v>46234</v>
      </c>
    </row>
    <row r="303" spans="1:6" ht="15.5">
      <c r="A303" s="357">
        <v>302</v>
      </c>
      <c r="B303" s="358" t="s">
        <v>1145</v>
      </c>
      <c r="C303" s="358" t="s">
        <v>1145</v>
      </c>
      <c r="D303" s="358" t="s">
        <v>756</v>
      </c>
      <c r="E303" s="359">
        <v>46231</v>
      </c>
      <c r="F303" s="350">
        <f t="shared" si="6"/>
        <v>46234</v>
      </c>
    </row>
    <row r="304" spans="1:6" ht="15.5">
      <c r="A304" s="357">
        <v>303</v>
      </c>
      <c r="B304" s="358" t="s">
        <v>1146</v>
      </c>
      <c r="C304" s="358" t="s">
        <v>1146</v>
      </c>
      <c r="D304" s="358" t="s">
        <v>756</v>
      </c>
      <c r="E304" s="359">
        <v>46231</v>
      </c>
      <c r="F304" s="350">
        <f t="shared" si="6"/>
        <v>46234</v>
      </c>
    </row>
    <row r="305" spans="1:6" ht="15.5">
      <c r="A305" s="357">
        <v>304</v>
      </c>
      <c r="B305" s="358" t="s">
        <v>1147</v>
      </c>
      <c r="C305" s="358" t="s">
        <v>1081</v>
      </c>
      <c r="D305" s="359">
        <v>46360</v>
      </c>
      <c r="E305" s="359">
        <v>46232</v>
      </c>
      <c r="F305" s="350">
        <f t="shared" si="6"/>
        <v>46234</v>
      </c>
    </row>
    <row r="306" spans="1:6" ht="15.5">
      <c r="A306" s="357">
        <v>305</v>
      </c>
      <c r="B306" s="358" t="s">
        <v>1148</v>
      </c>
      <c r="C306" s="358" t="s">
        <v>1148</v>
      </c>
      <c r="D306" s="358" t="s">
        <v>756</v>
      </c>
      <c r="E306" s="359">
        <v>46234</v>
      </c>
      <c r="F306" s="350">
        <f t="shared" si="6"/>
        <v>46234</v>
      </c>
    </row>
    <row r="307" spans="1:6" ht="15.5">
      <c r="A307" s="357">
        <v>306</v>
      </c>
      <c r="B307" s="358" t="s">
        <v>1149</v>
      </c>
      <c r="C307" s="358" t="s">
        <v>1149</v>
      </c>
      <c r="D307" s="358" t="s">
        <v>756</v>
      </c>
      <c r="E307" s="359">
        <v>46236</v>
      </c>
      <c r="F307" s="350">
        <f t="shared" si="6"/>
        <v>46265</v>
      </c>
    </row>
    <row r="308" spans="1:6" ht="15.5">
      <c r="A308" s="357">
        <v>307</v>
      </c>
      <c r="B308" s="358" t="s">
        <v>1150</v>
      </c>
      <c r="C308" s="358" t="s">
        <v>1150</v>
      </c>
      <c r="D308" s="358" t="s">
        <v>756</v>
      </c>
      <c r="E308" s="359">
        <v>46236</v>
      </c>
      <c r="F308" s="350">
        <f t="shared" si="6"/>
        <v>46265</v>
      </c>
    </row>
    <row r="309" spans="1:6" ht="15.5">
      <c r="A309" s="357">
        <v>308</v>
      </c>
      <c r="B309" s="358" t="s">
        <v>1151</v>
      </c>
      <c r="C309" s="358" t="s">
        <v>1151</v>
      </c>
      <c r="D309" s="358" t="s">
        <v>756</v>
      </c>
      <c r="E309" s="359">
        <v>46237</v>
      </c>
      <c r="F309" s="350">
        <f t="shared" si="6"/>
        <v>46265</v>
      </c>
    </row>
    <row r="310" spans="1:6" ht="15.5">
      <c r="A310" s="357">
        <v>309</v>
      </c>
      <c r="B310" s="358" t="s">
        <v>1149</v>
      </c>
      <c r="C310" s="358" t="s">
        <v>1149</v>
      </c>
      <c r="D310" s="359">
        <v>46683</v>
      </c>
      <c r="E310" s="359">
        <v>46238</v>
      </c>
      <c r="F310" s="350">
        <f t="shared" si="6"/>
        <v>46265</v>
      </c>
    </row>
    <row r="311" spans="1:6" ht="15.5">
      <c r="A311" s="357">
        <v>310</v>
      </c>
      <c r="B311" s="358" t="s">
        <v>1152</v>
      </c>
      <c r="C311" s="358" t="s">
        <v>1152</v>
      </c>
      <c r="D311" s="358" t="s">
        <v>756</v>
      </c>
      <c r="E311" s="359">
        <v>46239</v>
      </c>
      <c r="F311" s="350">
        <f t="shared" si="6"/>
        <v>46265</v>
      </c>
    </row>
    <row r="312" spans="1:6" ht="15.5">
      <c r="A312" s="357">
        <v>311</v>
      </c>
      <c r="B312" s="358" t="s">
        <v>1153</v>
      </c>
      <c r="C312" s="358" t="s">
        <v>1153</v>
      </c>
      <c r="D312" s="358" t="s">
        <v>756</v>
      </c>
      <c r="E312" s="359">
        <v>46240</v>
      </c>
      <c r="F312" s="350">
        <f t="shared" si="6"/>
        <v>46265</v>
      </c>
    </row>
    <row r="313" spans="1:6" ht="15.5">
      <c r="A313" s="357">
        <v>312</v>
      </c>
      <c r="B313" s="358" t="s">
        <v>1154</v>
      </c>
      <c r="C313" s="358" t="s">
        <v>1154</v>
      </c>
      <c r="D313" s="358" t="s">
        <v>756</v>
      </c>
      <c r="E313" s="359">
        <v>46241</v>
      </c>
      <c r="F313" s="350">
        <f t="shared" si="6"/>
        <v>46265</v>
      </c>
    </row>
    <row r="314" spans="1:6" ht="15.5">
      <c r="A314" s="357">
        <v>313</v>
      </c>
      <c r="B314" s="358" t="s">
        <v>1155</v>
      </c>
      <c r="C314" s="358" t="s">
        <v>1155</v>
      </c>
      <c r="D314" s="358" t="s">
        <v>756</v>
      </c>
      <c r="E314" s="359">
        <v>46241</v>
      </c>
      <c r="F314" s="350">
        <f t="shared" si="6"/>
        <v>46265</v>
      </c>
    </row>
    <row r="315" spans="1:6" ht="15.5">
      <c r="A315" s="357">
        <v>314</v>
      </c>
      <c r="B315" s="358" t="s">
        <v>1156</v>
      </c>
      <c r="C315" s="358" t="s">
        <v>1156</v>
      </c>
      <c r="D315" s="358" t="s">
        <v>756</v>
      </c>
      <c r="E315" s="359">
        <v>46242</v>
      </c>
      <c r="F315" s="350">
        <f t="shared" si="6"/>
        <v>46265</v>
      </c>
    </row>
    <row r="316" spans="1:6" ht="15.5">
      <c r="A316" s="357">
        <v>315</v>
      </c>
      <c r="B316" s="358" t="s">
        <v>1157</v>
      </c>
      <c r="C316" s="358" t="s">
        <v>1157</v>
      </c>
      <c r="D316" s="358" t="s">
        <v>756</v>
      </c>
      <c r="E316" s="359">
        <v>46242</v>
      </c>
      <c r="F316" s="350">
        <f t="shared" si="6"/>
        <v>46265</v>
      </c>
    </row>
    <row r="317" spans="1:6" ht="15.5">
      <c r="A317" s="357">
        <v>316</v>
      </c>
      <c r="B317" s="358" t="s">
        <v>1158</v>
      </c>
      <c r="C317" s="358"/>
      <c r="D317" s="359">
        <v>46359</v>
      </c>
      <c r="E317" s="359">
        <v>46243</v>
      </c>
      <c r="F317" s="350">
        <f t="shared" si="6"/>
        <v>46265</v>
      </c>
    </row>
    <row r="318" spans="1:6" ht="15.5">
      <c r="A318" s="357">
        <v>317</v>
      </c>
      <c r="B318" s="358" t="s">
        <v>1159</v>
      </c>
      <c r="C318" s="358" t="s">
        <v>1159</v>
      </c>
      <c r="D318" s="358" t="s">
        <v>756</v>
      </c>
      <c r="E318" s="359">
        <v>46244</v>
      </c>
      <c r="F318" s="350">
        <f t="shared" si="6"/>
        <v>46265</v>
      </c>
    </row>
    <row r="319" spans="1:6" ht="15.5">
      <c r="A319" s="357">
        <v>318</v>
      </c>
      <c r="B319" s="358" t="s">
        <v>1007</v>
      </c>
      <c r="C319" s="358" t="s">
        <v>1007</v>
      </c>
      <c r="D319" s="358" t="s">
        <v>756</v>
      </c>
      <c r="E319" s="359">
        <v>46244</v>
      </c>
      <c r="F319" s="350">
        <f t="shared" si="6"/>
        <v>46265</v>
      </c>
    </row>
  </sheetData>
  <conditionalFormatting sqref="A2:E319">
    <cfRule type="expression" dxfId="7" priority="1" stopIfTrue="1">
      <formula>AND($C2&lt;&gt;"", COUNTIF(INDIRECT("'Bookings '!$M:$M"), "*"&amp;$C2&amp;"*")&gt;0)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26FD-3B71-48B6-86AA-B2E145D16474}">
  <sheetPr>
    <tabColor theme="3"/>
  </sheetPr>
  <dimension ref="A1:I44"/>
  <sheetViews>
    <sheetView workbookViewId="0"/>
  </sheetViews>
  <sheetFormatPr defaultRowHeight="14.5"/>
  <cols>
    <col min="1" max="1" width="16.54296875" bestFit="1" customWidth="1"/>
    <col min="2" max="2" width="11.453125" bestFit="1" customWidth="1"/>
    <col min="3" max="3" width="16.81640625" bestFit="1" customWidth="1"/>
  </cols>
  <sheetData>
    <row r="1" spans="1:9" ht="17">
      <c r="A1" s="361" t="s">
        <v>1162</v>
      </c>
      <c r="B1" s="361" t="s">
        <v>1163</v>
      </c>
      <c r="C1" s="361" t="s">
        <v>1164</v>
      </c>
      <c r="F1" s="2" t="s">
        <v>468</v>
      </c>
      <c r="G1" s="2"/>
    </row>
    <row r="2" spans="1:9" ht="16">
      <c r="A2" s="362" t="s">
        <v>787</v>
      </c>
      <c r="B2" s="363">
        <v>46041</v>
      </c>
      <c r="C2" s="362" t="s">
        <v>787</v>
      </c>
      <c r="D2" s="350">
        <f>EOMONTH(B2,0)</f>
        <v>46053</v>
      </c>
      <c r="F2" s="2" t="s">
        <v>473</v>
      </c>
      <c r="G2" s="2" t="s">
        <v>1161</v>
      </c>
    </row>
    <row r="3" spans="1:9">
      <c r="A3" s="364" t="s">
        <v>821</v>
      </c>
      <c r="B3" s="365">
        <v>46042</v>
      </c>
      <c r="C3" s="364" t="s">
        <v>821</v>
      </c>
      <c r="D3" s="350">
        <f t="shared" ref="D3:D44" si="0">EOMONTH(B3,0)</f>
        <v>46053</v>
      </c>
      <c r="F3" s="350">
        <v>46053</v>
      </c>
      <c r="G3">
        <f>COUNTIFS(D:D,F3)</f>
        <v>2</v>
      </c>
      <c r="H3">
        <f>AVERAGE(G3:G9)</f>
        <v>5.8571428571428568</v>
      </c>
      <c r="I3">
        <f>H3*12</f>
        <v>70.285714285714278</v>
      </c>
    </row>
    <row r="4" spans="1:9">
      <c r="A4" s="364" t="s">
        <v>823</v>
      </c>
      <c r="B4" s="365">
        <v>46059</v>
      </c>
      <c r="C4" s="364" t="s">
        <v>823</v>
      </c>
      <c r="D4" s="350">
        <f t="shared" si="0"/>
        <v>46081</v>
      </c>
      <c r="F4" s="350">
        <f>EOMONTH(F3,1)</f>
        <v>46081</v>
      </c>
      <c r="G4">
        <f t="shared" ref="G4:G9" si="1">COUNTIFS(D:D,F4)</f>
        <v>3</v>
      </c>
    </row>
    <row r="5" spans="1:9">
      <c r="A5" s="364" t="s">
        <v>881</v>
      </c>
      <c r="B5" s="365">
        <v>46063</v>
      </c>
      <c r="C5" s="364" t="s">
        <v>881</v>
      </c>
      <c r="D5" s="350">
        <f t="shared" si="0"/>
        <v>46081</v>
      </c>
      <c r="F5" s="350">
        <f t="shared" ref="F5:F9" si="2">EOMONTH(F4,1)</f>
        <v>46112</v>
      </c>
      <c r="G5">
        <f t="shared" si="1"/>
        <v>6</v>
      </c>
    </row>
    <row r="6" spans="1:9">
      <c r="A6" s="364" t="s">
        <v>934</v>
      </c>
      <c r="B6" s="365">
        <v>46077</v>
      </c>
      <c r="C6" s="364" t="s">
        <v>934</v>
      </c>
      <c r="D6" s="350">
        <f t="shared" si="0"/>
        <v>46081</v>
      </c>
      <c r="F6" s="350">
        <f t="shared" si="2"/>
        <v>46142</v>
      </c>
      <c r="G6">
        <f t="shared" si="1"/>
        <v>3</v>
      </c>
    </row>
    <row r="7" spans="1:9">
      <c r="A7" s="364" t="s">
        <v>911</v>
      </c>
      <c r="B7" s="365">
        <v>46086</v>
      </c>
      <c r="C7" s="364" t="s">
        <v>911</v>
      </c>
      <c r="D7" s="350">
        <f t="shared" si="0"/>
        <v>46112</v>
      </c>
      <c r="F7" s="350">
        <f t="shared" si="2"/>
        <v>46173</v>
      </c>
      <c r="G7">
        <f t="shared" si="1"/>
        <v>10</v>
      </c>
    </row>
    <row r="8" spans="1:9">
      <c r="A8" s="364" t="s">
        <v>932</v>
      </c>
      <c r="B8" s="365">
        <v>46086</v>
      </c>
      <c r="C8" s="364" t="s">
        <v>932</v>
      </c>
      <c r="D8" s="350">
        <f t="shared" si="0"/>
        <v>46112</v>
      </c>
      <c r="F8" s="350">
        <f t="shared" si="2"/>
        <v>46203</v>
      </c>
      <c r="G8">
        <f t="shared" si="1"/>
        <v>5</v>
      </c>
    </row>
    <row r="9" spans="1:9">
      <c r="A9" s="364" t="s">
        <v>911</v>
      </c>
      <c r="B9" s="365">
        <v>46086</v>
      </c>
      <c r="C9" s="364" t="s">
        <v>911</v>
      </c>
      <c r="D9" s="350">
        <f t="shared" si="0"/>
        <v>46112</v>
      </c>
      <c r="F9" s="350">
        <f t="shared" si="2"/>
        <v>46234</v>
      </c>
      <c r="G9">
        <f t="shared" si="1"/>
        <v>12</v>
      </c>
    </row>
    <row r="10" spans="1:9">
      <c r="A10" s="364" t="s">
        <v>911</v>
      </c>
      <c r="B10" s="365">
        <v>46086</v>
      </c>
      <c r="C10" s="364" t="s">
        <v>911</v>
      </c>
      <c r="D10" s="350">
        <f t="shared" si="0"/>
        <v>46112</v>
      </c>
    </row>
    <row r="11" spans="1:9">
      <c r="A11" s="364" t="s">
        <v>950</v>
      </c>
      <c r="B11" s="365">
        <v>46101</v>
      </c>
      <c r="C11" s="364" t="s">
        <v>950</v>
      </c>
      <c r="D11" s="350">
        <f t="shared" si="0"/>
        <v>46112</v>
      </c>
    </row>
    <row r="12" spans="1:9">
      <c r="A12" s="364" t="s">
        <v>938</v>
      </c>
      <c r="B12" s="365">
        <v>46105</v>
      </c>
      <c r="C12" s="364" t="s">
        <v>938</v>
      </c>
      <c r="D12" s="350">
        <f t="shared" si="0"/>
        <v>46112</v>
      </c>
    </row>
    <row r="13" spans="1:9">
      <c r="A13" s="364" t="s">
        <v>977</v>
      </c>
      <c r="B13" s="365">
        <v>46119</v>
      </c>
      <c r="C13" s="364" t="s">
        <v>977</v>
      </c>
      <c r="D13" s="350">
        <f t="shared" si="0"/>
        <v>46142</v>
      </c>
    </row>
    <row r="14" spans="1:9">
      <c r="A14" s="364" t="s">
        <v>957</v>
      </c>
      <c r="B14" s="365">
        <v>46127</v>
      </c>
      <c r="C14" s="364" t="s">
        <v>957</v>
      </c>
      <c r="D14" s="350">
        <f t="shared" si="0"/>
        <v>46142</v>
      </c>
    </row>
    <row r="15" spans="1:9">
      <c r="A15" s="364" t="s">
        <v>957</v>
      </c>
      <c r="B15" s="365">
        <v>46127</v>
      </c>
      <c r="C15" s="364" t="s">
        <v>957</v>
      </c>
      <c r="D15" s="350">
        <f t="shared" si="0"/>
        <v>46142</v>
      </c>
    </row>
    <row r="16" spans="1:9">
      <c r="A16" s="364" t="s">
        <v>1040</v>
      </c>
      <c r="B16" s="365">
        <v>46157</v>
      </c>
      <c r="C16" s="364" t="s">
        <v>1040</v>
      </c>
      <c r="D16" s="350">
        <f t="shared" si="0"/>
        <v>46173</v>
      </c>
    </row>
    <row r="17" spans="1:4">
      <c r="A17" s="364" t="s">
        <v>1027</v>
      </c>
      <c r="B17" s="365">
        <v>46161</v>
      </c>
      <c r="C17" s="364" t="s">
        <v>1027</v>
      </c>
      <c r="D17" s="350">
        <f t="shared" si="0"/>
        <v>46173</v>
      </c>
    </row>
    <row r="18" spans="1:4">
      <c r="A18" s="364" t="s">
        <v>1002</v>
      </c>
      <c r="B18" s="365">
        <v>46162</v>
      </c>
      <c r="C18" s="364" t="s">
        <v>1002</v>
      </c>
      <c r="D18" s="350">
        <f t="shared" si="0"/>
        <v>46173</v>
      </c>
    </row>
    <row r="19" spans="1:4">
      <c r="A19" s="364" t="s">
        <v>1002</v>
      </c>
      <c r="B19" s="365">
        <v>46162</v>
      </c>
      <c r="C19" s="364" t="s">
        <v>1002</v>
      </c>
      <c r="D19" s="350">
        <f t="shared" si="0"/>
        <v>46173</v>
      </c>
    </row>
    <row r="20" spans="1:4">
      <c r="A20" s="364" t="s">
        <v>1002</v>
      </c>
      <c r="B20" s="365">
        <v>46162</v>
      </c>
      <c r="C20" s="364" t="s">
        <v>1002</v>
      </c>
      <c r="D20" s="350">
        <f t="shared" si="0"/>
        <v>46173</v>
      </c>
    </row>
    <row r="21" spans="1:4">
      <c r="A21" s="364" t="s">
        <v>983</v>
      </c>
      <c r="B21" s="365">
        <v>46164</v>
      </c>
      <c r="C21" s="364" t="s">
        <v>1165</v>
      </c>
      <c r="D21" s="350">
        <f t="shared" si="0"/>
        <v>46173</v>
      </c>
    </row>
    <row r="22" spans="1:4">
      <c r="A22" s="364" t="s">
        <v>1021</v>
      </c>
      <c r="B22" s="365">
        <v>46164</v>
      </c>
      <c r="C22" s="364" t="s">
        <v>1021</v>
      </c>
      <c r="D22" s="350">
        <f t="shared" si="0"/>
        <v>46173</v>
      </c>
    </row>
    <row r="23" spans="1:4">
      <c r="A23" s="364" t="s">
        <v>1048</v>
      </c>
      <c r="B23" s="365">
        <v>46168</v>
      </c>
      <c r="C23" s="364" t="s">
        <v>1048</v>
      </c>
      <c r="D23" s="350">
        <f t="shared" si="0"/>
        <v>46173</v>
      </c>
    </row>
    <row r="24" spans="1:4">
      <c r="A24" s="364" t="s">
        <v>1050</v>
      </c>
      <c r="B24" s="365">
        <v>46168</v>
      </c>
      <c r="C24" s="364" t="s">
        <v>1050</v>
      </c>
      <c r="D24" s="350">
        <f t="shared" si="0"/>
        <v>46173</v>
      </c>
    </row>
    <row r="25" spans="1:4">
      <c r="A25" s="364" t="s">
        <v>1036</v>
      </c>
      <c r="B25" s="365">
        <v>46169</v>
      </c>
      <c r="C25" s="364" t="s">
        <v>1036</v>
      </c>
      <c r="D25" s="350">
        <f t="shared" si="0"/>
        <v>46173</v>
      </c>
    </row>
    <row r="26" spans="1:4">
      <c r="A26" s="364" t="s">
        <v>1070</v>
      </c>
      <c r="B26" s="365">
        <v>46183</v>
      </c>
      <c r="C26" s="364" t="s">
        <v>1070</v>
      </c>
      <c r="D26" s="350">
        <f t="shared" si="0"/>
        <v>46203</v>
      </c>
    </row>
    <row r="27" spans="1:4">
      <c r="A27" s="364" t="s">
        <v>1083</v>
      </c>
      <c r="B27" s="365">
        <v>46190</v>
      </c>
      <c r="C27" s="364" t="s">
        <v>1083</v>
      </c>
      <c r="D27" s="350">
        <f t="shared" si="0"/>
        <v>46203</v>
      </c>
    </row>
    <row r="28" spans="1:4">
      <c r="A28" s="364" t="s">
        <v>874</v>
      </c>
      <c r="B28" s="365">
        <v>46192</v>
      </c>
      <c r="C28" s="364" t="s">
        <v>1166</v>
      </c>
      <c r="D28" s="350">
        <f t="shared" si="0"/>
        <v>46203</v>
      </c>
    </row>
    <row r="29" spans="1:4">
      <c r="A29" s="364" t="s">
        <v>1098</v>
      </c>
      <c r="B29" s="365">
        <v>46196</v>
      </c>
      <c r="C29" s="364" t="s">
        <v>1098</v>
      </c>
      <c r="D29" s="350">
        <f t="shared" si="0"/>
        <v>46203</v>
      </c>
    </row>
    <row r="30" spans="1:4">
      <c r="A30" s="364" t="s">
        <v>1106</v>
      </c>
      <c r="B30" s="365">
        <v>46203</v>
      </c>
      <c r="C30" s="364" t="s">
        <v>1167</v>
      </c>
      <c r="D30" s="350">
        <f t="shared" si="0"/>
        <v>46203</v>
      </c>
    </row>
    <row r="31" spans="1:4">
      <c r="A31" s="364" t="s">
        <v>1097</v>
      </c>
      <c r="B31" s="365">
        <v>46204</v>
      </c>
      <c r="C31" s="364" t="s">
        <v>1097</v>
      </c>
      <c r="D31" s="350">
        <f t="shared" si="0"/>
        <v>46234</v>
      </c>
    </row>
    <row r="32" spans="1:4">
      <c r="A32" s="364" t="s">
        <v>1109</v>
      </c>
      <c r="B32" s="365">
        <v>46204</v>
      </c>
      <c r="C32" s="364" t="s">
        <v>1109</v>
      </c>
      <c r="D32" s="350">
        <f t="shared" si="0"/>
        <v>46234</v>
      </c>
    </row>
    <row r="33" spans="1:4">
      <c r="A33" s="364" t="s">
        <v>1093</v>
      </c>
      <c r="B33" s="365">
        <v>46205</v>
      </c>
      <c r="C33" s="364" t="s">
        <v>1093</v>
      </c>
      <c r="D33" s="350">
        <f t="shared" si="0"/>
        <v>46234</v>
      </c>
    </row>
    <row r="34" spans="1:4">
      <c r="A34" s="364" t="s">
        <v>1053</v>
      </c>
      <c r="B34" s="365">
        <v>46206</v>
      </c>
      <c r="C34" s="364" t="s">
        <v>1053</v>
      </c>
      <c r="D34" s="350">
        <f t="shared" si="0"/>
        <v>46234</v>
      </c>
    </row>
    <row r="35" spans="1:4">
      <c r="A35" s="364" t="s">
        <v>1058</v>
      </c>
      <c r="B35" s="365">
        <v>46206</v>
      </c>
      <c r="C35" s="364" t="s">
        <v>1058</v>
      </c>
      <c r="D35" s="350">
        <f t="shared" si="0"/>
        <v>46234</v>
      </c>
    </row>
    <row r="36" spans="1:4">
      <c r="A36" s="364" t="s">
        <v>1058</v>
      </c>
      <c r="B36" s="365">
        <v>46206</v>
      </c>
      <c r="C36" s="364" t="s">
        <v>1058</v>
      </c>
      <c r="D36" s="350">
        <f t="shared" si="0"/>
        <v>46234</v>
      </c>
    </row>
    <row r="37" spans="1:4">
      <c r="A37" s="364" t="s">
        <v>1084</v>
      </c>
      <c r="B37" s="365">
        <v>46206</v>
      </c>
      <c r="C37" s="364" t="s">
        <v>1087</v>
      </c>
      <c r="D37" s="350">
        <f t="shared" si="0"/>
        <v>46234</v>
      </c>
    </row>
    <row r="38" spans="1:4">
      <c r="A38" s="364" t="s">
        <v>1087</v>
      </c>
      <c r="B38" s="365">
        <v>46206</v>
      </c>
      <c r="C38" s="364" t="s">
        <v>1087</v>
      </c>
      <c r="D38" s="350">
        <f t="shared" si="0"/>
        <v>46234</v>
      </c>
    </row>
    <row r="39" spans="1:4">
      <c r="A39" s="364" t="s">
        <v>1113</v>
      </c>
      <c r="B39" s="365">
        <v>46211</v>
      </c>
      <c r="C39" s="364" t="s">
        <v>1113</v>
      </c>
      <c r="D39" s="350">
        <f t="shared" si="0"/>
        <v>46234</v>
      </c>
    </row>
    <row r="40" spans="1:4">
      <c r="A40" s="364" t="s">
        <v>1116</v>
      </c>
      <c r="B40" s="365">
        <v>46220</v>
      </c>
      <c r="C40" s="364" t="s">
        <v>1116</v>
      </c>
      <c r="D40" s="350">
        <f t="shared" si="0"/>
        <v>46234</v>
      </c>
    </row>
    <row r="41" spans="1:4">
      <c r="A41" s="364" t="s">
        <v>1121</v>
      </c>
      <c r="B41" s="365">
        <v>46226</v>
      </c>
      <c r="C41" s="364" t="s">
        <v>1121</v>
      </c>
      <c r="D41" s="350">
        <f t="shared" si="0"/>
        <v>46234</v>
      </c>
    </row>
    <row r="42" spans="1:4">
      <c r="A42" s="364" t="s">
        <v>1131</v>
      </c>
      <c r="B42" s="365">
        <v>46227</v>
      </c>
      <c r="C42" s="364" t="s">
        <v>1131</v>
      </c>
      <c r="D42" s="350">
        <f t="shared" si="0"/>
        <v>46234</v>
      </c>
    </row>
    <row r="43" spans="1:4">
      <c r="A43" s="364" t="s">
        <v>1151</v>
      </c>
      <c r="B43" s="365">
        <v>46238</v>
      </c>
      <c r="C43" s="364" t="s">
        <v>1151</v>
      </c>
      <c r="D43" s="350">
        <f t="shared" si="0"/>
        <v>46265</v>
      </c>
    </row>
    <row r="44" spans="1:4">
      <c r="A44" s="364" t="s">
        <v>1155</v>
      </c>
      <c r="B44" s="365">
        <v>46245</v>
      </c>
      <c r="C44" s="364" t="s">
        <v>1155</v>
      </c>
      <c r="D44" s="350">
        <f t="shared" si="0"/>
        <v>46265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CDE4-B92A-439A-824D-82ACBB724DD0}">
  <sheetPr codeName="Sheet13">
    <tabColor theme="2"/>
  </sheetPr>
  <dimension ref="A1"/>
  <sheetViews>
    <sheetView view="pageBreakPreview" zoomScale="60" zoomScaleNormal="100" workbookViewId="0"/>
  </sheetViews>
  <sheetFormatPr defaultRowHeight="14.5"/>
  <sheetData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ADE6-8D92-4B46-969A-954A87FCA69D}">
  <sheetPr>
    <tabColor theme="2"/>
  </sheetPr>
  <dimension ref="C2:Z58"/>
  <sheetViews>
    <sheetView zoomScale="130" zoomScaleNormal="13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4.5"/>
  <cols>
    <col min="1" max="2" width="1.54296875" customWidth="1"/>
    <col min="3" max="9" width="10.54296875" customWidth="1"/>
  </cols>
  <sheetData>
    <row r="2" spans="3:23" ht="5.15" customHeight="1"/>
    <row r="3" spans="3:23">
      <c r="C3" s="58" t="str">
        <f>Summary!$C$3</f>
        <v>Hadden Estate</v>
      </c>
      <c r="D3" s="58"/>
      <c r="E3" s="58"/>
    </row>
    <row r="4" spans="3:23">
      <c r="C4" t="s">
        <v>747</v>
      </c>
    </row>
    <row r="5" spans="3:23">
      <c r="C5" s="7"/>
      <c r="D5" s="7"/>
      <c r="E5" s="7"/>
      <c r="F5" s="7"/>
      <c r="G5" s="7"/>
      <c r="H5" s="7"/>
      <c r="I5" s="7"/>
    </row>
    <row r="6" spans="3:23" ht="16">
      <c r="C6" s="100" t="s">
        <v>306</v>
      </c>
      <c r="D6" s="2" t="s">
        <v>748</v>
      </c>
      <c r="E6" s="2"/>
      <c r="F6" s="2"/>
      <c r="G6" s="2"/>
      <c r="H6" s="2"/>
      <c r="I6" s="2"/>
      <c r="J6" s="2"/>
      <c r="K6" s="2"/>
      <c r="L6" s="2"/>
      <c r="N6" s="2" t="s">
        <v>472</v>
      </c>
      <c r="O6" s="2"/>
      <c r="P6" s="2"/>
      <c r="Q6" s="2"/>
      <c r="S6" s="2"/>
      <c r="T6" s="2" t="s">
        <v>749</v>
      </c>
      <c r="U6" s="2"/>
      <c r="V6" s="2"/>
      <c r="W6" s="2"/>
    </row>
    <row r="7" spans="3:23" ht="16">
      <c r="C7" s="2"/>
      <c r="D7" s="2" t="s">
        <v>473</v>
      </c>
      <c r="E7" s="2" t="s">
        <v>291</v>
      </c>
      <c r="F7" s="2" t="s">
        <v>468</v>
      </c>
      <c r="G7" s="2" t="s">
        <v>745</v>
      </c>
      <c r="H7" s="2" t="s">
        <v>469</v>
      </c>
      <c r="I7" s="2" t="s">
        <v>222</v>
      </c>
      <c r="J7" s="2" t="s">
        <v>750</v>
      </c>
      <c r="K7" s="2" t="s">
        <v>751</v>
      </c>
      <c r="L7" s="2" t="s">
        <v>752</v>
      </c>
      <c r="N7" s="2" t="s">
        <v>468</v>
      </c>
      <c r="O7" s="2" t="s">
        <v>745</v>
      </c>
      <c r="P7" s="2" t="s">
        <v>469</v>
      </c>
      <c r="Q7" s="2" t="s">
        <v>222</v>
      </c>
      <c r="S7" s="2" t="s">
        <v>473</v>
      </c>
      <c r="T7" s="2" t="s">
        <v>468</v>
      </c>
      <c r="U7" s="2" t="s">
        <v>745</v>
      </c>
      <c r="V7" s="2" t="s">
        <v>469</v>
      </c>
      <c r="W7" s="2" t="s">
        <v>222</v>
      </c>
    </row>
    <row r="8" spans="3:23">
      <c r="C8" s="350">
        <v>44957</v>
      </c>
      <c r="D8" s="351">
        <f>MONTH(C8)</f>
        <v>1</v>
      </c>
      <c r="E8" s="352">
        <f>YEAR(C8)</f>
        <v>2023</v>
      </c>
      <c r="F8" s="95" t="s">
        <v>308</v>
      </c>
      <c r="G8" s="9">
        <v>115</v>
      </c>
      <c r="H8" s="9">
        <v>55</v>
      </c>
      <c r="I8" s="9">
        <v>9</v>
      </c>
      <c r="J8" s="356" t="str">
        <f>IFERROR(G8/F8,"-")</f>
        <v>-</v>
      </c>
      <c r="K8" s="356">
        <f>IFERROR(H8/G8,"-")</f>
        <v>0.47826086956521741</v>
      </c>
      <c r="L8" s="356" t="str">
        <f>IFERROR(H8/F8,"-")</f>
        <v>-</v>
      </c>
      <c r="N8" s="353"/>
      <c r="O8" s="353">
        <f t="shared" ref="O8:O43" si="0">IFERROR(G8/SUMIFS(G:G,$E:$E,$E8),0)</f>
        <v>0.15883977900552487</v>
      </c>
      <c r="P8" s="353">
        <f t="shared" ref="P8:P43" si="1">IFERROR(H8/SUMIFS(H:H,$E:$E,$E8),0)</f>
        <v>0.17350157728706625</v>
      </c>
      <c r="Q8" s="353">
        <f t="shared" ref="Q8:Q43" si="2">IFERROR(I8/SUMIFS(I:I,$E:$E,$E8),0)</f>
        <v>3.1914893617021274E-2</v>
      </c>
      <c r="S8" s="351">
        <v>1</v>
      </c>
      <c r="T8" s="353">
        <f>AVERAGEIFS(N$8:N$43,$D$8:$D$43,$S8)</f>
        <v>0.11623943886010046</v>
      </c>
      <c r="U8" s="353">
        <f>AVERAGEIFS(O$8:O$43,$D$8:$D$43,$S8)</f>
        <v>0.11769520234327356</v>
      </c>
      <c r="V8" s="353">
        <f>AVERAGEIFS(P$8:P$43,$D$8:$D$43,$S8)</f>
        <v>0.12478041591867144</v>
      </c>
      <c r="W8" s="353">
        <f>AVERAGEIFS(Q$8:Q$43,$D$8:$D$43,$S8)</f>
        <v>4.4982846502603341E-2</v>
      </c>
    </row>
    <row r="9" spans="3:23">
      <c r="C9" s="350">
        <f>EOMONTH(C8,1)</f>
        <v>44985</v>
      </c>
      <c r="D9" s="351">
        <f t="shared" ref="D9:D50" si="3">MONTH(C9)</f>
        <v>2</v>
      </c>
      <c r="E9" s="352">
        <f t="shared" ref="E9:E50" si="4">YEAR(C9)</f>
        <v>2023</v>
      </c>
      <c r="F9" s="95" t="s">
        <v>308</v>
      </c>
      <c r="G9" s="9">
        <v>72</v>
      </c>
      <c r="H9" s="9">
        <v>35</v>
      </c>
      <c r="I9" s="9">
        <v>19</v>
      </c>
      <c r="J9" s="356" t="str">
        <f t="shared" ref="J9:J43" si="5">IFERROR(G9/F9,"-")</f>
        <v>-</v>
      </c>
      <c r="K9" s="356">
        <f t="shared" ref="K9:K43" si="6">IFERROR(H9/G9,"-")</f>
        <v>0.4861111111111111</v>
      </c>
      <c r="L9" s="356" t="str">
        <f t="shared" ref="L9:L43" si="7">IFERROR(H9/F9,"-")</f>
        <v>-</v>
      </c>
      <c r="N9" s="353"/>
      <c r="O9" s="353">
        <f t="shared" si="0"/>
        <v>9.9447513812154692E-2</v>
      </c>
      <c r="P9" s="353">
        <f t="shared" si="1"/>
        <v>0.11041009463722397</v>
      </c>
      <c r="Q9" s="353">
        <f t="shared" si="2"/>
        <v>6.7375886524822695E-2</v>
      </c>
      <c r="S9" s="351">
        <f>S8+1</f>
        <v>2</v>
      </c>
      <c r="T9" s="353">
        <f t="shared" ref="T9:T18" si="8">AVERAGEIFS(N$8:N$43,$D$8:$D$43,$S9)</f>
        <v>7.5609410656274273E-2</v>
      </c>
      <c r="U9" s="353">
        <f t="shared" ref="U9:U19" si="9">AVERAGEIFS(O$8:O$43,$D$8:$D$43,$S9)</f>
        <v>8.1462443658362513E-2</v>
      </c>
      <c r="V9" s="353">
        <f t="shared" ref="V9:V19" si="10">AVERAGEIFS(P$8:P$43,$D$8:$D$43,$S9)</f>
        <v>9.8680213210295617E-2</v>
      </c>
      <c r="W9" s="353">
        <f t="shared" ref="W9:W19" si="11">AVERAGEIFS(Q$8:Q$43,$D$8:$D$43,$S9)</f>
        <v>5.8016635828185982E-2</v>
      </c>
    </row>
    <row r="10" spans="3:23">
      <c r="C10" s="350">
        <f t="shared" ref="C10:C50" si="12">EOMONTH(C9,1)</f>
        <v>45016</v>
      </c>
      <c r="D10" s="351">
        <f t="shared" si="3"/>
        <v>3</v>
      </c>
      <c r="E10" s="352">
        <f t="shared" si="4"/>
        <v>2023</v>
      </c>
      <c r="F10" s="95" t="s">
        <v>308</v>
      </c>
      <c r="G10" s="9">
        <v>68</v>
      </c>
      <c r="H10" s="9">
        <v>24</v>
      </c>
      <c r="I10" s="9">
        <v>23</v>
      </c>
      <c r="J10" s="356" t="str">
        <f t="shared" si="5"/>
        <v>-</v>
      </c>
      <c r="K10" s="356">
        <f t="shared" si="6"/>
        <v>0.35294117647058826</v>
      </c>
      <c r="L10" s="356" t="str">
        <f t="shared" si="7"/>
        <v>-</v>
      </c>
      <c r="N10" s="353"/>
      <c r="O10" s="353">
        <f t="shared" si="0"/>
        <v>9.3922651933701654E-2</v>
      </c>
      <c r="P10" s="353">
        <f t="shared" si="1"/>
        <v>7.5709779179810727E-2</v>
      </c>
      <c r="Q10" s="353">
        <f t="shared" si="2"/>
        <v>8.1560283687943269E-2</v>
      </c>
      <c r="S10" s="351">
        <f t="shared" ref="S10:S19" si="13">S9+1</f>
        <v>3</v>
      </c>
      <c r="T10" s="353">
        <f t="shared" si="8"/>
        <v>7.6424384991404248E-2</v>
      </c>
      <c r="U10" s="353">
        <f t="shared" si="9"/>
        <v>7.6562198887327335E-2</v>
      </c>
      <c r="V10" s="353">
        <f t="shared" si="10"/>
        <v>8.355408355423348E-2</v>
      </c>
      <c r="W10" s="353">
        <f t="shared" si="11"/>
        <v>7.8703584174708796E-2</v>
      </c>
    </row>
    <row r="11" spans="3:23">
      <c r="C11" s="350">
        <f t="shared" si="12"/>
        <v>45046</v>
      </c>
      <c r="D11" s="351">
        <f t="shared" si="3"/>
        <v>4</v>
      </c>
      <c r="E11" s="352">
        <f t="shared" si="4"/>
        <v>2023</v>
      </c>
      <c r="F11" s="95" t="s">
        <v>308</v>
      </c>
      <c r="G11" s="9">
        <v>63</v>
      </c>
      <c r="H11" s="9">
        <v>32</v>
      </c>
      <c r="I11" s="9">
        <v>23</v>
      </c>
      <c r="J11" s="356" t="str">
        <f t="shared" si="5"/>
        <v>-</v>
      </c>
      <c r="K11" s="356">
        <f t="shared" si="6"/>
        <v>0.50793650793650791</v>
      </c>
      <c r="L11" s="356" t="str">
        <f t="shared" si="7"/>
        <v>-</v>
      </c>
      <c r="N11" s="353"/>
      <c r="O11" s="353">
        <f t="shared" si="0"/>
        <v>8.7016574585635359E-2</v>
      </c>
      <c r="P11" s="353">
        <f t="shared" si="1"/>
        <v>0.10094637223974763</v>
      </c>
      <c r="Q11" s="353">
        <f t="shared" si="2"/>
        <v>8.1560283687943269E-2</v>
      </c>
      <c r="S11" s="351">
        <f t="shared" si="13"/>
        <v>4</v>
      </c>
      <c r="T11" s="353">
        <f t="shared" si="8"/>
        <v>7.216484249294905E-2</v>
      </c>
      <c r="U11" s="353">
        <f t="shared" si="9"/>
        <v>6.8624346276164816E-2</v>
      </c>
      <c r="V11" s="353">
        <f t="shared" si="10"/>
        <v>7.8806162947680974E-2</v>
      </c>
      <c r="W11" s="353">
        <f t="shared" si="11"/>
        <v>7.8777127105394584E-2</v>
      </c>
    </row>
    <row r="12" spans="3:23">
      <c r="C12" s="350">
        <f t="shared" si="12"/>
        <v>45077</v>
      </c>
      <c r="D12" s="351">
        <f t="shared" si="3"/>
        <v>5</v>
      </c>
      <c r="E12" s="352">
        <f t="shared" si="4"/>
        <v>2023</v>
      </c>
      <c r="F12" s="95" t="s">
        <v>308</v>
      </c>
      <c r="G12" s="9">
        <v>47</v>
      </c>
      <c r="H12" s="9">
        <v>25</v>
      </c>
      <c r="I12" s="9">
        <v>20</v>
      </c>
      <c r="J12" s="356" t="str">
        <f t="shared" si="5"/>
        <v>-</v>
      </c>
      <c r="K12" s="356">
        <f t="shared" si="6"/>
        <v>0.53191489361702127</v>
      </c>
      <c r="L12" s="356" t="str">
        <f t="shared" si="7"/>
        <v>-</v>
      </c>
      <c r="N12" s="353"/>
      <c r="O12" s="353">
        <f t="shared" si="0"/>
        <v>6.4917127071823205E-2</v>
      </c>
      <c r="P12" s="353">
        <f t="shared" si="1"/>
        <v>7.8864353312302835E-2</v>
      </c>
      <c r="Q12" s="353">
        <f t="shared" si="2"/>
        <v>7.0921985815602842E-2</v>
      </c>
      <c r="S12" s="351">
        <f t="shared" si="13"/>
        <v>5</v>
      </c>
      <c r="T12" s="353">
        <f t="shared" si="8"/>
        <v>6.8463564449719488E-2</v>
      </c>
      <c r="U12" s="353">
        <f t="shared" si="9"/>
        <v>6.1739285232855302E-2</v>
      </c>
      <c r="V12" s="353">
        <f t="shared" si="10"/>
        <v>6.3719465468275005E-2</v>
      </c>
      <c r="W12" s="353">
        <f t="shared" si="11"/>
        <v>9.2623930921803266E-2</v>
      </c>
    </row>
    <row r="13" spans="3:23">
      <c r="C13" s="350">
        <f t="shared" si="12"/>
        <v>45107</v>
      </c>
      <c r="D13" s="351">
        <f t="shared" si="3"/>
        <v>6</v>
      </c>
      <c r="E13" s="352">
        <f t="shared" si="4"/>
        <v>2023</v>
      </c>
      <c r="F13" s="95" t="s">
        <v>308</v>
      </c>
      <c r="G13" s="9">
        <v>52</v>
      </c>
      <c r="H13" s="9">
        <v>23</v>
      </c>
      <c r="I13" s="9">
        <v>25</v>
      </c>
      <c r="J13" s="356" t="str">
        <f t="shared" si="5"/>
        <v>-</v>
      </c>
      <c r="K13" s="356">
        <f t="shared" si="6"/>
        <v>0.44230769230769229</v>
      </c>
      <c r="L13" s="356" t="str">
        <f t="shared" si="7"/>
        <v>-</v>
      </c>
      <c r="N13" s="353"/>
      <c r="O13" s="353">
        <f t="shared" si="0"/>
        <v>7.18232044198895E-2</v>
      </c>
      <c r="P13" s="353">
        <f t="shared" si="1"/>
        <v>7.2555205047318619E-2</v>
      </c>
      <c r="Q13" s="353">
        <f t="shared" si="2"/>
        <v>8.8652482269503549E-2</v>
      </c>
      <c r="S13" s="351">
        <f t="shared" si="13"/>
        <v>6</v>
      </c>
      <c r="T13" s="353">
        <f t="shared" si="8"/>
        <v>7.4632187846047485E-2</v>
      </c>
      <c r="U13" s="353">
        <f t="shared" si="9"/>
        <v>7.0612146977624135E-2</v>
      </c>
      <c r="V13" s="353">
        <f t="shared" si="10"/>
        <v>7.3509107216871303E-2</v>
      </c>
      <c r="W13" s="353">
        <f t="shared" si="11"/>
        <v>9.7320638050121325E-2</v>
      </c>
    </row>
    <row r="14" spans="3:23">
      <c r="C14" s="350">
        <f t="shared" si="12"/>
        <v>45138</v>
      </c>
      <c r="D14" s="351">
        <f t="shared" si="3"/>
        <v>7</v>
      </c>
      <c r="E14" s="352">
        <f t="shared" si="4"/>
        <v>2023</v>
      </c>
      <c r="F14" s="95" t="s">
        <v>308</v>
      </c>
      <c r="G14" s="9">
        <v>54</v>
      </c>
      <c r="H14" s="9">
        <v>23</v>
      </c>
      <c r="I14" s="9">
        <v>27</v>
      </c>
      <c r="J14" s="356" t="str">
        <f t="shared" si="5"/>
        <v>-</v>
      </c>
      <c r="K14" s="356">
        <f t="shared" si="6"/>
        <v>0.42592592592592593</v>
      </c>
      <c r="L14" s="356" t="str">
        <f t="shared" si="7"/>
        <v>-</v>
      </c>
      <c r="N14" s="353"/>
      <c r="O14" s="353">
        <f t="shared" si="0"/>
        <v>7.4585635359116026E-2</v>
      </c>
      <c r="P14" s="353">
        <f t="shared" si="1"/>
        <v>7.2555205047318619E-2</v>
      </c>
      <c r="Q14" s="353">
        <f t="shared" si="2"/>
        <v>9.5744680851063829E-2</v>
      </c>
      <c r="S14" s="351">
        <f t="shared" si="13"/>
        <v>7</v>
      </c>
      <c r="T14" s="353">
        <f t="shared" si="8"/>
        <v>7.670058059503343E-2</v>
      </c>
      <c r="U14" s="353">
        <f t="shared" si="9"/>
        <v>8.4810705516553328E-2</v>
      </c>
      <c r="V14" s="353">
        <f t="shared" si="10"/>
        <v>7.4655072573863279E-2</v>
      </c>
      <c r="W14" s="353">
        <f t="shared" si="11"/>
        <v>7.9423626840040215E-2</v>
      </c>
    </row>
    <row r="15" spans="3:23">
      <c r="C15" s="350">
        <f t="shared" si="12"/>
        <v>45169</v>
      </c>
      <c r="D15" s="351">
        <f t="shared" si="3"/>
        <v>8</v>
      </c>
      <c r="E15" s="352">
        <f t="shared" si="4"/>
        <v>2023</v>
      </c>
      <c r="F15" s="95" t="s">
        <v>308</v>
      </c>
      <c r="G15" s="9">
        <v>41</v>
      </c>
      <c r="H15" s="9">
        <v>16</v>
      </c>
      <c r="I15" s="9">
        <v>19</v>
      </c>
      <c r="J15" s="356" t="str">
        <f t="shared" si="5"/>
        <v>-</v>
      </c>
      <c r="K15" s="356">
        <f t="shared" si="6"/>
        <v>0.3902439024390244</v>
      </c>
      <c r="L15" s="356" t="str">
        <f t="shared" si="7"/>
        <v>-</v>
      </c>
      <c r="N15" s="353"/>
      <c r="O15" s="353">
        <f t="shared" si="0"/>
        <v>5.6629834254143648E-2</v>
      </c>
      <c r="P15" s="353">
        <f t="shared" si="1"/>
        <v>5.0473186119873815E-2</v>
      </c>
      <c r="Q15" s="353">
        <f t="shared" si="2"/>
        <v>6.7375886524822695E-2</v>
      </c>
      <c r="S15" s="351">
        <f t="shared" si="13"/>
        <v>8</v>
      </c>
      <c r="T15" s="353">
        <f t="shared" si="8"/>
        <v>7.8220589404905394E-2</v>
      </c>
      <c r="U15" s="353">
        <f t="shared" si="9"/>
        <v>7.4281314709857327E-2</v>
      </c>
      <c r="V15" s="353">
        <f t="shared" si="10"/>
        <v>7.9430014300202967E-2</v>
      </c>
      <c r="W15" s="353">
        <f t="shared" si="11"/>
        <v>8.0631087014065739E-2</v>
      </c>
    </row>
    <row r="16" spans="3:23">
      <c r="C16" s="350">
        <f t="shared" si="12"/>
        <v>45199</v>
      </c>
      <c r="D16" s="351">
        <f t="shared" si="3"/>
        <v>9</v>
      </c>
      <c r="E16" s="352">
        <f t="shared" si="4"/>
        <v>2023</v>
      </c>
      <c r="F16" s="95" t="s">
        <v>308</v>
      </c>
      <c r="G16" s="9">
        <v>49</v>
      </c>
      <c r="H16" s="9">
        <v>20</v>
      </c>
      <c r="I16" s="9">
        <v>31</v>
      </c>
      <c r="J16" s="356" t="str">
        <f t="shared" si="5"/>
        <v>-</v>
      </c>
      <c r="K16" s="356">
        <f t="shared" si="6"/>
        <v>0.40816326530612246</v>
      </c>
      <c r="L16" s="356" t="str">
        <f t="shared" si="7"/>
        <v>-</v>
      </c>
      <c r="N16" s="353"/>
      <c r="O16" s="353">
        <f t="shared" si="0"/>
        <v>6.7679558011049717E-2</v>
      </c>
      <c r="P16" s="353">
        <f t="shared" si="1"/>
        <v>6.3091482649842268E-2</v>
      </c>
      <c r="Q16" s="353">
        <f t="shared" si="2"/>
        <v>0.1099290780141844</v>
      </c>
      <c r="S16" s="351">
        <f t="shared" si="13"/>
        <v>9</v>
      </c>
      <c r="T16" s="353">
        <f t="shared" si="8"/>
        <v>7.8795127651373795E-2</v>
      </c>
      <c r="U16" s="353">
        <f t="shared" si="9"/>
        <v>8.4583843334690892E-2</v>
      </c>
      <c r="V16" s="353">
        <f t="shared" si="10"/>
        <v>7.125757490947425E-2</v>
      </c>
      <c r="W16" s="353">
        <f t="shared" si="11"/>
        <v>9.73894867511889E-2</v>
      </c>
    </row>
    <row r="17" spans="3:26">
      <c r="C17" s="350">
        <f t="shared" si="12"/>
        <v>45230</v>
      </c>
      <c r="D17" s="351">
        <f t="shared" si="3"/>
        <v>10</v>
      </c>
      <c r="E17" s="352">
        <f t="shared" si="4"/>
        <v>2023</v>
      </c>
      <c r="F17" s="95" t="s">
        <v>308</v>
      </c>
      <c r="G17" s="9">
        <v>62</v>
      </c>
      <c r="H17" s="9">
        <v>19</v>
      </c>
      <c r="I17" s="9">
        <v>34</v>
      </c>
      <c r="J17" s="356" t="str">
        <f t="shared" si="5"/>
        <v>-</v>
      </c>
      <c r="K17" s="356">
        <f t="shared" si="6"/>
        <v>0.30645161290322581</v>
      </c>
      <c r="L17" s="356" t="str">
        <f t="shared" si="7"/>
        <v>-</v>
      </c>
      <c r="N17" s="353"/>
      <c r="O17" s="353">
        <f t="shared" si="0"/>
        <v>8.5635359116022103E-2</v>
      </c>
      <c r="P17" s="353">
        <f t="shared" si="1"/>
        <v>5.993690851735016E-2</v>
      </c>
      <c r="Q17" s="353">
        <f t="shared" si="2"/>
        <v>0.12056737588652482</v>
      </c>
      <c r="S17" s="351">
        <f t="shared" si="13"/>
        <v>10</v>
      </c>
      <c r="T17" s="353">
        <f t="shared" si="8"/>
        <v>8.0833634133359436E-2</v>
      </c>
      <c r="U17" s="353">
        <f t="shared" si="9"/>
        <v>8.4539486971155445E-2</v>
      </c>
      <c r="V17" s="353">
        <f t="shared" si="10"/>
        <v>8.524090444452441E-2</v>
      </c>
      <c r="W17" s="353">
        <f t="shared" si="11"/>
        <v>0.11295985520909534</v>
      </c>
    </row>
    <row r="18" spans="3:26">
      <c r="C18" s="350">
        <f t="shared" si="12"/>
        <v>45260</v>
      </c>
      <c r="D18" s="351">
        <f t="shared" si="3"/>
        <v>11</v>
      </c>
      <c r="E18" s="352">
        <f t="shared" si="4"/>
        <v>2023</v>
      </c>
      <c r="F18" s="95" t="s">
        <v>308</v>
      </c>
      <c r="G18" s="9">
        <v>50</v>
      </c>
      <c r="H18" s="9">
        <v>19</v>
      </c>
      <c r="I18" s="9">
        <v>27</v>
      </c>
      <c r="J18" s="356" t="str">
        <f t="shared" si="5"/>
        <v>-</v>
      </c>
      <c r="K18" s="356">
        <f t="shared" si="6"/>
        <v>0.38</v>
      </c>
      <c r="L18" s="356" t="str">
        <f t="shared" si="7"/>
        <v>-</v>
      </c>
      <c r="N18" s="353"/>
      <c r="O18" s="353">
        <f t="shared" si="0"/>
        <v>6.9060773480662987E-2</v>
      </c>
      <c r="P18" s="353">
        <f t="shared" si="1"/>
        <v>5.993690851735016E-2</v>
      </c>
      <c r="Q18" s="353">
        <f t="shared" si="2"/>
        <v>9.5744680851063829E-2</v>
      </c>
      <c r="S18" s="351">
        <f t="shared" si="13"/>
        <v>11</v>
      </c>
      <c r="T18" s="353">
        <f t="shared" si="8"/>
        <v>8.1408172379827837E-2</v>
      </c>
      <c r="U18" s="353">
        <f t="shared" si="9"/>
        <v>9.4860298072484764E-2</v>
      </c>
      <c r="V18" s="353">
        <f t="shared" si="10"/>
        <v>7.0327511964592013E-2</v>
      </c>
      <c r="W18" s="353">
        <f t="shared" si="11"/>
        <v>9.9464075451917391E-2</v>
      </c>
    </row>
    <row r="19" spans="3:26">
      <c r="C19" s="350">
        <f t="shared" si="12"/>
        <v>45291</v>
      </c>
      <c r="D19" s="351">
        <f t="shared" si="3"/>
        <v>12</v>
      </c>
      <c r="E19" s="352">
        <f t="shared" si="4"/>
        <v>2023</v>
      </c>
      <c r="F19" s="95" t="s">
        <v>308</v>
      </c>
      <c r="G19" s="9">
        <v>51</v>
      </c>
      <c r="H19" s="9">
        <v>26</v>
      </c>
      <c r="I19" s="9">
        <v>25</v>
      </c>
      <c r="J19" s="356" t="str">
        <f t="shared" si="5"/>
        <v>-</v>
      </c>
      <c r="K19" s="356">
        <f t="shared" si="6"/>
        <v>0.50980392156862742</v>
      </c>
      <c r="L19" s="356" t="str">
        <f t="shared" si="7"/>
        <v>-</v>
      </c>
      <c r="N19" s="353"/>
      <c r="O19" s="353">
        <f t="shared" si="0"/>
        <v>7.0441988950276244E-2</v>
      </c>
      <c r="P19" s="353">
        <f t="shared" si="1"/>
        <v>8.2018927444794956E-2</v>
      </c>
      <c r="Q19" s="353">
        <f t="shared" si="2"/>
        <v>8.8652482269503549E-2</v>
      </c>
      <c r="S19" s="351">
        <f t="shared" si="13"/>
        <v>12</v>
      </c>
      <c r="T19" s="353">
        <f>AVERAGEIFS(N$8:N$43,$D$8:$D$43,$S19)</f>
        <v>0.1205080665390051</v>
      </c>
      <c r="U19" s="353">
        <f t="shared" si="9"/>
        <v>0.10022872801965059</v>
      </c>
      <c r="V19" s="353">
        <f t="shared" si="10"/>
        <v>9.6039473491315253E-2</v>
      </c>
      <c r="W19" s="353">
        <f t="shared" si="11"/>
        <v>7.9707106150875159E-2</v>
      </c>
    </row>
    <row r="20" spans="3:26">
      <c r="C20" s="350">
        <f t="shared" si="12"/>
        <v>45322</v>
      </c>
      <c r="D20" s="351">
        <f t="shared" si="3"/>
        <v>1</v>
      </c>
      <c r="E20" s="352">
        <f t="shared" si="4"/>
        <v>2024</v>
      </c>
      <c r="F20" s="9">
        <v>349</v>
      </c>
      <c r="G20" s="9">
        <v>67</v>
      </c>
      <c r="H20" s="9">
        <v>32</v>
      </c>
      <c r="I20" s="9">
        <v>14</v>
      </c>
      <c r="J20" s="356">
        <f t="shared" si="5"/>
        <v>0.19197707736389685</v>
      </c>
      <c r="K20" s="356">
        <f t="shared" si="6"/>
        <v>0.47761194029850745</v>
      </c>
      <c r="L20" s="356">
        <f t="shared" si="7"/>
        <v>9.1690544412607447E-2</v>
      </c>
      <c r="N20" s="353">
        <f t="shared" ref="N20:N43" si="14">IFERROR(F20/SUMIFS(F:F,$E:$E,$E20),0)</f>
        <v>9.3691275167785235E-2</v>
      </c>
      <c r="O20" s="353">
        <f t="shared" si="0"/>
        <v>9.4900849858356937E-2</v>
      </c>
      <c r="P20" s="353">
        <f t="shared" si="1"/>
        <v>0.12167300380228137</v>
      </c>
      <c r="Q20" s="353">
        <f t="shared" si="2"/>
        <v>5.4054054054054057E-2</v>
      </c>
    </row>
    <row r="21" spans="3:26">
      <c r="C21" s="350">
        <f t="shared" si="12"/>
        <v>45351</v>
      </c>
      <c r="D21" s="351">
        <f t="shared" si="3"/>
        <v>2</v>
      </c>
      <c r="E21" s="352">
        <f t="shared" si="4"/>
        <v>2024</v>
      </c>
      <c r="F21" s="9">
        <v>284</v>
      </c>
      <c r="G21" s="9">
        <v>53</v>
      </c>
      <c r="H21" s="9">
        <v>28</v>
      </c>
      <c r="I21" s="9">
        <v>16</v>
      </c>
      <c r="J21" s="356">
        <f t="shared" si="5"/>
        <v>0.18661971830985916</v>
      </c>
      <c r="K21" s="356">
        <f t="shared" si="6"/>
        <v>0.52830188679245282</v>
      </c>
      <c r="L21" s="356">
        <f t="shared" si="7"/>
        <v>9.8591549295774641E-2</v>
      </c>
      <c r="N21" s="353">
        <f t="shared" si="14"/>
        <v>7.6241610738255028E-2</v>
      </c>
      <c r="O21" s="353">
        <f t="shared" si="0"/>
        <v>7.5070821529745049E-2</v>
      </c>
      <c r="P21" s="353">
        <f t="shared" si="1"/>
        <v>0.10646387832699619</v>
      </c>
      <c r="Q21" s="353">
        <f t="shared" si="2"/>
        <v>6.1776061776061778E-2</v>
      </c>
    </row>
    <row r="22" spans="3:26">
      <c r="C22" s="350">
        <f t="shared" si="12"/>
        <v>45382</v>
      </c>
      <c r="D22" s="351">
        <f t="shared" si="3"/>
        <v>3</v>
      </c>
      <c r="E22" s="352">
        <f t="shared" si="4"/>
        <v>2024</v>
      </c>
      <c r="F22" s="9">
        <v>268</v>
      </c>
      <c r="G22" s="9">
        <v>55</v>
      </c>
      <c r="H22" s="9">
        <v>23</v>
      </c>
      <c r="I22" s="9">
        <v>21</v>
      </c>
      <c r="J22" s="356">
        <f t="shared" si="5"/>
        <v>0.20522388059701493</v>
      </c>
      <c r="K22" s="356">
        <f t="shared" si="6"/>
        <v>0.41818181818181815</v>
      </c>
      <c r="L22" s="356">
        <f t="shared" si="7"/>
        <v>8.5820895522388058E-2</v>
      </c>
      <c r="N22" s="353">
        <f t="shared" si="14"/>
        <v>7.1946308724832209E-2</v>
      </c>
      <c r="O22" s="353">
        <f t="shared" si="0"/>
        <v>7.7903682719546744E-2</v>
      </c>
      <c r="P22" s="353">
        <f t="shared" si="1"/>
        <v>8.7452471482889732E-2</v>
      </c>
      <c r="Q22" s="353">
        <f t="shared" si="2"/>
        <v>8.1081081081081086E-2</v>
      </c>
    </row>
    <row r="23" spans="3:26">
      <c r="C23" s="350">
        <f t="shared" si="12"/>
        <v>45412</v>
      </c>
      <c r="D23" s="351">
        <f t="shared" si="3"/>
        <v>4</v>
      </c>
      <c r="E23" s="352">
        <f t="shared" si="4"/>
        <v>2024</v>
      </c>
      <c r="F23" s="9">
        <v>249</v>
      </c>
      <c r="G23" s="9">
        <v>50</v>
      </c>
      <c r="H23" s="9">
        <v>17</v>
      </c>
      <c r="I23" s="9">
        <v>20</v>
      </c>
      <c r="J23" s="356">
        <f t="shared" si="5"/>
        <v>0.20080321285140562</v>
      </c>
      <c r="K23" s="356">
        <f t="shared" si="6"/>
        <v>0.34</v>
      </c>
      <c r="L23" s="356">
        <f t="shared" si="7"/>
        <v>6.8273092369477914E-2</v>
      </c>
      <c r="N23" s="353">
        <f t="shared" si="14"/>
        <v>6.6845637583892614E-2</v>
      </c>
      <c r="O23" s="353">
        <f t="shared" si="0"/>
        <v>7.0821529745042494E-2</v>
      </c>
      <c r="P23" s="353">
        <f t="shared" si="1"/>
        <v>6.4638783269961975E-2</v>
      </c>
      <c r="Q23" s="353">
        <f t="shared" si="2"/>
        <v>7.7220077220077218E-2</v>
      </c>
    </row>
    <row r="24" spans="3:26">
      <c r="C24" s="350">
        <f t="shared" si="12"/>
        <v>45443</v>
      </c>
      <c r="D24" s="351">
        <f t="shared" si="3"/>
        <v>5</v>
      </c>
      <c r="E24" s="352">
        <f t="shared" si="4"/>
        <v>2024</v>
      </c>
      <c r="F24" s="9">
        <v>280</v>
      </c>
      <c r="G24" s="9">
        <v>41</v>
      </c>
      <c r="H24" s="9">
        <v>12</v>
      </c>
      <c r="I24" s="9">
        <v>24</v>
      </c>
      <c r="J24" s="356">
        <f t="shared" si="5"/>
        <v>0.14642857142857144</v>
      </c>
      <c r="K24" s="356">
        <f t="shared" si="6"/>
        <v>0.29268292682926828</v>
      </c>
      <c r="L24" s="356">
        <f t="shared" si="7"/>
        <v>4.2857142857142858E-2</v>
      </c>
      <c r="N24" s="353">
        <f t="shared" si="14"/>
        <v>7.5167785234899323E-2</v>
      </c>
      <c r="O24" s="353">
        <f t="shared" si="0"/>
        <v>5.8073654390934842E-2</v>
      </c>
      <c r="P24" s="353">
        <f t="shared" si="1"/>
        <v>4.5627376425855515E-2</v>
      </c>
      <c r="Q24" s="353">
        <f t="shared" si="2"/>
        <v>9.2664092664092659E-2</v>
      </c>
    </row>
    <row r="25" spans="3:26">
      <c r="C25" s="350">
        <f t="shared" si="12"/>
        <v>45473</v>
      </c>
      <c r="D25" s="351">
        <f t="shared" si="3"/>
        <v>6</v>
      </c>
      <c r="E25" s="352">
        <f t="shared" si="4"/>
        <v>2024</v>
      </c>
      <c r="F25" s="9">
        <v>292</v>
      </c>
      <c r="G25" s="9">
        <v>58</v>
      </c>
      <c r="H25" s="9">
        <v>17</v>
      </c>
      <c r="I25" s="9">
        <v>22</v>
      </c>
      <c r="J25" s="356">
        <f t="shared" si="5"/>
        <v>0.19863013698630136</v>
      </c>
      <c r="K25" s="356">
        <f t="shared" si="6"/>
        <v>0.29310344827586204</v>
      </c>
      <c r="L25" s="356">
        <f t="shared" si="7"/>
        <v>5.8219178082191778E-2</v>
      </c>
      <c r="N25" s="353">
        <f t="shared" si="14"/>
        <v>7.8389261744966438E-2</v>
      </c>
      <c r="O25" s="353">
        <f t="shared" si="0"/>
        <v>8.2152974504249299E-2</v>
      </c>
      <c r="P25" s="353">
        <f t="shared" si="1"/>
        <v>6.4638783269961975E-2</v>
      </c>
      <c r="Q25" s="353">
        <f t="shared" si="2"/>
        <v>8.4942084942084939E-2</v>
      </c>
    </row>
    <row r="26" spans="3:26">
      <c r="C26" s="350">
        <f t="shared" si="12"/>
        <v>45504</v>
      </c>
      <c r="D26" s="351">
        <f t="shared" si="3"/>
        <v>7</v>
      </c>
      <c r="E26" s="352">
        <f t="shared" si="4"/>
        <v>2024</v>
      </c>
      <c r="F26" s="9">
        <v>276</v>
      </c>
      <c r="G26" s="9">
        <v>63</v>
      </c>
      <c r="H26" s="9">
        <v>19</v>
      </c>
      <c r="I26" s="9">
        <v>20</v>
      </c>
      <c r="J26" s="356">
        <f t="shared" si="5"/>
        <v>0.22826086956521738</v>
      </c>
      <c r="K26" s="356">
        <f t="shared" si="6"/>
        <v>0.30158730158730157</v>
      </c>
      <c r="L26" s="356">
        <f t="shared" si="7"/>
        <v>6.8840579710144928E-2</v>
      </c>
      <c r="N26" s="353">
        <f t="shared" si="14"/>
        <v>7.4093959731543618E-2</v>
      </c>
      <c r="O26" s="353">
        <f t="shared" si="0"/>
        <v>8.9235127478753534E-2</v>
      </c>
      <c r="P26" s="353">
        <f t="shared" si="1"/>
        <v>7.2243346007604556E-2</v>
      </c>
      <c r="Q26" s="353">
        <f t="shared" si="2"/>
        <v>7.7220077220077218E-2</v>
      </c>
    </row>
    <row r="27" spans="3:26">
      <c r="C27" s="350">
        <f t="shared" si="12"/>
        <v>45535</v>
      </c>
      <c r="D27" s="351">
        <f t="shared" si="3"/>
        <v>8</v>
      </c>
      <c r="E27" s="352">
        <f t="shared" si="4"/>
        <v>2024</v>
      </c>
      <c r="F27" s="9">
        <v>306</v>
      </c>
      <c r="G27" s="9">
        <v>58</v>
      </c>
      <c r="H27" s="9">
        <v>22</v>
      </c>
      <c r="I27" s="9">
        <v>23</v>
      </c>
      <c r="J27" s="356">
        <f t="shared" si="5"/>
        <v>0.18954248366013071</v>
      </c>
      <c r="K27" s="356">
        <f t="shared" si="6"/>
        <v>0.37931034482758619</v>
      </c>
      <c r="L27" s="356">
        <f t="shared" si="7"/>
        <v>7.1895424836601302E-2</v>
      </c>
      <c r="N27" s="353">
        <f t="shared" si="14"/>
        <v>8.2147651006711411E-2</v>
      </c>
      <c r="O27" s="353">
        <f t="shared" si="0"/>
        <v>8.2152974504249299E-2</v>
      </c>
      <c r="P27" s="353">
        <f t="shared" si="1"/>
        <v>8.3650190114068435E-2</v>
      </c>
      <c r="Q27" s="353">
        <f t="shared" si="2"/>
        <v>8.8803088803088806E-2</v>
      </c>
    </row>
    <row r="28" spans="3:26">
      <c r="C28" s="350">
        <f t="shared" si="12"/>
        <v>45565</v>
      </c>
      <c r="D28" s="351">
        <f t="shared" si="3"/>
        <v>9</v>
      </c>
      <c r="E28" s="352">
        <f t="shared" si="4"/>
        <v>2024</v>
      </c>
      <c r="F28" s="9">
        <v>295</v>
      </c>
      <c r="G28" s="9">
        <v>62</v>
      </c>
      <c r="H28" s="9">
        <v>21</v>
      </c>
      <c r="I28" s="9">
        <v>25</v>
      </c>
      <c r="J28" s="356">
        <f t="shared" si="5"/>
        <v>0.21016949152542372</v>
      </c>
      <c r="K28" s="356">
        <f t="shared" si="6"/>
        <v>0.33870967741935482</v>
      </c>
      <c r="L28" s="356">
        <f t="shared" si="7"/>
        <v>7.1186440677966104E-2</v>
      </c>
      <c r="N28" s="353">
        <f t="shared" si="14"/>
        <v>7.9194630872483227E-2</v>
      </c>
      <c r="O28" s="353">
        <f t="shared" si="0"/>
        <v>8.7818696883852687E-2</v>
      </c>
      <c r="P28" s="353">
        <f t="shared" si="1"/>
        <v>7.9847908745247151E-2</v>
      </c>
      <c r="Q28" s="353">
        <f t="shared" si="2"/>
        <v>9.6525096525096526E-2</v>
      </c>
    </row>
    <row r="29" spans="3:26">
      <c r="C29" s="350">
        <f t="shared" si="12"/>
        <v>45596</v>
      </c>
      <c r="D29" s="351">
        <f t="shared" si="3"/>
        <v>10</v>
      </c>
      <c r="E29" s="352">
        <f t="shared" si="4"/>
        <v>2024</v>
      </c>
      <c r="F29" s="9">
        <v>300</v>
      </c>
      <c r="G29" s="9">
        <v>50</v>
      </c>
      <c r="H29" s="9">
        <v>23</v>
      </c>
      <c r="I29" s="9">
        <v>28</v>
      </c>
      <c r="J29" s="356">
        <f t="shared" si="5"/>
        <v>0.16666666666666666</v>
      </c>
      <c r="K29" s="356">
        <f t="shared" si="6"/>
        <v>0.46</v>
      </c>
      <c r="L29" s="356">
        <f t="shared" si="7"/>
        <v>7.6666666666666661E-2</v>
      </c>
      <c r="N29" s="353">
        <f t="shared" si="14"/>
        <v>8.0536912751677847E-2</v>
      </c>
      <c r="O29" s="353">
        <f t="shared" si="0"/>
        <v>7.0821529745042494E-2</v>
      </c>
      <c r="P29" s="353">
        <f t="shared" si="1"/>
        <v>8.7452471482889732E-2</v>
      </c>
      <c r="Q29" s="353">
        <f t="shared" si="2"/>
        <v>0.10810810810810811</v>
      </c>
    </row>
    <row r="30" spans="3:26">
      <c r="C30" s="350">
        <f t="shared" si="12"/>
        <v>45626</v>
      </c>
      <c r="D30" s="351">
        <f t="shared" si="3"/>
        <v>11</v>
      </c>
      <c r="E30" s="352">
        <f t="shared" si="4"/>
        <v>2024</v>
      </c>
      <c r="F30" s="9">
        <v>289</v>
      </c>
      <c r="G30" s="9">
        <v>72</v>
      </c>
      <c r="H30" s="9">
        <v>20</v>
      </c>
      <c r="I30" s="9">
        <v>25</v>
      </c>
      <c r="J30" s="356">
        <f t="shared" si="5"/>
        <v>0.2491349480968858</v>
      </c>
      <c r="K30" s="356">
        <f t="shared" si="6"/>
        <v>0.27777777777777779</v>
      </c>
      <c r="L30" s="356">
        <f t="shared" si="7"/>
        <v>6.9204152249134954E-2</v>
      </c>
      <c r="N30" s="353">
        <f t="shared" si="14"/>
        <v>7.7583892617449662E-2</v>
      </c>
      <c r="O30" s="353">
        <f t="shared" si="0"/>
        <v>0.10198300283286119</v>
      </c>
      <c r="P30" s="353">
        <f t="shared" si="1"/>
        <v>7.6045627376425853E-2</v>
      </c>
      <c r="Q30" s="353">
        <f t="shared" si="2"/>
        <v>9.6525096525096526E-2</v>
      </c>
    </row>
    <row r="31" spans="3:26">
      <c r="C31" s="350">
        <f t="shared" si="12"/>
        <v>45657</v>
      </c>
      <c r="D31" s="351">
        <f t="shared" si="3"/>
        <v>12</v>
      </c>
      <c r="E31" s="352">
        <f t="shared" si="4"/>
        <v>2024</v>
      </c>
      <c r="F31" s="9">
        <v>537</v>
      </c>
      <c r="G31" s="9">
        <v>77</v>
      </c>
      <c r="H31" s="9">
        <v>29</v>
      </c>
      <c r="I31" s="9">
        <v>21</v>
      </c>
      <c r="J31" s="356">
        <f t="shared" si="5"/>
        <v>0.14338919925512103</v>
      </c>
      <c r="K31" s="356">
        <f t="shared" si="6"/>
        <v>0.37662337662337664</v>
      </c>
      <c r="L31" s="356">
        <f t="shared" si="7"/>
        <v>5.4003724394785846E-2</v>
      </c>
      <c r="N31" s="353">
        <f t="shared" si="14"/>
        <v>0.14416107382550336</v>
      </c>
      <c r="O31" s="353">
        <f t="shared" si="0"/>
        <v>0.10906515580736544</v>
      </c>
      <c r="P31" s="353">
        <f t="shared" si="1"/>
        <v>0.11026615969581749</v>
      </c>
      <c r="Q31" s="353">
        <f t="shared" si="2"/>
        <v>8.1081081081081086E-2</v>
      </c>
    </row>
    <row r="32" spans="3:26">
      <c r="C32" s="350">
        <f t="shared" si="12"/>
        <v>45688</v>
      </c>
      <c r="D32" s="351">
        <f t="shared" si="3"/>
        <v>1</v>
      </c>
      <c r="E32" s="352">
        <f t="shared" si="4"/>
        <v>2025</v>
      </c>
      <c r="F32" s="9">
        <v>609</v>
      </c>
      <c r="G32" s="9">
        <v>91</v>
      </c>
      <c r="H32" s="9">
        <v>19</v>
      </c>
      <c r="I32" s="9">
        <v>12</v>
      </c>
      <c r="J32" s="356">
        <f t="shared" si="5"/>
        <v>0.14942528735632185</v>
      </c>
      <c r="K32" s="356">
        <f t="shared" si="6"/>
        <v>0.2087912087912088</v>
      </c>
      <c r="L32" s="356">
        <f t="shared" si="7"/>
        <v>3.1198686371100164E-2</v>
      </c>
      <c r="N32" s="353">
        <f t="shared" si="14"/>
        <v>0.13878760255241568</v>
      </c>
      <c r="O32" s="353">
        <f t="shared" si="0"/>
        <v>9.934497816593886E-2</v>
      </c>
      <c r="P32" s="353">
        <f t="shared" si="1"/>
        <v>7.9166666666666663E-2</v>
      </c>
      <c r="Q32" s="353">
        <f t="shared" si="2"/>
        <v>4.8979591836734691E-2</v>
      </c>
      <c r="Z32" s="254"/>
    </row>
    <row r="33" spans="3:26">
      <c r="C33" s="350">
        <f t="shared" si="12"/>
        <v>45716</v>
      </c>
      <c r="D33" s="351">
        <f t="shared" si="3"/>
        <v>2</v>
      </c>
      <c r="E33" s="352">
        <f t="shared" si="4"/>
        <v>2025</v>
      </c>
      <c r="F33" s="9">
        <v>329</v>
      </c>
      <c r="G33" s="9">
        <v>64</v>
      </c>
      <c r="H33" s="9">
        <v>19</v>
      </c>
      <c r="I33" s="9">
        <v>11</v>
      </c>
      <c r="J33" s="356">
        <f t="shared" si="5"/>
        <v>0.19452887537993921</v>
      </c>
      <c r="K33" s="356">
        <f t="shared" si="6"/>
        <v>0.296875</v>
      </c>
      <c r="L33" s="356">
        <f t="shared" si="7"/>
        <v>5.7750759878419454E-2</v>
      </c>
      <c r="N33" s="353">
        <f t="shared" si="14"/>
        <v>7.4977210574293532E-2</v>
      </c>
      <c r="O33" s="353">
        <f t="shared" si="0"/>
        <v>6.9868995633187769E-2</v>
      </c>
      <c r="P33" s="353">
        <f t="shared" si="1"/>
        <v>7.9166666666666663E-2</v>
      </c>
      <c r="Q33" s="353">
        <f t="shared" si="2"/>
        <v>4.4897959183673466E-2</v>
      </c>
      <c r="Z33" s="254"/>
    </row>
    <row r="34" spans="3:26">
      <c r="C34" s="350">
        <f t="shared" si="12"/>
        <v>45747</v>
      </c>
      <c r="D34" s="351">
        <f t="shared" si="3"/>
        <v>3</v>
      </c>
      <c r="E34" s="352">
        <f t="shared" si="4"/>
        <v>2025</v>
      </c>
      <c r="F34" s="9">
        <v>355</v>
      </c>
      <c r="G34" s="9">
        <v>53</v>
      </c>
      <c r="H34" s="9">
        <v>21</v>
      </c>
      <c r="I34" s="9">
        <v>18</v>
      </c>
      <c r="J34" s="356">
        <f t="shared" si="5"/>
        <v>0.14929577464788732</v>
      </c>
      <c r="K34" s="356">
        <f t="shared" si="6"/>
        <v>0.39622641509433965</v>
      </c>
      <c r="L34" s="356">
        <f t="shared" si="7"/>
        <v>5.9154929577464786E-2</v>
      </c>
      <c r="N34" s="353">
        <f t="shared" si="14"/>
        <v>8.0902461257976302E-2</v>
      </c>
      <c r="O34" s="353">
        <f t="shared" si="0"/>
        <v>5.7860262008733628E-2</v>
      </c>
      <c r="P34" s="353">
        <f t="shared" si="1"/>
        <v>8.7499999999999994E-2</v>
      </c>
      <c r="Q34" s="353">
        <f t="shared" si="2"/>
        <v>7.3469387755102047E-2</v>
      </c>
      <c r="Z34" s="254"/>
    </row>
    <row r="35" spans="3:26">
      <c r="C35" s="350">
        <f t="shared" si="12"/>
        <v>45777</v>
      </c>
      <c r="D35" s="351">
        <f t="shared" si="3"/>
        <v>4</v>
      </c>
      <c r="E35" s="352">
        <f t="shared" si="4"/>
        <v>2025</v>
      </c>
      <c r="F35" s="9">
        <v>340</v>
      </c>
      <c r="G35" s="9">
        <v>44</v>
      </c>
      <c r="H35" s="9">
        <v>17</v>
      </c>
      <c r="I35" s="9">
        <v>19</v>
      </c>
      <c r="J35" s="356">
        <f t="shared" si="5"/>
        <v>0.12941176470588237</v>
      </c>
      <c r="K35" s="356">
        <f t="shared" si="6"/>
        <v>0.38636363636363635</v>
      </c>
      <c r="L35" s="356">
        <f t="shared" si="7"/>
        <v>0.05</v>
      </c>
      <c r="N35" s="353">
        <f t="shared" si="14"/>
        <v>7.7484047402005471E-2</v>
      </c>
      <c r="O35" s="353">
        <f t="shared" si="0"/>
        <v>4.8034934497816595E-2</v>
      </c>
      <c r="P35" s="353">
        <f t="shared" si="1"/>
        <v>7.0833333333333331E-2</v>
      </c>
      <c r="Q35" s="353">
        <f t="shared" si="2"/>
        <v>7.7551020408163265E-2</v>
      </c>
      <c r="Z35" s="254"/>
    </row>
    <row r="36" spans="3:26">
      <c r="C36" s="350">
        <f t="shared" si="12"/>
        <v>45808</v>
      </c>
      <c r="D36" s="351">
        <f t="shared" si="3"/>
        <v>5</v>
      </c>
      <c r="E36" s="352">
        <f t="shared" si="4"/>
        <v>2025</v>
      </c>
      <c r="F36" s="9">
        <v>271</v>
      </c>
      <c r="G36" s="9">
        <v>57</v>
      </c>
      <c r="H36" s="9">
        <v>16</v>
      </c>
      <c r="I36" s="9">
        <v>28</v>
      </c>
      <c r="J36" s="356">
        <f t="shared" si="5"/>
        <v>0.21033210332103322</v>
      </c>
      <c r="K36" s="356">
        <f t="shared" si="6"/>
        <v>0.2807017543859649</v>
      </c>
      <c r="L36" s="356">
        <f t="shared" si="7"/>
        <v>5.9040590405904057E-2</v>
      </c>
      <c r="N36" s="353">
        <f t="shared" si="14"/>
        <v>6.1759343664539654E-2</v>
      </c>
      <c r="O36" s="353">
        <f t="shared" si="0"/>
        <v>6.222707423580786E-2</v>
      </c>
      <c r="P36" s="353">
        <f t="shared" si="1"/>
        <v>6.6666666666666666E-2</v>
      </c>
      <c r="Q36" s="353">
        <f t="shared" si="2"/>
        <v>0.11428571428571428</v>
      </c>
      <c r="Z36" s="254"/>
    </row>
    <row r="37" spans="3:26">
      <c r="C37" s="350">
        <f t="shared" si="12"/>
        <v>45838</v>
      </c>
      <c r="D37" s="351">
        <f t="shared" si="3"/>
        <v>6</v>
      </c>
      <c r="E37" s="352">
        <f t="shared" si="4"/>
        <v>2025</v>
      </c>
      <c r="F37" s="9">
        <v>311</v>
      </c>
      <c r="G37" s="9">
        <v>53</v>
      </c>
      <c r="H37" s="9">
        <v>20</v>
      </c>
      <c r="I37" s="9">
        <v>29</v>
      </c>
      <c r="J37" s="356">
        <f t="shared" si="5"/>
        <v>0.17041800643086816</v>
      </c>
      <c r="K37" s="356">
        <f t="shared" si="6"/>
        <v>0.37735849056603776</v>
      </c>
      <c r="L37" s="356">
        <f t="shared" si="7"/>
        <v>6.4308681672025719E-2</v>
      </c>
      <c r="N37" s="353">
        <f t="shared" si="14"/>
        <v>7.0875113947128532E-2</v>
      </c>
      <c r="O37" s="353">
        <f t="shared" si="0"/>
        <v>5.7860262008733628E-2</v>
      </c>
      <c r="P37" s="353">
        <f t="shared" si="1"/>
        <v>8.3333333333333329E-2</v>
      </c>
      <c r="Q37" s="353">
        <f t="shared" si="2"/>
        <v>0.11836734693877551</v>
      </c>
      <c r="Z37" s="254"/>
    </row>
    <row r="38" spans="3:26">
      <c r="C38" s="350">
        <f t="shared" si="12"/>
        <v>45869</v>
      </c>
      <c r="D38" s="351">
        <f t="shared" si="3"/>
        <v>7</v>
      </c>
      <c r="E38" s="352">
        <f t="shared" si="4"/>
        <v>2025</v>
      </c>
      <c r="F38" s="9">
        <v>348</v>
      </c>
      <c r="G38" s="9">
        <v>83</v>
      </c>
      <c r="H38" s="9">
        <v>19</v>
      </c>
      <c r="I38" s="9">
        <v>16</v>
      </c>
      <c r="J38" s="356">
        <f t="shared" si="5"/>
        <v>0.23850574712643677</v>
      </c>
      <c r="K38" s="356">
        <f t="shared" si="6"/>
        <v>0.2289156626506024</v>
      </c>
      <c r="L38" s="356">
        <f t="shared" si="7"/>
        <v>5.459770114942529E-2</v>
      </c>
      <c r="N38" s="353">
        <f t="shared" si="14"/>
        <v>7.9307201458523241E-2</v>
      </c>
      <c r="O38" s="353">
        <f t="shared" si="0"/>
        <v>9.0611353711790396E-2</v>
      </c>
      <c r="P38" s="353">
        <f t="shared" si="1"/>
        <v>7.9166666666666663E-2</v>
      </c>
      <c r="Q38" s="353">
        <f t="shared" si="2"/>
        <v>6.5306122448979598E-2</v>
      </c>
      <c r="Z38" s="254"/>
    </row>
    <row r="39" spans="3:26">
      <c r="C39" s="350">
        <f t="shared" si="12"/>
        <v>45900</v>
      </c>
      <c r="D39" s="351">
        <f t="shared" si="3"/>
        <v>8</v>
      </c>
      <c r="E39" s="352">
        <f t="shared" si="4"/>
        <v>2025</v>
      </c>
      <c r="F39" s="9">
        <v>326</v>
      </c>
      <c r="G39" s="9">
        <v>77</v>
      </c>
      <c r="H39" s="9">
        <v>25</v>
      </c>
      <c r="I39" s="9">
        <v>21</v>
      </c>
      <c r="J39" s="356">
        <f t="shared" si="5"/>
        <v>0.2361963190184049</v>
      </c>
      <c r="K39" s="356">
        <f t="shared" si="6"/>
        <v>0.32467532467532467</v>
      </c>
      <c r="L39" s="356">
        <f t="shared" si="7"/>
        <v>7.6687116564417179E-2</v>
      </c>
      <c r="N39" s="353">
        <f t="shared" si="14"/>
        <v>7.4293527803099363E-2</v>
      </c>
      <c r="O39" s="353">
        <f t="shared" si="0"/>
        <v>8.4061135371179041E-2</v>
      </c>
      <c r="P39" s="353">
        <f t="shared" si="1"/>
        <v>0.10416666666666667</v>
      </c>
      <c r="Q39" s="353">
        <f t="shared" si="2"/>
        <v>8.5714285714285715E-2</v>
      </c>
      <c r="Z39" s="254"/>
    </row>
    <row r="40" spans="3:26">
      <c r="C40" s="350">
        <f t="shared" si="12"/>
        <v>45930</v>
      </c>
      <c r="D40" s="351">
        <f t="shared" si="3"/>
        <v>9</v>
      </c>
      <c r="E40" s="352">
        <f t="shared" si="4"/>
        <v>2025</v>
      </c>
      <c r="F40" s="9">
        <v>344</v>
      </c>
      <c r="G40" s="9">
        <v>90</v>
      </c>
      <c r="H40" s="9">
        <v>17</v>
      </c>
      <c r="I40" s="9">
        <v>21</v>
      </c>
      <c r="J40" s="356">
        <f t="shared" si="5"/>
        <v>0.26162790697674421</v>
      </c>
      <c r="K40" s="356">
        <f t="shared" si="6"/>
        <v>0.18888888888888888</v>
      </c>
      <c r="L40" s="356">
        <f t="shared" si="7"/>
        <v>4.9418604651162788E-2</v>
      </c>
      <c r="N40" s="353">
        <f t="shared" si="14"/>
        <v>7.8395624430264363E-2</v>
      </c>
      <c r="O40" s="353">
        <f t="shared" si="0"/>
        <v>9.8253275109170299E-2</v>
      </c>
      <c r="P40" s="353">
        <f t="shared" si="1"/>
        <v>7.0833333333333331E-2</v>
      </c>
      <c r="Q40" s="353">
        <f t="shared" si="2"/>
        <v>8.5714285714285715E-2</v>
      </c>
      <c r="Z40" s="254"/>
    </row>
    <row r="41" spans="3:26">
      <c r="C41" s="350">
        <f t="shared" si="12"/>
        <v>45961</v>
      </c>
      <c r="D41" s="351">
        <f t="shared" si="3"/>
        <v>10</v>
      </c>
      <c r="E41" s="352">
        <f t="shared" si="4"/>
        <v>2025</v>
      </c>
      <c r="F41" s="9">
        <v>356</v>
      </c>
      <c r="G41" s="9">
        <v>89</v>
      </c>
      <c r="H41" s="9">
        <v>26</v>
      </c>
      <c r="I41" s="9">
        <v>27</v>
      </c>
      <c r="J41" s="356">
        <f t="shared" si="5"/>
        <v>0.25</v>
      </c>
      <c r="K41" s="356">
        <f t="shared" si="6"/>
        <v>0.29213483146067415</v>
      </c>
      <c r="L41" s="356">
        <f t="shared" si="7"/>
        <v>7.3033707865168537E-2</v>
      </c>
      <c r="N41" s="353">
        <f t="shared" si="14"/>
        <v>8.1130355515041025E-2</v>
      </c>
      <c r="O41" s="353">
        <f t="shared" si="0"/>
        <v>9.7161572052401751E-2</v>
      </c>
      <c r="P41" s="353">
        <f t="shared" si="1"/>
        <v>0.10833333333333334</v>
      </c>
      <c r="Q41" s="353">
        <f t="shared" si="2"/>
        <v>0.11020408163265306</v>
      </c>
      <c r="Z41" s="254"/>
    </row>
    <row r="42" spans="3:26">
      <c r="C42" s="350">
        <f t="shared" si="12"/>
        <v>45991</v>
      </c>
      <c r="D42" s="351">
        <f t="shared" si="3"/>
        <v>11</v>
      </c>
      <c r="E42" s="352">
        <f t="shared" si="4"/>
        <v>2025</v>
      </c>
      <c r="F42" s="9">
        <v>374</v>
      </c>
      <c r="G42" s="9">
        <v>104</v>
      </c>
      <c r="H42" s="9">
        <v>18</v>
      </c>
      <c r="I42" s="9">
        <v>26</v>
      </c>
      <c r="J42" s="356">
        <f t="shared" si="5"/>
        <v>0.27807486631016043</v>
      </c>
      <c r="K42" s="356">
        <f t="shared" si="6"/>
        <v>0.17307692307692307</v>
      </c>
      <c r="L42" s="356">
        <f t="shared" si="7"/>
        <v>4.8128342245989303E-2</v>
      </c>
      <c r="N42" s="353">
        <f t="shared" si="14"/>
        <v>8.5232452142206011E-2</v>
      </c>
      <c r="O42" s="353">
        <f t="shared" si="0"/>
        <v>0.11353711790393013</v>
      </c>
      <c r="P42" s="353">
        <f t="shared" si="1"/>
        <v>7.4999999999999997E-2</v>
      </c>
      <c r="Q42" s="353">
        <f t="shared" si="2"/>
        <v>0.10612244897959183</v>
      </c>
      <c r="Z42" s="254"/>
    </row>
    <row r="43" spans="3:26">
      <c r="C43" s="350">
        <f t="shared" si="12"/>
        <v>46022</v>
      </c>
      <c r="D43" s="351">
        <f t="shared" si="3"/>
        <v>12</v>
      </c>
      <c r="E43" s="352">
        <f t="shared" si="4"/>
        <v>2025</v>
      </c>
      <c r="F43" s="9">
        <v>425</v>
      </c>
      <c r="G43" s="9">
        <v>111</v>
      </c>
      <c r="H43" s="9">
        <v>23</v>
      </c>
      <c r="I43" s="9">
        <v>17</v>
      </c>
      <c r="J43" s="356">
        <f t="shared" si="5"/>
        <v>0.26117647058823529</v>
      </c>
      <c r="K43" s="356">
        <f t="shared" si="6"/>
        <v>0.2072072072072072</v>
      </c>
      <c r="L43" s="356">
        <f t="shared" si="7"/>
        <v>5.4117647058823527E-2</v>
      </c>
      <c r="N43" s="353">
        <f t="shared" si="14"/>
        <v>9.6855059252506842E-2</v>
      </c>
      <c r="O43" s="353">
        <f t="shared" si="0"/>
        <v>0.12117903930131005</v>
      </c>
      <c r="P43" s="353">
        <f t="shared" si="1"/>
        <v>9.583333333333334E-2</v>
      </c>
      <c r="Q43" s="353">
        <f t="shared" si="2"/>
        <v>6.9387755102040816E-2</v>
      </c>
      <c r="Z43" s="254"/>
    </row>
    <row r="44" spans="3:26">
      <c r="C44" s="350">
        <f t="shared" si="12"/>
        <v>46053</v>
      </c>
      <c r="D44" s="351">
        <f t="shared" si="3"/>
        <v>1</v>
      </c>
      <c r="E44" s="352">
        <f t="shared" si="4"/>
        <v>2026</v>
      </c>
      <c r="F44" s="9">
        <v>493</v>
      </c>
      <c r="G44" s="9">
        <v>128</v>
      </c>
      <c r="H44" s="9">
        <v>28</v>
      </c>
      <c r="I44" s="9">
        <v>7</v>
      </c>
      <c r="J44" s="356">
        <f t="shared" ref="J44:J50" si="15">IFERROR(G44/F44,"-")</f>
        <v>0.25963488843813387</v>
      </c>
      <c r="K44" s="356">
        <f t="shared" ref="K44:K50" si="16">IFERROR(H44/G44,"-")</f>
        <v>0.21875</v>
      </c>
      <c r="L44" s="356">
        <f t="shared" ref="L44:L50" si="17">IFERROR(H44/F44,"-")</f>
        <v>5.6795131845841784E-2</v>
      </c>
    </row>
    <row r="45" spans="3:26">
      <c r="C45" s="350">
        <f t="shared" si="12"/>
        <v>46081</v>
      </c>
      <c r="D45" s="351">
        <f t="shared" si="3"/>
        <v>2</v>
      </c>
      <c r="E45" s="352">
        <f t="shared" si="4"/>
        <v>2026</v>
      </c>
      <c r="F45" s="9">
        <v>323</v>
      </c>
      <c r="G45" s="9">
        <v>102</v>
      </c>
      <c r="H45" s="9">
        <v>25</v>
      </c>
      <c r="I45" s="9">
        <v>14</v>
      </c>
      <c r="J45" s="356">
        <f t="shared" si="15"/>
        <v>0.31578947368421051</v>
      </c>
      <c r="K45" s="356">
        <f t="shared" si="16"/>
        <v>0.24509803921568626</v>
      </c>
      <c r="L45" s="356">
        <f t="shared" si="17"/>
        <v>7.7399380804953566E-2</v>
      </c>
    </row>
    <row r="46" spans="3:26">
      <c r="C46" s="350">
        <f t="shared" si="12"/>
        <v>46112</v>
      </c>
      <c r="D46" s="351">
        <f t="shared" si="3"/>
        <v>3</v>
      </c>
      <c r="E46" s="352">
        <f t="shared" si="4"/>
        <v>2026</v>
      </c>
      <c r="F46" s="9">
        <v>359</v>
      </c>
      <c r="G46" s="9">
        <v>107</v>
      </c>
      <c r="H46" s="9">
        <v>25</v>
      </c>
      <c r="I46" s="9">
        <v>19</v>
      </c>
      <c r="J46" s="356">
        <f t="shared" si="15"/>
        <v>0.29805013927576601</v>
      </c>
      <c r="K46" s="356">
        <f t="shared" si="16"/>
        <v>0.23364485981308411</v>
      </c>
      <c r="L46" s="356">
        <f t="shared" si="17"/>
        <v>6.9637883008356549E-2</v>
      </c>
    </row>
    <row r="47" spans="3:26">
      <c r="C47" s="350">
        <f t="shared" si="12"/>
        <v>46142</v>
      </c>
      <c r="D47" s="351">
        <f t="shared" si="3"/>
        <v>4</v>
      </c>
      <c r="E47" s="352">
        <f t="shared" si="4"/>
        <v>2026</v>
      </c>
      <c r="F47" s="9">
        <v>317</v>
      </c>
      <c r="G47" s="9">
        <v>79</v>
      </c>
      <c r="H47" s="9">
        <v>18</v>
      </c>
      <c r="I47" s="9">
        <v>13</v>
      </c>
      <c r="J47" s="356">
        <f t="shared" si="15"/>
        <v>0.24921135646687698</v>
      </c>
      <c r="K47" s="356">
        <f t="shared" si="16"/>
        <v>0.22784810126582278</v>
      </c>
      <c r="L47" s="356">
        <f t="shared" si="17"/>
        <v>5.6782334384858045E-2</v>
      </c>
    </row>
    <row r="48" spans="3:26">
      <c r="C48" s="350">
        <f t="shared" si="12"/>
        <v>46173</v>
      </c>
      <c r="D48" s="351">
        <f t="shared" si="3"/>
        <v>5</v>
      </c>
      <c r="E48" s="352">
        <f t="shared" si="4"/>
        <v>2026</v>
      </c>
      <c r="F48" s="9">
        <v>333</v>
      </c>
      <c r="G48" s="9">
        <v>54</v>
      </c>
      <c r="H48" s="9">
        <v>13</v>
      </c>
      <c r="I48" s="9">
        <v>23</v>
      </c>
      <c r="J48" s="356">
        <f t="shared" si="15"/>
        <v>0.16216216216216217</v>
      </c>
      <c r="K48" s="356">
        <f t="shared" si="16"/>
        <v>0.24074074074074073</v>
      </c>
      <c r="L48" s="356">
        <f t="shared" si="17"/>
        <v>3.903903903903904E-2</v>
      </c>
    </row>
    <row r="49" spans="3:12">
      <c r="C49" s="350">
        <f t="shared" si="12"/>
        <v>46203</v>
      </c>
      <c r="D49" s="351">
        <f t="shared" si="3"/>
        <v>6</v>
      </c>
      <c r="E49" s="352">
        <f t="shared" si="4"/>
        <v>2026</v>
      </c>
      <c r="F49" s="9">
        <v>300</v>
      </c>
      <c r="G49" s="9">
        <v>84</v>
      </c>
      <c r="H49" s="9">
        <v>12</v>
      </c>
      <c r="I49" s="9">
        <v>20</v>
      </c>
      <c r="J49" s="356">
        <f t="shared" si="15"/>
        <v>0.28000000000000003</v>
      </c>
      <c r="K49" s="356">
        <f t="shared" si="16"/>
        <v>0.14285714285714285</v>
      </c>
      <c r="L49" s="356">
        <f t="shared" si="17"/>
        <v>0.04</v>
      </c>
    </row>
    <row r="50" spans="3:12">
      <c r="C50" s="350">
        <f t="shared" si="12"/>
        <v>46234</v>
      </c>
      <c r="D50" s="351">
        <f t="shared" si="3"/>
        <v>7</v>
      </c>
      <c r="E50" s="352">
        <f t="shared" si="4"/>
        <v>2026</v>
      </c>
      <c r="F50" s="9">
        <v>330</v>
      </c>
      <c r="G50" s="9">
        <v>68</v>
      </c>
      <c r="H50" s="9">
        <v>25</v>
      </c>
      <c r="I50" s="9">
        <v>19</v>
      </c>
      <c r="J50" s="356">
        <f t="shared" si="15"/>
        <v>0.20606060606060606</v>
      </c>
      <c r="K50" s="356">
        <f t="shared" si="16"/>
        <v>0.36764705882352944</v>
      </c>
      <c r="L50" s="356">
        <f t="shared" si="17"/>
        <v>7.575757575757576E-2</v>
      </c>
    </row>
    <row r="51" spans="3:12">
      <c r="F51" s="9"/>
      <c r="G51" s="9"/>
      <c r="H51" s="9"/>
      <c r="I51" s="9"/>
    </row>
    <row r="52" spans="3:12">
      <c r="C52" s="30">
        <v>2023</v>
      </c>
      <c r="F52" s="95" t="str">
        <f>IFERROR(AVERAGEIFS(F$8:F$50,$E$8:$E$50,$C52),"-")</f>
        <v>-</v>
      </c>
      <c r="G52" s="95">
        <f t="shared" ref="G52:I54" si="18">IFERROR(AVERAGEIFS(G$8:G$50,$E$8:$E$50,$C52),"-")</f>
        <v>60.333333333333336</v>
      </c>
      <c r="H52" s="95">
        <f t="shared" si="18"/>
        <v>26.416666666666668</v>
      </c>
      <c r="I52" s="95">
        <f t="shared" si="18"/>
        <v>23.5</v>
      </c>
      <c r="J52" s="366" t="str">
        <f t="shared" ref="J52:J55" si="19">IFERROR(G52/F52,"-")</f>
        <v>-</v>
      </c>
      <c r="K52" s="366">
        <f t="shared" ref="K52:K55" si="20">IFERROR(H52/G52,"-")</f>
        <v>0.43784530386740333</v>
      </c>
      <c r="L52" s="366" t="str">
        <f t="shared" ref="L52:L55" si="21">IFERROR(H52/F52,"-")</f>
        <v>-</v>
      </c>
    </row>
    <row r="53" spans="3:12">
      <c r="C53" s="30">
        <v>2024</v>
      </c>
      <c r="F53" s="95">
        <f t="shared" ref="F53:F54" si="22">IFERROR(AVERAGEIFS(F$8:F$50,$E$8:$E$50,$C53),"-")</f>
        <v>310.41666666666669</v>
      </c>
      <c r="G53" s="95">
        <f t="shared" si="18"/>
        <v>58.833333333333336</v>
      </c>
      <c r="H53" s="95">
        <f t="shared" si="18"/>
        <v>21.916666666666668</v>
      </c>
      <c r="I53" s="95">
        <f t="shared" si="18"/>
        <v>21.583333333333332</v>
      </c>
      <c r="J53" s="366">
        <f t="shared" si="19"/>
        <v>0.18953020134228188</v>
      </c>
      <c r="K53" s="366">
        <f t="shared" si="20"/>
        <v>0.37252124645892354</v>
      </c>
      <c r="L53" s="366">
        <f t="shared" si="21"/>
        <v>7.0604026845637588E-2</v>
      </c>
    </row>
    <row r="54" spans="3:12">
      <c r="C54" s="30">
        <v>2025</v>
      </c>
      <c r="F54" s="95">
        <f t="shared" si="22"/>
        <v>365.66666666666669</v>
      </c>
      <c r="G54" s="95">
        <f t="shared" si="18"/>
        <v>76.333333333333329</v>
      </c>
      <c r="H54" s="95">
        <f t="shared" si="18"/>
        <v>20</v>
      </c>
      <c r="I54" s="95">
        <f t="shared" si="18"/>
        <v>20.416666666666668</v>
      </c>
      <c r="J54" s="366">
        <f t="shared" si="19"/>
        <v>0.20875113947128529</v>
      </c>
      <c r="K54" s="366">
        <f t="shared" si="20"/>
        <v>0.26200873362445415</v>
      </c>
      <c r="L54" s="366">
        <f t="shared" si="21"/>
        <v>5.4694621695533269E-2</v>
      </c>
    </row>
    <row r="55" spans="3:12">
      <c r="C55" s="30" t="s">
        <v>292</v>
      </c>
      <c r="F55" s="95">
        <f>AVERAGE(F39:F50)</f>
        <v>356.66666666666669</v>
      </c>
      <c r="G55" s="95">
        <f t="shared" ref="G55:I55" si="23">AVERAGE(G39:G50)</f>
        <v>91.083333333333329</v>
      </c>
      <c r="H55" s="95">
        <f t="shared" si="23"/>
        <v>21.25</v>
      </c>
      <c r="I55" s="95">
        <f t="shared" si="23"/>
        <v>18.916666666666668</v>
      </c>
      <c r="J55" s="366">
        <f t="shared" si="19"/>
        <v>0.25537383177570089</v>
      </c>
      <c r="K55" s="366">
        <f t="shared" si="20"/>
        <v>0.23330283623055811</v>
      </c>
      <c r="L55" s="366">
        <f t="shared" si="21"/>
        <v>5.9579439252336448E-2</v>
      </c>
    </row>
    <row r="56" spans="3:12" ht="5.15" customHeight="1"/>
    <row r="57" spans="3:12">
      <c r="C57" t="s">
        <v>753</v>
      </c>
      <c r="F57" s="95">
        <f t="shared" ref="F57:L57" si="24">AVERAGE(F8:F50)</f>
        <v>340.90322580645159</v>
      </c>
      <c r="G57" s="95">
        <f t="shared" si="24"/>
        <v>69.023255813953483</v>
      </c>
      <c r="H57" s="95">
        <f t="shared" si="24"/>
        <v>22.465116279069768</v>
      </c>
      <c r="I57" s="95">
        <f t="shared" si="24"/>
        <v>20.953488372093023</v>
      </c>
      <c r="J57" s="356">
        <f t="shared" si="24"/>
        <v>0.21344348400826338</v>
      </c>
      <c r="K57" s="356">
        <f t="shared" si="24"/>
        <v>0.3428314572939809</v>
      </c>
      <c r="L57" s="356">
        <f t="shared" si="24"/>
        <v>6.2906371075980905E-2</v>
      </c>
    </row>
    <row r="58" spans="3:12">
      <c r="F58" s="95">
        <f>F55*12</f>
        <v>4280</v>
      </c>
      <c r="G58" s="95">
        <f t="shared" ref="G58:I58" si="25">G55*12</f>
        <v>1093</v>
      </c>
      <c r="H58" s="95">
        <f t="shared" si="25"/>
        <v>255</v>
      </c>
      <c r="I58" s="95">
        <f t="shared" si="25"/>
        <v>227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1696-6894-4B0E-93B8-01501BCF145C}">
  <sheetPr codeName="Sheet14">
    <tabColor theme="2"/>
  </sheetPr>
  <dimension ref="A2:AR64"/>
  <sheetViews>
    <sheetView showGridLines="0" zoomScale="86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4.5" outlineLevelCol="1"/>
  <cols>
    <col min="1" max="1" width="14.7265625" bestFit="1" customWidth="1" outlineLevel="1"/>
    <col min="2" max="2" width="1.7265625" customWidth="1"/>
    <col min="3" max="3" width="30.54296875" bestFit="1" customWidth="1"/>
    <col min="4" max="4" width="20.7265625" customWidth="1"/>
    <col min="5" max="5" width="1.7265625" style="103" customWidth="1"/>
    <col min="6" max="10" width="20.7265625" customWidth="1"/>
    <col min="11" max="11" width="1.7265625" style="103" customWidth="1"/>
    <col min="12" max="44" width="15.7265625" customWidth="1"/>
  </cols>
  <sheetData>
    <row r="2" spans="1:44" ht="5.15" customHeight="1"/>
    <row r="3" spans="1:44">
      <c r="C3" s="1" t="s">
        <v>242</v>
      </c>
    </row>
    <row r="4" spans="1:44">
      <c r="C4" t="s">
        <v>258</v>
      </c>
      <c r="E4"/>
      <c r="K4"/>
    </row>
    <row r="5" spans="1:44">
      <c r="C5" s="19">
        <v>2025</v>
      </c>
      <c r="D5" s="7"/>
      <c r="E5" s="7"/>
      <c r="F5" s="7"/>
      <c r="G5" s="7"/>
      <c r="H5" s="7"/>
      <c r="I5" s="7"/>
      <c r="J5" s="7"/>
      <c r="K5" s="7"/>
      <c r="L5" s="7"/>
    </row>
    <row r="6" spans="1:44" s="112" customFormat="1" ht="12">
      <c r="C6" s="112" t="s">
        <v>334</v>
      </c>
      <c r="E6" s="113"/>
      <c r="J6" s="373"/>
      <c r="K6" s="113"/>
      <c r="L6" s="113" t="str">
        <f>INDEX('Monthly Events per venue'!$E:$E,MATCH(L$8,'Monthly Events per venue'!$C:$C,0))</f>
        <v>DFW</v>
      </c>
      <c r="M6" s="113" t="str">
        <f>INDEX('Monthly Events per venue'!$E:$E,MATCH(M$8,'Monthly Events per venue'!$C:$C,0))</f>
        <v>DFW</v>
      </c>
      <c r="N6" s="113" t="str">
        <f>INDEX('Monthly Events per venue'!$E:$E,MATCH(N$8,'Monthly Events per venue'!$C:$C,0))</f>
        <v>DFW</v>
      </c>
      <c r="O6" s="113" t="str">
        <f>INDEX('Monthly Events per venue'!$E:$E,MATCH(O$8,'Monthly Events per venue'!$C:$C,0))</f>
        <v>DFW</v>
      </c>
      <c r="P6" s="113" t="str">
        <f>INDEX('Monthly Events per venue'!$E:$E,MATCH(P$8,'Monthly Events per venue'!$C:$C,0))</f>
        <v>DFW</v>
      </c>
      <c r="Q6" s="113" t="str">
        <f>INDEX('Monthly Events per venue'!$E:$E,MATCH(Q$8,'Monthly Events per venue'!$C:$C,0))</f>
        <v>DFW</v>
      </c>
      <c r="R6" s="113" t="str">
        <f>INDEX('Monthly Events per venue'!$E:$E,MATCH(R$8,'Monthly Events per venue'!$C:$C,0))</f>
        <v>DFW</v>
      </c>
      <c r="S6" s="113" t="str">
        <f>INDEX('Monthly Events per venue'!$E:$E,MATCH(S$8,'Monthly Events per venue'!$C:$C,0))</f>
        <v>DFW</v>
      </c>
      <c r="T6" s="113" t="str">
        <f>INDEX('Monthly Events per venue'!$E:$E,MATCH(T$8,'Monthly Events per venue'!$C:$C,0))</f>
        <v>DFW</v>
      </c>
      <c r="U6" s="113" t="str">
        <f>INDEX('Monthly Events per venue'!$E:$E,MATCH(U$8,'Monthly Events per venue'!$C:$C,0))</f>
        <v>DFW</v>
      </c>
      <c r="V6" s="113" t="str">
        <f>INDEX('Monthly Events per venue'!$E:$E,MATCH(V$8,'Monthly Events per venue'!$C:$C,0))</f>
        <v>DFW</v>
      </c>
      <c r="W6" s="113" t="str">
        <f>INDEX('Monthly Events per venue'!$E:$E,MATCH(W$8,'Monthly Events per venue'!$C:$C,0))</f>
        <v>DFW</v>
      </c>
      <c r="X6" s="113" t="str">
        <f>INDEX('Monthly Events per venue'!$E:$E,MATCH(X$8,'Monthly Events per venue'!$C:$C,0))</f>
        <v>DFW</v>
      </c>
      <c r="Y6" s="113" t="str">
        <f>INDEX('Monthly Events per venue'!$E:$E,MATCH(Y$8,'Monthly Events per venue'!$C:$C,0))</f>
        <v>DFW</v>
      </c>
      <c r="Z6" s="113" t="str">
        <f>INDEX('Monthly Events per venue'!$E:$E,MATCH(Z$8,'Monthly Events per venue'!$C:$C,0))</f>
        <v>DFW</v>
      </c>
      <c r="AA6" s="113" t="str">
        <f>INDEX('Monthly Events per venue'!$E:$E,MATCH(AA$8,'Monthly Events per venue'!$C:$C,0))</f>
        <v>DFW</v>
      </c>
      <c r="AB6" s="113" t="str">
        <f>INDEX('Monthly Events per venue'!$E:$E,MATCH(AB$8,'Monthly Events per venue'!$C:$C,0))</f>
        <v>DFW</v>
      </c>
      <c r="AC6" s="113" t="str">
        <f>INDEX('Monthly Events per venue'!$E:$E,MATCH(AC$8,'Monthly Events per venue'!$C:$C,0))</f>
        <v>HC</v>
      </c>
      <c r="AD6" s="113" t="e">
        <f>INDEX('Monthly Events per venue'!$E:$E,MATCH(AD$8,'Monthly Events per venue'!$C:$C,0))</f>
        <v>#N/A</v>
      </c>
      <c r="AE6" s="113" t="str">
        <f>INDEX('Monthly Events per venue'!$E:$E,MATCH(AE$8,'Monthly Events per venue'!$C:$C,0))</f>
        <v>HC</v>
      </c>
      <c r="AF6" s="113" t="str">
        <f>INDEX('Monthly Events per venue'!$E:$E,MATCH(AF$8,'Monthly Events per venue'!$C:$C,0))</f>
        <v>HC</v>
      </c>
      <c r="AG6" s="113" t="str">
        <f>INDEX('Monthly Events per venue'!$E:$E,MATCH(AG$8,'Monthly Events per venue'!$C:$C,0))</f>
        <v>HC</v>
      </c>
      <c r="AH6" s="113" t="str">
        <f>INDEX('Monthly Events per venue'!$E:$E,MATCH(AH$8,'Monthly Events per venue'!$C:$C,0))</f>
        <v>HC</v>
      </c>
      <c r="AI6" s="113" t="str">
        <f>INDEX('Monthly Events per venue'!$E:$E,MATCH(AI$8,'Monthly Events per venue'!$C:$C,0))</f>
        <v>HC</v>
      </c>
      <c r="AJ6" s="113" t="str">
        <f>INDEX('Monthly Events per venue'!$E:$E,MATCH(AJ$8,'Monthly Events per venue'!$C:$C,0))</f>
        <v>HTX</v>
      </c>
      <c r="AK6" s="113" t="str">
        <f>INDEX('Monthly Events per venue'!$E:$E,MATCH(AK$8,'Monthly Events per venue'!$C:$C,0))</f>
        <v>HTX</v>
      </c>
      <c r="AL6" s="113" t="str">
        <f>INDEX('Monthly Events per venue'!$E:$E,MATCH(AL$8,'Monthly Events per venue'!$C:$C,0))</f>
        <v>HTX</v>
      </c>
      <c r="AM6" s="113" t="str">
        <f>INDEX('Monthly Events per venue'!$E:$E,MATCH(AM$8,'Monthly Events per venue'!$C:$C,0))</f>
        <v>HTX</v>
      </c>
      <c r="AN6" s="113" t="str">
        <f>INDEX('Monthly Events per venue'!$E:$E,MATCH(AN$8,'Monthly Events per venue'!$C:$C,0))</f>
        <v>HTX</v>
      </c>
      <c r="AO6" s="113" t="str">
        <f>INDEX('Monthly Events per venue'!$E:$E,MATCH(AO$8,'Monthly Events per venue'!$C:$C,0))</f>
        <v>HTX</v>
      </c>
      <c r="AP6" s="113" t="str">
        <f>INDEX('Monthly Events per venue'!$E:$E,MATCH(AP$8,'Monthly Events per venue'!$C:$C,0))</f>
        <v>HTX</v>
      </c>
      <c r="AQ6" s="113" t="str">
        <f>INDEX('Monthly Events per venue'!$E:$E,MATCH(AQ$8,'Monthly Events per venue'!$C:$C,0))</f>
        <v>ATL</v>
      </c>
      <c r="AR6" s="113" t="str">
        <f>INDEX('Monthly Events per venue'!$E:$E,MATCH(AR$8,'Monthly Events per venue'!$C:$C,0))</f>
        <v>DFW</v>
      </c>
    </row>
    <row r="7" spans="1:44" ht="16">
      <c r="C7" s="2"/>
      <c r="D7" s="2"/>
      <c r="E7" s="104"/>
      <c r="F7" s="2" t="s">
        <v>334</v>
      </c>
      <c r="G7" s="2"/>
      <c r="H7" s="2"/>
      <c r="I7" s="2"/>
      <c r="J7" s="2"/>
      <c r="K7" s="104"/>
      <c r="L7" s="44" t="s">
        <v>255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 spans="1:44" ht="48">
      <c r="C8" s="2" t="s">
        <v>259</v>
      </c>
      <c r="D8" s="2" t="s">
        <v>248</v>
      </c>
      <c r="E8" s="104"/>
      <c r="F8" s="2" t="s">
        <v>348</v>
      </c>
      <c r="G8" s="2" t="s">
        <v>465</v>
      </c>
      <c r="H8" s="2" t="s">
        <v>369</v>
      </c>
      <c r="I8" s="2" t="s">
        <v>377</v>
      </c>
      <c r="J8" s="2" t="s">
        <v>385</v>
      </c>
      <c r="K8" s="104"/>
      <c r="L8" s="44" t="s">
        <v>347</v>
      </c>
      <c r="M8" s="44" t="s">
        <v>350</v>
      </c>
      <c r="N8" s="44" t="s">
        <v>351</v>
      </c>
      <c r="O8" s="44" t="s">
        <v>352</v>
      </c>
      <c r="P8" s="44" t="s">
        <v>353</v>
      </c>
      <c r="Q8" s="44" t="s">
        <v>354</v>
      </c>
      <c r="R8" s="44" t="s">
        <v>356</v>
      </c>
      <c r="S8" s="44" t="s">
        <v>357</v>
      </c>
      <c r="T8" s="44" t="s">
        <v>358</v>
      </c>
      <c r="U8" s="44" t="s">
        <v>359</v>
      </c>
      <c r="V8" s="44" t="s">
        <v>360</v>
      </c>
      <c r="W8" s="44" t="s">
        <v>361</v>
      </c>
      <c r="X8" s="44" t="s">
        <v>362</v>
      </c>
      <c r="Y8" s="44" t="s">
        <v>364</v>
      </c>
      <c r="Z8" s="44" t="s">
        <v>365</v>
      </c>
      <c r="AA8" s="44" t="s">
        <v>366</v>
      </c>
      <c r="AB8" s="44" t="s">
        <v>367</v>
      </c>
      <c r="AC8" s="44" t="s">
        <v>368</v>
      </c>
      <c r="AD8" s="44" t="s">
        <v>370</v>
      </c>
      <c r="AE8" s="44" t="s">
        <v>371</v>
      </c>
      <c r="AF8" s="44" t="s">
        <v>372</v>
      </c>
      <c r="AG8" s="44" t="s">
        <v>373</v>
      </c>
      <c r="AH8" s="44" t="s">
        <v>374</v>
      </c>
      <c r="AI8" s="44" t="s">
        <v>375</v>
      </c>
      <c r="AJ8" s="44" t="s">
        <v>376</v>
      </c>
      <c r="AK8" s="44" t="s">
        <v>378</v>
      </c>
      <c r="AL8" s="44" t="s">
        <v>379</v>
      </c>
      <c r="AM8" s="44" t="s">
        <v>380</v>
      </c>
      <c r="AN8" s="44" t="s">
        <v>381</v>
      </c>
      <c r="AO8" s="44" t="s">
        <v>382</v>
      </c>
      <c r="AP8" s="44" t="s">
        <v>383</v>
      </c>
      <c r="AQ8" s="44" t="s">
        <v>384</v>
      </c>
      <c r="AR8" s="44" t="s">
        <v>386</v>
      </c>
    </row>
    <row r="9" spans="1:44" ht="5.15" customHeight="1"/>
    <row r="10" spans="1:44">
      <c r="C10" s="20" t="s">
        <v>260</v>
      </c>
    </row>
    <row r="11" spans="1:44">
      <c r="C11" s="4" t="s">
        <v>261</v>
      </c>
      <c r="D11" s="9">
        <f>SUMIFS('Monthly Events per venue'!$D$40:$D$73,'Monthly Events per venue'!$AS$40:$AS$73,"&gt;"&amp;0)</f>
        <v>41</v>
      </c>
      <c r="E11" s="105"/>
      <c r="F11" s="9">
        <f>SUMIFS('Monthly Events per venue'!$D$40:$D$73,'Monthly Events per venue'!$AS$40:$AS$73,"&gt;"&amp;0,'Monthly Events per venue'!$E$40:$E$73,F$8)</f>
        <v>22</v>
      </c>
      <c r="G11" s="9">
        <f>F11-U11-V11</f>
        <v>19</v>
      </c>
      <c r="H11" s="9">
        <f>SUMIFS('Monthly Events per venue'!$D$40:$D$73,'Monthly Events per venue'!$AS$40:$AS$73,"&gt;"&amp;0,'Monthly Events per venue'!$E$40:$E$73,H$8)</f>
        <v>8</v>
      </c>
      <c r="I11" s="9">
        <f>SUMIFS('Monthly Events per venue'!$D$40:$D$73,'Monthly Events per venue'!$AS$40:$AS$73,"&gt;"&amp;0,'Monthly Events per venue'!$E$40:$E$73,I$8)</f>
        <v>10</v>
      </c>
      <c r="J11" s="9">
        <f>SUMIFS('Monthly Events per venue'!$D$40:$D$73,'Monthly Events per venue'!$AS$40:$AS$73,"&gt;"&amp;0,'Monthly Events per venue'!$E$40:$E$73,J$8)</f>
        <v>1</v>
      </c>
      <c r="K11" s="105"/>
      <c r="L11" s="9">
        <f>INDEX('Monthly Events per venue'!$D:$D,MATCH(L$8,'Monthly Events per venue'!$C:$C,0))</f>
        <v>1</v>
      </c>
      <c r="M11" s="9">
        <f>INDEX('Monthly Events per venue'!$D:$D,MATCH(M$8,'Monthly Events per venue'!$C:$C,0))</f>
        <v>2</v>
      </c>
      <c r="N11" s="9">
        <f>INDEX('Monthly Events per venue'!$D:$D,MATCH(N$8,'Monthly Events per venue'!$C:$C,0))</f>
        <v>2</v>
      </c>
      <c r="O11" s="9">
        <f>INDEX('Monthly Events per venue'!$D:$D,MATCH(O$8,'Monthly Events per venue'!$C:$C,0))</f>
        <v>1</v>
      </c>
      <c r="P11" s="9">
        <f>INDEX('Monthly Events per venue'!$D:$D,MATCH(P$8,'Monthly Events per venue'!$C:$C,0))</f>
        <v>1</v>
      </c>
      <c r="Q11" s="9">
        <f>INDEX('Monthly Events per venue'!$D:$D,MATCH(Q$8,'Monthly Events per venue'!$C:$C,0))</f>
        <v>1</v>
      </c>
      <c r="R11" s="9">
        <f>INDEX('Monthly Events per venue'!$D:$D,MATCH(R$8,'Monthly Events per venue'!$C:$C,0))</f>
        <v>1</v>
      </c>
      <c r="S11" s="9">
        <f>INDEX('Monthly Events per venue'!$D:$D,MATCH(S$8,'Monthly Events per venue'!$C:$C,0))</f>
        <v>2</v>
      </c>
      <c r="T11" s="9">
        <f>INDEX('Monthly Events per venue'!$D:$D,MATCH(T$8,'Monthly Events per venue'!$C:$C,0))</f>
        <v>1</v>
      </c>
      <c r="U11" s="9">
        <f>INDEX('Monthly Events per venue'!$D:$D,MATCH(U$8,'Monthly Events per venue'!$C:$C,0))</f>
        <v>1</v>
      </c>
      <c r="V11" s="9">
        <f>INDEX('Monthly Events per venue'!$D:$D,MATCH(V$8,'Monthly Events per venue'!$C:$C,0))</f>
        <v>2</v>
      </c>
      <c r="W11" s="9">
        <f>INDEX('Monthly Events per venue'!$D:$D,MATCH(W$8,'Monthly Events per venue'!$C:$C,0))</f>
        <v>1</v>
      </c>
      <c r="X11" s="9">
        <f>INDEX('Monthly Events per venue'!$D:$D,MATCH(X$8,'Monthly Events per venue'!$C:$C,0))</f>
        <v>1</v>
      </c>
      <c r="Y11" s="9">
        <f>INDEX('Monthly Events per venue'!$D:$D,MATCH(Y$8,'Monthly Events per venue'!$C:$C,0))</f>
        <v>1</v>
      </c>
      <c r="Z11" s="9">
        <f>INDEX('Monthly Events per venue'!$D:$D,MATCH(Z$8,'Monthly Events per venue'!$C:$C,0))</f>
        <v>1</v>
      </c>
      <c r="AA11" s="9">
        <f>INDEX('Monthly Events per venue'!$D:$D,MATCH(AA$8,'Monthly Events per venue'!$C:$C,0))</f>
        <v>1</v>
      </c>
      <c r="AB11" s="9">
        <f>INDEX('Monthly Events per venue'!$D:$D,MATCH(AB$8,'Monthly Events per venue'!$C:$C,0))</f>
        <v>1</v>
      </c>
      <c r="AC11" s="9">
        <f>INDEX('Monthly Events per venue'!$D:$D,MATCH(AC$8,'Monthly Events per venue'!$C:$C,0))</f>
        <v>2</v>
      </c>
      <c r="AD11" s="9" t="e">
        <f>INDEX('Monthly Events per venue'!$D:$D,MATCH(AD$8,'Monthly Events per venue'!$C:$C,0))</f>
        <v>#N/A</v>
      </c>
      <c r="AE11" s="9">
        <f>INDEX('Monthly Events per venue'!$D:$D,MATCH(AE$8,'Monthly Events per venue'!$C:$C,0))</f>
        <v>2</v>
      </c>
      <c r="AF11" s="9">
        <f>INDEX('Monthly Events per venue'!$D:$D,MATCH(AF$8,'Monthly Events per venue'!$C:$C,0))</f>
        <v>1</v>
      </c>
      <c r="AG11" s="9">
        <f>INDEX('Monthly Events per venue'!$D:$D,MATCH(AG$8,'Monthly Events per venue'!$C:$C,0))</f>
        <v>1</v>
      </c>
      <c r="AH11" s="9">
        <f>INDEX('Monthly Events per venue'!$D:$D,MATCH(AH$8,'Monthly Events per venue'!$C:$C,0))</f>
        <v>2</v>
      </c>
      <c r="AI11" s="9">
        <f>INDEX('Monthly Events per venue'!$D:$D,MATCH(AI$8,'Monthly Events per venue'!$C:$C,0))</f>
        <v>1</v>
      </c>
      <c r="AJ11" s="9">
        <f>INDEX('Monthly Events per venue'!$D:$D,MATCH(AJ$8,'Monthly Events per venue'!$C:$C,0))</f>
        <v>1</v>
      </c>
      <c r="AK11" s="9">
        <f>INDEX('Monthly Events per venue'!$D:$D,MATCH(AK$8,'Monthly Events per venue'!$C:$C,0))</f>
        <v>1</v>
      </c>
      <c r="AL11" s="9">
        <f>INDEX('Monthly Events per venue'!$D:$D,MATCH(AL$8,'Monthly Events per venue'!$C:$C,0))</f>
        <v>1</v>
      </c>
      <c r="AM11" s="9">
        <f>INDEX('Monthly Events per venue'!$D:$D,MATCH(AM$8,'Monthly Events per venue'!$C:$C,0))</f>
        <v>1</v>
      </c>
      <c r="AN11" s="9">
        <f>INDEX('Monthly Events per venue'!$D:$D,MATCH(AN$8,'Monthly Events per venue'!$C:$C,0))</f>
        <v>2</v>
      </c>
      <c r="AO11" s="9">
        <f>INDEX('Monthly Events per venue'!$D:$D,MATCH(AO$8,'Monthly Events per venue'!$C:$C,0))</f>
        <v>2</v>
      </c>
      <c r="AP11" s="9">
        <f>INDEX('Monthly Events per venue'!$D:$D,MATCH(AP$8,'Monthly Events per venue'!$C:$C,0))</f>
        <v>1</v>
      </c>
      <c r="AQ11" s="9">
        <f>INDEX('Monthly Events per venue'!$D:$D,MATCH(AQ$8,'Monthly Events per venue'!$C:$C,0))</f>
        <v>1</v>
      </c>
      <c r="AR11" s="9">
        <f>INDEX('Monthly Events per venue'!$D:$D,MATCH(AR$8,'Monthly Events per venue'!$C:$C,0))</f>
        <v>1</v>
      </c>
    </row>
    <row r="12" spans="1:44" ht="5.15" customHeight="1">
      <c r="C12" s="4"/>
      <c r="D12" s="9"/>
      <c r="E12" s="105"/>
      <c r="F12" s="9"/>
      <c r="G12" s="9"/>
      <c r="H12" s="9"/>
      <c r="I12" s="9"/>
      <c r="J12" s="9"/>
      <c r="K12" s="10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1:44">
      <c r="A13" s="63" t="s">
        <v>387</v>
      </c>
      <c r="C13" s="4" t="s">
        <v>262</v>
      </c>
      <c r="D13" s="9">
        <f>SUMIFS('Monthly Events per venue'!$AS:$AS,'Monthly Events per venue'!$B:$B,$A13)</f>
        <v>3035</v>
      </c>
      <c r="E13" s="105"/>
      <c r="F13" s="9">
        <f>SUMIFS('Monthly Events per venue'!$AS:$AS,'Monthly Events per venue'!$B:$B,$A13,'Monthly Events per venue'!$E:$E,F$8)</f>
        <v>1614</v>
      </c>
      <c r="G13" s="9">
        <f t="shared" ref="G13:G18" si="0">F13-U13-V13</f>
        <v>1431</v>
      </c>
      <c r="H13" s="9">
        <f>SUMIFS('Monthly Events per venue'!$AS:$AS,'Monthly Events per venue'!$B:$B,$A13,'Monthly Events per venue'!$E:$E,H$8)</f>
        <v>470</v>
      </c>
      <c r="I13" s="9">
        <f>SUMIFS('Monthly Events per venue'!$AS:$AS,'Monthly Events per venue'!$B:$B,$A13,'Monthly Events per venue'!$E:$E,I$8)</f>
        <v>706</v>
      </c>
      <c r="J13" s="9">
        <f>SUMIFS('Monthly Events per venue'!$AS:$AS,'Monthly Events per venue'!$B:$B,$A13,'Monthly Events per venue'!$E:$E,J$8)</f>
        <v>245</v>
      </c>
      <c r="K13" s="105"/>
      <c r="L13" s="9">
        <f>SUMIFS('Monthly Events per venue'!$AS:$AS,'Monthly Events per venue'!$B:$B,$A13,'Monthly Events per venue'!$C:$C,L$8)</f>
        <v>56</v>
      </c>
      <c r="M13" s="9">
        <f>SUMIFS('Monthly Events per venue'!$AS:$AS,'Monthly Events per venue'!$B:$B,$A13,'Monthly Events per venue'!$C:$C,M$8)</f>
        <v>91</v>
      </c>
      <c r="N13" s="9">
        <f>SUMIFS('Monthly Events per venue'!$AS:$AS,'Monthly Events per venue'!$B:$B,$A13,'Monthly Events per venue'!$C:$C,N$8)</f>
        <v>79</v>
      </c>
      <c r="O13" s="9">
        <f>SUMIFS('Monthly Events per venue'!$AS:$AS,'Monthly Events per venue'!$B:$B,$A13,'Monthly Events per venue'!$C:$C,O$8)</f>
        <v>142</v>
      </c>
      <c r="P13" s="9">
        <f>SUMIFS('Monthly Events per venue'!$AS:$AS,'Monthly Events per venue'!$B:$B,$A13,'Monthly Events per venue'!$C:$C,P$8)</f>
        <v>54</v>
      </c>
      <c r="Q13" s="9">
        <f>SUMIFS('Monthly Events per venue'!$AS:$AS,'Monthly Events per venue'!$B:$B,$A13,'Monthly Events per venue'!$C:$C,Q$8)</f>
        <v>147</v>
      </c>
      <c r="R13" s="9">
        <f>SUMIFS('Monthly Events per venue'!$AS:$AS,'Monthly Events per venue'!$B:$B,$A13,'Monthly Events per venue'!$C:$C,R$8)</f>
        <v>62</v>
      </c>
      <c r="S13" s="9">
        <f>SUMIFS('Monthly Events per venue'!$AS:$AS,'Monthly Events per venue'!$B:$B,$A13,'Monthly Events per venue'!$C:$C,S$8)</f>
        <v>112</v>
      </c>
      <c r="T13" s="9">
        <f>SUMIFS('Monthly Events per venue'!$AS:$AS,'Monthly Events per venue'!$B:$B,$A13,'Monthly Events per venue'!$C:$C,T$8)</f>
        <v>100</v>
      </c>
      <c r="U13" s="9">
        <f>SUMIFS('Monthly Events per venue'!$AS:$AS,'Monthly Events per venue'!$B:$B,$A13,'Monthly Events per venue'!$C:$C,U$8)</f>
        <v>140</v>
      </c>
      <c r="V13" s="9">
        <f>SUMIFS('Monthly Events per venue'!$AS:$AS,'Monthly Events per venue'!$B:$B,$A13,'Monthly Events per venue'!$C:$C,V$8)</f>
        <v>43</v>
      </c>
      <c r="W13" s="9">
        <f>SUMIFS('Monthly Events per venue'!$AS:$AS,'Monthly Events per venue'!$B:$B,$A13,'Monthly Events per venue'!$C:$C,W$8)</f>
        <v>69</v>
      </c>
      <c r="X13" s="9">
        <f>SUMIFS('Monthly Events per venue'!$AS:$AS,'Monthly Events per venue'!$B:$B,$A13,'Monthly Events per venue'!$C:$C,X$8)</f>
        <v>91</v>
      </c>
      <c r="Y13" s="9">
        <f>SUMIFS('Monthly Events per venue'!$AS:$AS,'Monthly Events per venue'!$B:$B,$A13,'Monthly Events per venue'!$C:$C,Y$8)</f>
        <v>85</v>
      </c>
      <c r="Z13" s="9">
        <f>SUMIFS('Monthly Events per venue'!$AS:$AS,'Monthly Events per venue'!$B:$B,$A13,'Monthly Events per venue'!$C:$C,Z$8)</f>
        <v>139</v>
      </c>
      <c r="AA13" s="9">
        <f>SUMIFS('Monthly Events per venue'!$AS:$AS,'Monthly Events per venue'!$B:$B,$A13,'Monthly Events per venue'!$C:$C,AA$8)</f>
        <v>65</v>
      </c>
      <c r="AB13" s="9">
        <f>SUMIFS('Monthly Events per venue'!$AS:$AS,'Monthly Events per venue'!$B:$B,$A13,'Monthly Events per venue'!$C:$C,AB$8)</f>
        <v>66</v>
      </c>
      <c r="AC13" s="9">
        <f>SUMIFS('Monthly Events per venue'!$AS:$AS,'Monthly Events per venue'!$B:$B,$A13,'Monthly Events per venue'!$C:$C,AC$8)</f>
        <v>131</v>
      </c>
      <c r="AD13" s="9">
        <f>SUMIFS('Monthly Events per venue'!$AS:$AS,'Monthly Events per venue'!$B:$B,$A13,'Monthly Events per venue'!$C:$C,AD$8)</f>
        <v>0</v>
      </c>
      <c r="AE13" s="9">
        <f>SUMIFS('Monthly Events per venue'!$AS:$AS,'Monthly Events per venue'!$B:$B,$A13,'Monthly Events per venue'!$C:$C,AE$8)</f>
        <v>0</v>
      </c>
      <c r="AF13" s="9">
        <f>SUMIFS('Monthly Events per venue'!$AS:$AS,'Monthly Events per venue'!$B:$B,$A13,'Monthly Events per venue'!$C:$C,AF$8)</f>
        <v>41</v>
      </c>
      <c r="AG13" s="9">
        <f>SUMIFS('Monthly Events per venue'!$AS:$AS,'Monthly Events per venue'!$B:$B,$A13,'Monthly Events per venue'!$C:$C,AG$8)</f>
        <v>81</v>
      </c>
      <c r="AH13" s="9">
        <f>SUMIFS('Monthly Events per venue'!$AS:$AS,'Monthly Events per venue'!$B:$B,$A13,'Monthly Events per venue'!$C:$C,AH$8)</f>
        <v>81</v>
      </c>
      <c r="AI13" s="9">
        <f>SUMIFS('Monthly Events per venue'!$AS:$AS,'Monthly Events per venue'!$B:$B,$A13,'Monthly Events per venue'!$C:$C,AI$8)</f>
        <v>42</v>
      </c>
      <c r="AJ13" s="9">
        <f>SUMIFS('Monthly Events per venue'!$AS:$AS,'Monthly Events per venue'!$B:$B,$A13,'Monthly Events per venue'!$C:$C,AJ$8)</f>
        <v>105</v>
      </c>
      <c r="AK13" s="9">
        <f>SUMIFS('Monthly Events per venue'!$AS:$AS,'Monthly Events per venue'!$B:$B,$A13,'Monthly Events per venue'!$C:$C,AK$8)</f>
        <v>101</v>
      </c>
      <c r="AL13" s="9">
        <f>SUMIFS('Monthly Events per venue'!$AS:$AS,'Monthly Events per venue'!$B:$B,$A13,'Monthly Events per venue'!$C:$C,AL$8)</f>
        <v>67</v>
      </c>
      <c r="AM13" s="9">
        <f>SUMIFS('Monthly Events per venue'!$AS:$AS,'Monthly Events per venue'!$B:$B,$A13,'Monthly Events per venue'!$C:$C,AM$8)</f>
        <v>83</v>
      </c>
      <c r="AN13" s="9">
        <f>SUMIFS('Monthly Events per venue'!$AS:$AS,'Monthly Events per venue'!$B:$B,$A13,'Monthly Events per venue'!$C:$C,AN$8)</f>
        <v>78</v>
      </c>
      <c r="AO13" s="9">
        <f>SUMIFS('Monthly Events per venue'!$AS:$AS,'Monthly Events per venue'!$B:$B,$A13,'Monthly Events per venue'!$C:$C,AO$8)</f>
        <v>195</v>
      </c>
      <c r="AP13" s="9">
        <f>SUMIFS('Monthly Events per venue'!$AS:$AS,'Monthly Events per venue'!$B:$B,$A13,'Monthly Events per venue'!$C:$C,AP$8)</f>
        <v>39</v>
      </c>
      <c r="AQ13" s="9">
        <f>SUMIFS('Monthly Events per venue'!$AS:$AS,'Monthly Events per venue'!$B:$B,$A13,'Monthly Events per venue'!$C:$C,AQ$8)</f>
        <v>245</v>
      </c>
      <c r="AR13" s="9">
        <f>SUMIFS('Monthly Events per venue'!$AS:$AS,'Monthly Events per venue'!$B:$B,$A13,'Monthly Events per venue'!$C:$C,AR$8)</f>
        <v>73</v>
      </c>
    </row>
    <row r="14" spans="1:44">
      <c r="A14" t="s">
        <v>249</v>
      </c>
      <c r="C14" s="4" t="s">
        <v>263</v>
      </c>
      <c r="D14" s="9">
        <f>SUMIFS('Monthly Events per venue'!$AS:$AS,'Monthly Events per venue'!$B:$B,$A14)</f>
        <v>2095</v>
      </c>
      <c r="E14" s="105"/>
      <c r="F14" s="9">
        <f>SUMIFS('Monthly Events per venue'!$AS:$AS,'Monthly Events per venue'!$B:$B,$A14,'Monthly Events per venue'!$E:$E,F$8)</f>
        <v>1071</v>
      </c>
      <c r="G14" s="9">
        <f t="shared" si="0"/>
        <v>925</v>
      </c>
      <c r="H14" s="9">
        <f>SUMIFS('Monthly Events per venue'!$AS:$AS,'Monthly Events per venue'!$B:$B,$A14,'Monthly Events per venue'!$E:$E,H$8)</f>
        <v>367</v>
      </c>
      <c r="I14" s="9">
        <f>SUMIFS('Monthly Events per venue'!$AS:$AS,'Monthly Events per venue'!$B:$B,$A14,'Monthly Events per venue'!$E:$E,I$8)</f>
        <v>469</v>
      </c>
      <c r="J14" s="9">
        <f>SUMIFS('Monthly Events per venue'!$AS:$AS,'Monthly Events per venue'!$B:$B,$A14,'Monthly Events per venue'!$E:$E,J$8)</f>
        <v>188</v>
      </c>
      <c r="K14" s="105"/>
      <c r="L14" s="9">
        <f>SUMIFS('Monthly Events per venue'!$AS:$AS,'Monthly Events per venue'!$B:$B,$A14,'Monthly Events per venue'!$C:$C,L$8)</f>
        <v>38</v>
      </c>
      <c r="M14" s="9">
        <f>SUMIFS('Monthly Events per venue'!$AS:$AS,'Monthly Events per venue'!$B:$B,$A14,'Monthly Events per venue'!$C:$C,M$8)</f>
        <v>42</v>
      </c>
      <c r="N14" s="9">
        <f>SUMIFS('Monthly Events per venue'!$AS:$AS,'Monthly Events per venue'!$B:$B,$A14,'Monthly Events per venue'!$C:$C,N$8)</f>
        <v>61</v>
      </c>
      <c r="O14" s="9">
        <f>SUMIFS('Monthly Events per venue'!$AS:$AS,'Monthly Events per venue'!$B:$B,$A14,'Monthly Events per venue'!$C:$C,O$8)</f>
        <v>107</v>
      </c>
      <c r="P14" s="9">
        <f>SUMIFS('Monthly Events per venue'!$AS:$AS,'Monthly Events per venue'!$B:$B,$A14,'Monthly Events per venue'!$C:$C,P$8)</f>
        <v>25</v>
      </c>
      <c r="Q14" s="9">
        <f>SUMIFS('Monthly Events per venue'!$AS:$AS,'Monthly Events per venue'!$B:$B,$A14,'Monthly Events per venue'!$C:$C,Q$8)</f>
        <v>112</v>
      </c>
      <c r="R14" s="9">
        <f>SUMIFS('Monthly Events per venue'!$AS:$AS,'Monthly Events per venue'!$B:$B,$A14,'Monthly Events per venue'!$C:$C,R$8)</f>
        <v>39</v>
      </c>
      <c r="S14" s="9">
        <f>SUMIFS('Monthly Events per venue'!$AS:$AS,'Monthly Events per venue'!$B:$B,$A14,'Monthly Events per venue'!$C:$C,S$8)</f>
        <v>82</v>
      </c>
      <c r="T14" s="9">
        <f>SUMIFS('Monthly Events per venue'!$AS:$AS,'Monthly Events per venue'!$B:$B,$A14,'Monthly Events per venue'!$C:$C,T$8)</f>
        <v>86</v>
      </c>
      <c r="U14" s="9">
        <f>SUMIFS('Monthly Events per venue'!$AS:$AS,'Monthly Events per venue'!$B:$B,$A14,'Monthly Events per venue'!$C:$C,U$8)</f>
        <v>116</v>
      </c>
      <c r="V14" s="9">
        <f>SUMIFS('Monthly Events per venue'!$AS:$AS,'Monthly Events per venue'!$B:$B,$A14,'Monthly Events per venue'!$C:$C,V$8)</f>
        <v>30</v>
      </c>
      <c r="W14" s="9">
        <f>SUMIFS('Monthly Events per venue'!$AS:$AS,'Monthly Events per venue'!$B:$B,$A14,'Monthly Events per venue'!$C:$C,W$8)</f>
        <v>38</v>
      </c>
      <c r="X14" s="9">
        <f>SUMIFS('Monthly Events per venue'!$AS:$AS,'Monthly Events per venue'!$B:$B,$A14,'Monthly Events per venue'!$C:$C,X$8)</f>
        <v>65</v>
      </c>
      <c r="Y14" s="9">
        <f>SUMIFS('Monthly Events per venue'!$AS:$AS,'Monthly Events per venue'!$B:$B,$A14,'Monthly Events per venue'!$C:$C,Y$8)</f>
        <v>49</v>
      </c>
      <c r="Z14" s="9">
        <f>SUMIFS('Monthly Events per venue'!$AS:$AS,'Monthly Events per venue'!$B:$B,$A14,'Monthly Events per venue'!$C:$C,Z$8)</f>
        <v>108</v>
      </c>
      <c r="AA14" s="9">
        <f>SUMIFS('Monthly Events per venue'!$AS:$AS,'Monthly Events per venue'!$B:$B,$A14,'Monthly Events per venue'!$C:$C,AA$8)</f>
        <v>37</v>
      </c>
      <c r="AB14" s="9">
        <f>SUMIFS('Monthly Events per venue'!$AS:$AS,'Monthly Events per venue'!$B:$B,$A14,'Monthly Events per venue'!$C:$C,AB$8)</f>
        <v>33</v>
      </c>
      <c r="AC14" s="9">
        <f>SUMIFS('Monthly Events per venue'!$AS:$AS,'Monthly Events per venue'!$B:$B,$A14,'Monthly Events per venue'!$C:$C,AC$8)</f>
        <v>98</v>
      </c>
      <c r="AD14" s="9">
        <f>SUMIFS('Monthly Events per venue'!$AS:$AS,'Monthly Events per venue'!$B:$B,$A14,'Monthly Events per venue'!$C:$C,AD$8)</f>
        <v>0</v>
      </c>
      <c r="AE14" s="9">
        <f>SUMIFS('Monthly Events per venue'!$AS:$AS,'Monthly Events per venue'!$B:$B,$A14,'Monthly Events per venue'!$C:$C,AE$8)</f>
        <v>0</v>
      </c>
      <c r="AF14" s="9">
        <f>SUMIFS('Monthly Events per venue'!$AS:$AS,'Monthly Events per venue'!$B:$B,$A14,'Monthly Events per venue'!$C:$C,AF$8)</f>
        <v>33</v>
      </c>
      <c r="AG14" s="9">
        <f>SUMIFS('Monthly Events per venue'!$AS:$AS,'Monthly Events per venue'!$B:$B,$A14,'Monthly Events per venue'!$C:$C,AG$8)</f>
        <v>64</v>
      </c>
      <c r="AH14" s="9">
        <f>SUMIFS('Monthly Events per venue'!$AS:$AS,'Monthly Events per venue'!$B:$B,$A14,'Monthly Events per venue'!$C:$C,AH$8)</f>
        <v>67</v>
      </c>
      <c r="AI14" s="9">
        <f>SUMIFS('Monthly Events per venue'!$AS:$AS,'Monthly Events per venue'!$B:$B,$A14,'Monthly Events per venue'!$C:$C,AI$8)</f>
        <v>24</v>
      </c>
      <c r="AJ14" s="9">
        <f>SUMIFS('Monthly Events per venue'!$AS:$AS,'Monthly Events per venue'!$B:$B,$A14,'Monthly Events per venue'!$C:$C,AJ$8)</f>
        <v>82</v>
      </c>
      <c r="AK14" s="9">
        <f>SUMIFS('Monthly Events per venue'!$AS:$AS,'Monthly Events per venue'!$B:$B,$A14,'Monthly Events per venue'!$C:$C,AK$8)</f>
        <v>58</v>
      </c>
      <c r="AL14" s="9">
        <f>SUMIFS('Monthly Events per venue'!$AS:$AS,'Monthly Events per venue'!$B:$B,$A14,'Monthly Events per venue'!$C:$C,AL$8)</f>
        <v>39</v>
      </c>
      <c r="AM14" s="9">
        <f>SUMIFS('Monthly Events per venue'!$AS:$AS,'Monthly Events per venue'!$B:$B,$A14,'Monthly Events per venue'!$C:$C,AM$8)</f>
        <v>63</v>
      </c>
      <c r="AN14" s="9">
        <f>SUMIFS('Monthly Events per venue'!$AS:$AS,'Monthly Events per venue'!$B:$B,$A14,'Monthly Events per venue'!$C:$C,AN$8)</f>
        <v>62</v>
      </c>
      <c r="AO14" s="9">
        <f>SUMIFS('Monthly Events per venue'!$AS:$AS,'Monthly Events per venue'!$B:$B,$A14,'Monthly Events per venue'!$C:$C,AO$8)</f>
        <v>158</v>
      </c>
      <c r="AP14" s="9">
        <f>SUMIFS('Monthly Events per venue'!$AS:$AS,'Monthly Events per venue'!$B:$B,$A14,'Monthly Events per venue'!$C:$C,AP$8)</f>
        <v>7</v>
      </c>
      <c r="AQ14" s="9">
        <f>SUMIFS('Monthly Events per venue'!$AS:$AS,'Monthly Events per venue'!$B:$B,$A14,'Monthly Events per venue'!$C:$C,AQ$8)</f>
        <v>188</v>
      </c>
      <c r="AR14" s="9">
        <f>SUMIFS('Monthly Events per venue'!$AS:$AS,'Monthly Events per venue'!$B:$B,$A14,'Monthly Events per venue'!$C:$C,AR$8)</f>
        <v>3</v>
      </c>
    </row>
    <row r="15" spans="1:44">
      <c r="A15" t="s">
        <v>250</v>
      </c>
      <c r="C15" s="4" t="s">
        <v>264</v>
      </c>
      <c r="D15" s="9">
        <f>SUMIFS('Monthly Events per venue'!$AS:$AS,'Monthly Events per venue'!$B:$B,$A15)</f>
        <v>1637</v>
      </c>
      <c r="E15" s="105"/>
      <c r="F15" s="9">
        <f>SUMIFS('Monthly Events per venue'!$AS:$AS,'Monthly Events per venue'!$B:$B,$A15,'Monthly Events per venue'!$E:$E,F$8)</f>
        <v>849</v>
      </c>
      <c r="G15" s="9">
        <f t="shared" si="0"/>
        <v>701</v>
      </c>
      <c r="H15" s="9">
        <f>SUMIFS('Monthly Events per venue'!$AS:$AS,'Monthly Events per venue'!$B:$B,$A15,'Monthly Events per venue'!$E:$E,H$8)</f>
        <v>261</v>
      </c>
      <c r="I15" s="9">
        <f>SUMIFS('Monthly Events per venue'!$AS:$AS,'Monthly Events per venue'!$B:$B,$A15,'Monthly Events per venue'!$E:$E,I$8)</f>
        <v>410</v>
      </c>
      <c r="J15" s="9">
        <f>SUMIFS('Monthly Events per venue'!$AS:$AS,'Monthly Events per venue'!$B:$B,$A15,'Monthly Events per venue'!$E:$E,J$8)</f>
        <v>117</v>
      </c>
      <c r="K15" s="105"/>
      <c r="L15" s="9">
        <f>SUMIFS('Monthly Events per venue'!$AS:$AS,'Monthly Events per venue'!$B:$B,$A15,'Monthly Events per venue'!$C:$C,L$8)</f>
        <v>35</v>
      </c>
      <c r="M15" s="9">
        <f>SUMIFS('Monthly Events per venue'!$AS:$AS,'Monthly Events per venue'!$B:$B,$A15,'Monthly Events per venue'!$C:$C,M$8)</f>
        <v>31</v>
      </c>
      <c r="N15" s="9">
        <f>SUMIFS('Monthly Events per venue'!$AS:$AS,'Monthly Events per venue'!$B:$B,$A15,'Monthly Events per venue'!$C:$C,N$8)</f>
        <v>52</v>
      </c>
      <c r="O15" s="9">
        <f>SUMIFS('Monthly Events per venue'!$AS:$AS,'Monthly Events per venue'!$B:$B,$A15,'Monthly Events per venue'!$C:$C,O$8)</f>
        <v>77</v>
      </c>
      <c r="P15" s="9">
        <f>SUMIFS('Monthly Events per venue'!$AS:$AS,'Monthly Events per venue'!$B:$B,$A15,'Monthly Events per venue'!$C:$C,P$8)</f>
        <v>16</v>
      </c>
      <c r="Q15" s="9">
        <f>SUMIFS('Monthly Events per venue'!$AS:$AS,'Monthly Events per venue'!$B:$B,$A15,'Monthly Events per venue'!$C:$C,Q$8)</f>
        <v>87</v>
      </c>
      <c r="R15" s="9">
        <f>SUMIFS('Monthly Events per venue'!$AS:$AS,'Monthly Events per venue'!$B:$B,$A15,'Monthly Events per venue'!$C:$C,R$8)</f>
        <v>21</v>
      </c>
      <c r="S15" s="9">
        <f>SUMIFS('Monthly Events per venue'!$AS:$AS,'Monthly Events per venue'!$B:$B,$A15,'Monthly Events per venue'!$C:$C,S$8)</f>
        <v>60</v>
      </c>
      <c r="T15" s="9">
        <f>SUMIFS('Monthly Events per venue'!$AS:$AS,'Monthly Events per venue'!$B:$B,$A15,'Monthly Events per venue'!$C:$C,T$8)</f>
        <v>64</v>
      </c>
      <c r="U15" s="9">
        <f>SUMIFS('Monthly Events per venue'!$AS:$AS,'Monthly Events per venue'!$B:$B,$A15,'Monthly Events per venue'!$C:$C,U$8)</f>
        <v>125</v>
      </c>
      <c r="V15" s="9">
        <f>SUMIFS('Monthly Events per venue'!$AS:$AS,'Monthly Events per venue'!$B:$B,$A15,'Monthly Events per venue'!$C:$C,V$8)</f>
        <v>23</v>
      </c>
      <c r="W15" s="9">
        <f>SUMIFS('Monthly Events per venue'!$AS:$AS,'Monthly Events per venue'!$B:$B,$A15,'Monthly Events per venue'!$C:$C,W$8)</f>
        <v>29</v>
      </c>
      <c r="X15" s="9">
        <f>SUMIFS('Monthly Events per venue'!$AS:$AS,'Monthly Events per venue'!$B:$B,$A15,'Monthly Events per venue'!$C:$C,X$8)</f>
        <v>53</v>
      </c>
      <c r="Y15" s="9">
        <f>SUMIFS('Monthly Events per venue'!$AS:$AS,'Monthly Events per venue'!$B:$B,$A15,'Monthly Events per venue'!$C:$C,Y$8)</f>
        <v>30</v>
      </c>
      <c r="Z15" s="9">
        <f>SUMIFS('Monthly Events per venue'!$AS:$AS,'Monthly Events per venue'!$B:$B,$A15,'Monthly Events per venue'!$C:$C,Z$8)</f>
        <v>85</v>
      </c>
      <c r="AA15" s="9">
        <f>SUMIFS('Monthly Events per venue'!$AS:$AS,'Monthly Events per venue'!$B:$B,$A15,'Monthly Events per venue'!$C:$C,AA$8)</f>
        <v>36</v>
      </c>
      <c r="AB15" s="9">
        <f>SUMIFS('Monthly Events per venue'!$AS:$AS,'Monthly Events per venue'!$B:$B,$A15,'Monthly Events per venue'!$C:$C,AB$8)</f>
        <v>23</v>
      </c>
      <c r="AC15" s="9">
        <f>SUMIFS('Monthly Events per venue'!$AS:$AS,'Monthly Events per venue'!$B:$B,$A15,'Monthly Events per venue'!$C:$C,AC$8)</f>
        <v>65</v>
      </c>
      <c r="AD15" s="9">
        <f>SUMIFS('Monthly Events per venue'!$AS:$AS,'Monthly Events per venue'!$B:$B,$A15,'Monthly Events per venue'!$C:$C,AD$8)</f>
        <v>0</v>
      </c>
      <c r="AE15" s="9">
        <f>SUMIFS('Monthly Events per venue'!$AS:$AS,'Monthly Events per venue'!$B:$B,$A15,'Monthly Events per venue'!$C:$C,AE$8)</f>
        <v>0</v>
      </c>
      <c r="AF15" s="9">
        <f>SUMIFS('Monthly Events per venue'!$AS:$AS,'Monthly Events per venue'!$B:$B,$A15,'Monthly Events per venue'!$C:$C,AF$8)</f>
        <v>22</v>
      </c>
      <c r="AG15" s="9">
        <f>SUMIFS('Monthly Events per venue'!$AS:$AS,'Monthly Events per venue'!$B:$B,$A15,'Monthly Events per venue'!$C:$C,AG$8)</f>
        <v>45</v>
      </c>
      <c r="AH15" s="9">
        <f>SUMIFS('Monthly Events per venue'!$AS:$AS,'Monthly Events per venue'!$B:$B,$A15,'Monthly Events per venue'!$C:$C,AH$8)</f>
        <v>46</v>
      </c>
      <c r="AI15" s="9">
        <f>SUMIFS('Monthly Events per venue'!$AS:$AS,'Monthly Events per venue'!$B:$B,$A15,'Monthly Events per venue'!$C:$C,AI$8)</f>
        <v>26</v>
      </c>
      <c r="AJ15" s="9">
        <f>SUMIFS('Monthly Events per venue'!$AS:$AS,'Monthly Events per venue'!$B:$B,$A15,'Monthly Events per venue'!$C:$C,AJ$8)</f>
        <v>69</v>
      </c>
      <c r="AK15" s="9">
        <f>SUMIFS('Monthly Events per venue'!$AS:$AS,'Monthly Events per venue'!$B:$B,$A15,'Monthly Events per venue'!$C:$C,AK$8)</f>
        <v>47</v>
      </c>
      <c r="AL15" s="9">
        <f>SUMIFS('Monthly Events per venue'!$AS:$AS,'Monthly Events per venue'!$B:$B,$A15,'Monthly Events per venue'!$C:$C,AL$8)</f>
        <v>37</v>
      </c>
      <c r="AM15" s="9">
        <f>SUMIFS('Monthly Events per venue'!$AS:$AS,'Monthly Events per venue'!$B:$B,$A15,'Monthly Events per venue'!$C:$C,AM$8)</f>
        <v>54</v>
      </c>
      <c r="AN15" s="9">
        <f>SUMIFS('Monthly Events per venue'!$AS:$AS,'Monthly Events per venue'!$B:$B,$A15,'Monthly Events per venue'!$C:$C,AN$8)</f>
        <v>54</v>
      </c>
      <c r="AO15" s="9">
        <f>SUMIFS('Monthly Events per venue'!$AS:$AS,'Monthly Events per venue'!$B:$B,$A15,'Monthly Events per venue'!$C:$C,AO$8)</f>
        <v>143</v>
      </c>
      <c r="AP15" s="9">
        <f>SUMIFS('Monthly Events per venue'!$AS:$AS,'Monthly Events per venue'!$B:$B,$A15,'Monthly Events per venue'!$C:$C,AP$8)</f>
        <v>6</v>
      </c>
      <c r="AQ15" s="9">
        <f>SUMIFS('Monthly Events per venue'!$AS:$AS,'Monthly Events per venue'!$B:$B,$A15,'Monthly Events per venue'!$C:$C,AQ$8)</f>
        <v>117</v>
      </c>
      <c r="AR15" s="9">
        <f>SUMIFS('Monthly Events per venue'!$AS:$AS,'Monthly Events per venue'!$B:$B,$A15,'Monthly Events per venue'!$C:$C,AR$8)</f>
        <v>2</v>
      </c>
    </row>
    <row r="16" spans="1:44">
      <c r="A16" t="s">
        <v>251</v>
      </c>
      <c r="C16" s="4" t="s">
        <v>295</v>
      </c>
      <c r="D16" s="9">
        <f>SUMIFS('Monthly Events per venue'!$AS:$AS,'Monthly Events per venue'!$B:$B,$A16)</f>
        <v>1343</v>
      </c>
      <c r="E16" s="105"/>
      <c r="F16" s="9">
        <f>SUMIFS('Monthly Events per venue'!$AS:$AS,'Monthly Events per venue'!$B:$B,$A16,'Monthly Events per venue'!$E:$E,F$8)</f>
        <v>748</v>
      </c>
      <c r="G16" s="9">
        <f t="shared" si="0"/>
        <v>607</v>
      </c>
      <c r="H16" s="9">
        <f>SUMIFS('Monthly Events per venue'!$AS:$AS,'Monthly Events per venue'!$B:$B,$A16,'Monthly Events per venue'!$E:$E,H$8)</f>
        <v>203</v>
      </c>
      <c r="I16" s="9">
        <f>SUMIFS('Monthly Events per venue'!$AS:$AS,'Monthly Events per venue'!$B:$B,$A16,'Monthly Events per venue'!$E:$E,I$8)</f>
        <v>313</v>
      </c>
      <c r="J16" s="9">
        <f>SUMIFS('Monthly Events per venue'!$AS:$AS,'Monthly Events per venue'!$B:$B,$A16,'Monthly Events per venue'!$E:$E,J$8)</f>
        <v>79</v>
      </c>
      <c r="K16" s="105"/>
      <c r="L16" s="9">
        <f>SUMIFS('Monthly Events per venue'!$AS:$AS,'Monthly Events per venue'!$B:$B,$A16,'Monthly Events per venue'!$C:$C,L$8)</f>
        <v>31</v>
      </c>
      <c r="M16" s="9">
        <f>SUMIFS('Monthly Events per venue'!$AS:$AS,'Monthly Events per venue'!$B:$B,$A16,'Monthly Events per venue'!$C:$C,M$8)</f>
        <v>25</v>
      </c>
      <c r="N16" s="9">
        <f>SUMIFS('Monthly Events per venue'!$AS:$AS,'Monthly Events per venue'!$B:$B,$A16,'Monthly Events per venue'!$C:$C,N$8)</f>
        <v>46</v>
      </c>
      <c r="O16" s="9">
        <f>SUMIFS('Monthly Events per venue'!$AS:$AS,'Monthly Events per venue'!$B:$B,$A16,'Monthly Events per venue'!$C:$C,O$8)</f>
        <v>77</v>
      </c>
      <c r="P16" s="9">
        <f>SUMIFS('Monthly Events per venue'!$AS:$AS,'Monthly Events per venue'!$B:$B,$A16,'Monthly Events per venue'!$C:$C,P$8)</f>
        <v>18</v>
      </c>
      <c r="Q16" s="9">
        <f>SUMIFS('Monthly Events per venue'!$AS:$AS,'Monthly Events per venue'!$B:$B,$A16,'Monthly Events per venue'!$C:$C,Q$8)</f>
        <v>74</v>
      </c>
      <c r="R16" s="9">
        <f>SUMIFS('Monthly Events per venue'!$AS:$AS,'Monthly Events per venue'!$B:$B,$A16,'Monthly Events per venue'!$C:$C,R$8)</f>
        <v>18</v>
      </c>
      <c r="S16" s="9">
        <f>SUMIFS('Monthly Events per venue'!$AS:$AS,'Monthly Events per venue'!$B:$B,$A16,'Monthly Events per venue'!$C:$C,S$8)</f>
        <v>51</v>
      </c>
      <c r="T16" s="9">
        <f>SUMIFS('Monthly Events per venue'!$AS:$AS,'Monthly Events per venue'!$B:$B,$A16,'Monthly Events per venue'!$C:$C,T$8)</f>
        <v>50</v>
      </c>
      <c r="U16" s="9">
        <f>SUMIFS('Monthly Events per venue'!$AS:$AS,'Monthly Events per venue'!$B:$B,$A16,'Monthly Events per venue'!$C:$C,U$8)</f>
        <v>122</v>
      </c>
      <c r="V16" s="9">
        <f>SUMIFS('Monthly Events per venue'!$AS:$AS,'Monthly Events per venue'!$B:$B,$A16,'Monthly Events per venue'!$C:$C,V$8)</f>
        <v>19</v>
      </c>
      <c r="W16" s="9">
        <f>SUMIFS('Monthly Events per venue'!$AS:$AS,'Monthly Events per venue'!$B:$B,$A16,'Monthly Events per venue'!$C:$C,W$8)</f>
        <v>25</v>
      </c>
      <c r="X16" s="9">
        <f>SUMIFS('Monthly Events per venue'!$AS:$AS,'Monthly Events per venue'!$B:$B,$A16,'Monthly Events per venue'!$C:$C,X$8)</f>
        <v>42</v>
      </c>
      <c r="Y16" s="9">
        <f>SUMIFS('Monthly Events per venue'!$AS:$AS,'Monthly Events per venue'!$B:$B,$A16,'Monthly Events per venue'!$C:$C,Y$8)</f>
        <v>27</v>
      </c>
      <c r="Z16" s="9">
        <f>SUMIFS('Monthly Events per venue'!$AS:$AS,'Monthly Events per venue'!$B:$B,$A16,'Monthly Events per venue'!$C:$C,Z$8)</f>
        <v>75</v>
      </c>
      <c r="AA16" s="9">
        <f>SUMIFS('Monthly Events per venue'!$AS:$AS,'Monthly Events per venue'!$B:$B,$A16,'Monthly Events per venue'!$C:$C,AA$8)</f>
        <v>25</v>
      </c>
      <c r="AB16" s="9">
        <f>SUMIFS('Monthly Events per venue'!$AS:$AS,'Monthly Events per venue'!$B:$B,$A16,'Monthly Events per venue'!$C:$C,AB$8)</f>
        <v>22</v>
      </c>
      <c r="AC16" s="9">
        <f>SUMIFS('Monthly Events per venue'!$AS:$AS,'Monthly Events per venue'!$B:$B,$A16,'Monthly Events per venue'!$C:$C,AC$8)</f>
        <v>52</v>
      </c>
      <c r="AD16" s="9">
        <f>SUMIFS('Monthly Events per venue'!$AS:$AS,'Monthly Events per venue'!$B:$B,$A16,'Monthly Events per venue'!$C:$C,AD$8)</f>
        <v>0</v>
      </c>
      <c r="AE16" s="9">
        <f>SUMIFS('Monthly Events per venue'!$AS:$AS,'Monthly Events per venue'!$B:$B,$A16,'Monthly Events per venue'!$C:$C,AE$8)</f>
        <v>0</v>
      </c>
      <c r="AF16" s="9">
        <f>SUMIFS('Monthly Events per venue'!$AS:$AS,'Monthly Events per venue'!$B:$B,$A16,'Monthly Events per venue'!$C:$C,AF$8)</f>
        <v>16</v>
      </c>
      <c r="AG16" s="9">
        <f>SUMIFS('Monthly Events per venue'!$AS:$AS,'Monthly Events per venue'!$B:$B,$A16,'Monthly Events per venue'!$C:$C,AG$8)</f>
        <v>33</v>
      </c>
      <c r="AH16" s="9">
        <f>SUMIFS('Monthly Events per venue'!$AS:$AS,'Monthly Events per venue'!$B:$B,$A16,'Monthly Events per venue'!$C:$C,AH$8)</f>
        <v>36</v>
      </c>
      <c r="AI16" s="9">
        <f>SUMIFS('Monthly Events per venue'!$AS:$AS,'Monthly Events per venue'!$B:$B,$A16,'Monthly Events per venue'!$C:$C,AI$8)</f>
        <v>17</v>
      </c>
      <c r="AJ16" s="9">
        <f>SUMIFS('Monthly Events per venue'!$AS:$AS,'Monthly Events per venue'!$B:$B,$A16,'Monthly Events per venue'!$C:$C,AJ$8)</f>
        <v>51</v>
      </c>
      <c r="AK16" s="9">
        <f>SUMIFS('Monthly Events per venue'!$AS:$AS,'Monthly Events per venue'!$B:$B,$A16,'Monthly Events per venue'!$C:$C,AK$8)</f>
        <v>29</v>
      </c>
      <c r="AL16" s="9">
        <f>SUMIFS('Monthly Events per venue'!$AS:$AS,'Monthly Events per venue'!$B:$B,$A16,'Monthly Events per venue'!$C:$C,AL$8)</f>
        <v>29</v>
      </c>
      <c r="AM16" s="9">
        <f>SUMIFS('Monthly Events per venue'!$AS:$AS,'Monthly Events per venue'!$B:$B,$A16,'Monthly Events per venue'!$C:$C,AM$8)</f>
        <v>41</v>
      </c>
      <c r="AN16" s="9">
        <f>SUMIFS('Monthly Events per venue'!$AS:$AS,'Monthly Events per venue'!$B:$B,$A16,'Monthly Events per venue'!$C:$C,AN$8)</f>
        <v>42</v>
      </c>
      <c r="AO16" s="9">
        <f>SUMIFS('Monthly Events per venue'!$AS:$AS,'Monthly Events per venue'!$B:$B,$A16,'Monthly Events per venue'!$C:$C,AO$8)</f>
        <v>118</v>
      </c>
      <c r="AP16" s="9">
        <f>SUMIFS('Monthly Events per venue'!$AS:$AS,'Monthly Events per venue'!$B:$B,$A16,'Monthly Events per venue'!$C:$C,AP$8)</f>
        <v>3</v>
      </c>
      <c r="AQ16" s="9">
        <f>SUMIFS('Monthly Events per venue'!$AS:$AS,'Monthly Events per venue'!$B:$B,$A16,'Monthly Events per venue'!$C:$C,AQ$8)</f>
        <v>79</v>
      </c>
      <c r="AR16" s="9">
        <f>SUMIFS('Monthly Events per venue'!$AS:$AS,'Monthly Events per venue'!$B:$B,$A16,'Monthly Events per venue'!$C:$C,AR$8)</f>
        <v>1</v>
      </c>
    </row>
    <row r="17" spans="1:44">
      <c r="A17" t="s">
        <v>389</v>
      </c>
      <c r="C17" s="4" t="s">
        <v>265</v>
      </c>
      <c r="D17" s="9">
        <f>SUMIFS('Monthly Events per venue'!$AS:$AS,'Monthly Events per venue'!$B:$B,$A17)</f>
        <v>1802</v>
      </c>
      <c r="E17" s="105"/>
      <c r="F17" s="9">
        <f>SUMIFS('Monthly Events per venue'!$AS:$AS,'Monthly Events per venue'!$B:$B,$A17,'Monthly Events per venue'!$E:$E,F$8)</f>
        <v>931</v>
      </c>
      <c r="G17" s="9">
        <f t="shared" si="0"/>
        <v>784</v>
      </c>
      <c r="H17" s="9">
        <f>SUMIFS('Monthly Events per venue'!$AS:$AS,'Monthly Events per venue'!$B:$B,$A17,'Monthly Events per venue'!$E:$E,H$8)</f>
        <v>276</v>
      </c>
      <c r="I17" s="9">
        <f>SUMIFS('Monthly Events per venue'!$AS:$AS,'Monthly Events per venue'!$B:$B,$A17,'Monthly Events per venue'!$E:$E,I$8)</f>
        <v>404</v>
      </c>
      <c r="J17" s="9">
        <f>SUMIFS('Monthly Events per venue'!$AS:$AS,'Monthly Events per venue'!$B:$B,$A17,'Monthly Events per venue'!$E:$E,J$8)</f>
        <v>191</v>
      </c>
      <c r="K17" s="105"/>
      <c r="L17" s="9">
        <f>SUMIFS('Monthly Events per venue'!$AS:$AS,'Monthly Events per venue'!$B:$B,$A17,'Monthly Events per venue'!$C:$C,L$8)</f>
        <v>34</v>
      </c>
      <c r="M17" s="9">
        <f>SUMIFS('Monthly Events per venue'!$AS:$AS,'Monthly Events per venue'!$B:$B,$A17,'Monthly Events per venue'!$C:$C,M$8)</f>
        <v>36</v>
      </c>
      <c r="N17" s="9">
        <f>SUMIFS('Monthly Events per venue'!$AS:$AS,'Monthly Events per venue'!$B:$B,$A17,'Monthly Events per venue'!$C:$C,N$8)</f>
        <v>53</v>
      </c>
      <c r="O17" s="9">
        <f>SUMIFS('Monthly Events per venue'!$AS:$AS,'Monthly Events per venue'!$B:$B,$A17,'Monthly Events per venue'!$C:$C,O$8)</f>
        <v>93</v>
      </c>
      <c r="P17" s="9">
        <f>SUMIFS('Monthly Events per venue'!$AS:$AS,'Monthly Events per venue'!$B:$B,$A17,'Monthly Events per venue'!$C:$C,P$8)</f>
        <v>18</v>
      </c>
      <c r="Q17" s="9">
        <f>SUMIFS('Monthly Events per venue'!$AS:$AS,'Monthly Events per venue'!$B:$B,$A17,'Monthly Events per venue'!$C:$C,Q$8)</f>
        <v>95</v>
      </c>
      <c r="R17" s="9">
        <f>SUMIFS('Monthly Events per venue'!$AS:$AS,'Monthly Events per venue'!$B:$B,$A17,'Monthly Events per venue'!$C:$C,R$8)</f>
        <v>26</v>
      </c>
      <c r="S17" s="9">
        <f>SUMIFS('Monthly Events per venue'!$AS:$AS,'Monthly Events per venue'!$B:$B,$A17,'Monthly Events per venue'!$C:$C,S$8)</f>
        <v>66</v>
      </c>
      <c r="T17" s="9">
        <f>SUMIFS('Monthly Events per venue'!$AS:$AS,'Monthly Events per venue'!$B:$B,$A17,'Monthly Events per venue'!$C:$C,T$8)</f>
        <v>70</v>
      </c>
      <c r="U17" s="9">
        <f>SUMIFS('Monthly Events per venue'!$AS:$AS,'Monthly Events per venue'!$B:$B,$A17,'Monthly Events per venue'!$C:$C,U$8)</f>
        <v>120</v>
      </c>
      <c r="V17" s="9">
        <f>SUMIFS('Monthly Events per venue'!$AS:$AS,'Monthly Events per venue'!$B:$B,$A17,'Monthly Events per venue'!$C:$C,V$8)</f>
        <v>27</v>
      </c>
      <c r="W17" s="9">
        <f>SUMIFS('Monthly Events per venue'!$AS:$AS,'Monthly Events per venue'!$B:$B,$A17,'Monthly Events per venue'!$C:$C,W$8)</f>
        <v>33</v>
      </c>
      <c r="X17" s="9">
        <f>SUMIFS('Monthly Events per venue'!$AS:$AS,'Monthly Events per venue'!$B:$B,$A17,'Monthly Events per venue'!$C:$C,X$8)</f>
        <v>60</v>
      </c>
      <c r="Y17" s="9">
        <f>SUMIFS('Monthly Events per venue'!$AS:$AS,'Monthly Events per venue'!$B:$B,$A17,'Monthly Events per venue'!$C:$C,Y$8)</f>
        <v>44</v>
      </c>
      <c r="Z17" s="9">
        <f>SUMIFS('Monthly Events per venue'!$AS:$AS,'Monthly Events per venue'!$B:$B,$A17,'Monthly Events per venue'!$C:$C,Z$8)</f>
        <v>95</v>
      </c>
      <c r="AA17" s="9">
        <f>SUMIFS('Monthly Events per venue'!$AS:$AS,'Monthly Events per venue'!$B:$B,$A17,'Monthly Events per venue'!$C:$C,AA$8)</f>
        <v>34</v>
      </c>
      <c r="AB17" s="9">
        <f>SUMIFS('Monthly Events per venue'!$AS:$AS,'Monthly Events per venue'!$B:$B,$A17,'Monthly Events per venue'!$C:$C,AB$8)</f>
        <v>26</v>
      </c>
      <c r="AC17" s="9">
        <f>SUMIFS('Monthly Events per venue'!$AS:$AS,'Monthly Events per venue'!$B:$B,$A17,'Monthly Events per venue'!$C:$C,AC$8)</f>
        <v>72</v>
      </c>
      <c r="AD17" s="9">
        <f>SUMIFS('Monthly Events per venue'!$AS:$AS,'Monthly Events per venue'!$B:$B,$A17,'Monthly Events per venue'!$C:$C,AD$8)</f>
        <v>0</v>
      </c>
      <c r="AE17" s="9">
        <f>SUMIFS('Monthly Events per venue'!$AS:$AS,'Monthly Events per venue'!$B:$B,$A17,'Monthly Events per venue'!$C:$C,AE$8)</f>
        <v>0</v>
      </c>
      <c r="AF17" s="9">
        <f>SUMIFS('Monthly Events per venue'!$AS:$AS,'Monthly Events per venue'!$B:$B,$A17,'Monthly Events per venue'!$C:$C,AF$8)</f>
        <v>25</v>
      </c>
      <c r="AG17" s="9">
        <f>SUMIFS('Monthly Events per venue'!$AS:$AS,'Monthly Events per venue'!$B:$B,$A17,'Monthly Events per venue'!$C:$C,AG$8)</f>
        <v>49</v>
      </c>
      <c r="AH17" s="9">
        <f>SUMIFS('Monthly Events per venue'!$AS:$AS,'Monthly Events per venue'!$B:$B,$A17,'Monthly Events per venue'!$C:$C,AH$8)</f>
        <v>45</v>
      </c>
      <c r="AI17" s="9">
        <f>SUMIFS('Monthly Events per venue'!$AS:$AS,'Monthly Events per venue'!$B:$B,$A17,'Monthly Events per venue'!$C:$C,AI$8)</f>
        <v>19</v>
      </c>
      <c r="AJ17" s="9">
        <f>SUMIFS('Monthly Events per venue'!$AS:$AS,'Monthly Events per venue'!$B:$B,$A17,'Monthly Events per venue'!$C:$C,AJ$8)</f>
        <v>72</v>
      </c>
      <c r="AK17" s="9">
        <f>SUMIFS('Monthly Events per venue'!$AS:$AS,'Monthly Events per venue'!$B:$B,$A17,'Monthly Events per venue'!$C:$C,AK$8)</f>
        <v>47</v>
      </c>
      <c r="AL17" s="9">
        <f>SUMIFS('Monthly Events per venue'!$AS:$AS,'Monthly Events per venue'!$B:$B,$A17,'Monthly Events per venue'!$C:$C,AL$8)</f>
        <v>33</v>
      </c>
      <c r="AM17" s="9">
        <f>SUMIFS('Monthly Events per venue'!$AS:$AS,'Monthly Events per venue'!$B:$B,$A17,'Monthly Events per venue'!$C:$C,AM$8)</f>
        <v>52</v>
      </c>
      <c r="AN17" s="9">
        <f>SUMIFS('Monthly Events per venue'!$AS:$AS,'Monthly Events per venue'!$B:$B,$A17,'Monthly Events per venue'!$C:$C,AN$8)</f>
        <v>56</v>
      </c>
      <c r="AO17" s="9">
        <f>SUMIFS('Monthly Events per venue'!$AS:$AS,'Monthly Events per venue'!$B:$B,$A17,'Monthly Events per venue'!$C:$C,AO$8)</f>
        <v>139</v>
      </c>
      <c r="AP17" s="9">
        <f>SUMIFS('Monthly Events per venue'!$AS:$AS,'Monthly Events per venue'!$B:$B,$A17,'Monthly Events per venue'!$C:$C,AP$8)</f>
        <v>5</v>
      </c>
      <c r="AQ17" s="9">
        <f>SUMIFS('Monthly Events per venue'!$AS:$AS,'Monthly Events per venue'!$B:$B,$A17,'Monthly Events per venue'!$C:$C,AQ$8)</f>
        <v>191</v>
      </c>
      <c r="AR17" s="9">
        <f>SUMIFS('Monthly Events per venue'!$AS:$AS,'Monthly Events per venue'!$B:$B,$A17,'Monthly Events per venue'!$C:$C,AR$8)</f>
        <v>1</v>
      </c>
    </row>
    <row r="18" spans="1:44">
      <c r="A18" t="s">
        <v>252</v>
      </c>
      <c r="C18" s="4" t="s">
        <v>266</v>
      </c>
      <c r="D18" s="9">
        <f>SUMIFS('Monthly Events per venue'!$AS:$AS,'Monthly Events per venue'!$B:$B,$A18)</f>
        <v>1365</v>
      </c>
      <c r="E18" s="105"/>
      <c r="F18" s="9">
        <f>SUMIFS('Monthly Events per venue'!$AS:$AS,'Monthly Events per venue'!$B:$B,$A18,'Monthly Events per venue'!$E:$E,F$8)</f>
        <v>738</v>
      </c>
      <c r="G18" s="9">
        <f t="shared" si="0"/>
        <v>600</v>
      </c>
      <c r="H18" s="9">
        <f>SUMIFS('Monthly Events per venue'!$AS:$AS,'Monthly Events per venue'!$B:$B,$A18,'Monthly Events per venue'!$E:$E,H$8)</f>
        <v>242</v>
      </c>
      <c r="I18" s="9">
        <f>SUMIFS('Monthly Events per venue'!$AS:$AS,'Monthly Events per venue'!$B:$B,$A18,'Monthly Events per venue'!$E:$E,I$8)</f>
        <v>301</v>
      </c>
      <c r="J18" s="9">
        <f>SUMIFS('Monthly Events per venue'!$AS:$AS,'Monthly Events per venue'!$B:$B,$A18,'Monthly Events per venue'!$E:$E,J$8)</f>
        <v>84</v>
      </c>
      <c r="K18" s="105"/>
      <c r="L18" s="9">
        <f>SUMIFS('Monthly Events per venue'!$AS:$AS,'Monthly Events per venue'!$B:$B,$A18,'Monthly Events per venue'!$C:$C,L$8)</f>
        <v>30</v>
      </c>
      <c r="M18" s="9">
        <f>SUMIFS('Monthly Events per venue'!$AS:$AS,'Monthly Events per venue'!$B:$B,$A18,'Monthly Events per venue'!$C:$C,M$8)</f>
        <v>24</v>
      </c>
      <c r="N18" s="9">
        <f>SUMIFS('Monthly Events per venue'!$AS:$AS,'Monthly Events per venue'!$B:$B,$A18,'Monthly Events per venue'!$C:$C,N$8)</f>
        <v>41</v>
      </c>
      <c r="O18" s="9">
        <f>SUMIFS('Monthly Events per venue'!$AS:$AS,'Monthly Events per venue'!$B:$B,$A18,'Monthly Events per venue'!$C:$C,O$8)</f>
        <v>75</v>
      </c>
      <c r="P18" s="9">
        <f>SUMIFS('Monthly Events per venue'!$AS:$AS,'Monthly Events per venue'!$B:$B,$A18,'Monthly Events per venue'!$C:$C,P$8)</f>
        <v>16</v>
      </c>
      <c r="Q18" s="9">
        <f>SUMIFS('Monthly Events per venue'!$AS:$AS,'Monthly Events per venue'!$B:$B,$A18,'Monthly Events per venue'!$C:$C,Q$8)</f>
        <v>74</v>
      </c>
      <c r="R18" s="9">
        <f>SUMIFS('Monthly Events per venue'!$AS:$AS,'Monthly Events per venue'!$B:$B,$A18,'Monthly Events per venue'!$C:$C,R$8)</f>
        <v>20</v>
      </c>
      <c r="S18" s="9">
        <f>SUMIFS('Monthly Events per venue'!$AS:$AS,'Monthly Events per venue'!$B:$B,$A18,'Monthly Events per venue'!$C:$C,S$8)</f>
        <v>55</v>
      </c>
      <c r="T18" s="9">
        <f>SUMIFS('Monthly Events per venue'!$AS:$AS,'Monthly Events per venue'!$B:$B,$A18,'Monthly Events per venue'!$C:$C,T$8)</f>
        <v>53</v>
      </c>
      <c r="U18" s="9">
        <f>SUMIFS('Monthly Events per venue'!$AS:$AS,'Monthly Events per venue'!$B:$B,$A18,'Monthly Events per venue'!$C:$C,U$8)</f>
        <v>116</v>
      </c>
      <c r="V18" s="9">
        <f>SUMIFS('Monthly Events per venue'!$AS:$AS,'Monthly Events per venue'!$B:$B,$A18,'Monthly Events per venue'!$C:$C,V$8)</f>
        <v>22</v>
      </c>
      <c r="W18" s="9">
        <f>SUMIFS('Monthly Events per venue'!$AS:$AS,'Monthly Events per venue'!$B:$B,$A18,'Monthly Events per venue'!$C:$C,W$8)</f>
        <v>25</v>
      </c>
      <c r="X18" s="9">
        <f>SUMIFS('Monthly Events per venue'!$AS:$AS,'Monthly Events per venue'!$B:$B,$A18,'Monthly Events per venue'!$C:$C,X$8)</f>
        <v>40</v>
      </c>
      <c r="Y18" s="9">
        <f>SUMIFS('Monthly Events per venue'!$AS:$AS,'Monthly Events per venue'!$B:$B,$A18,'Monthly Events per venue'!$C:$C,Y$8)</f>
        <v>23</v>
      </c>
      <c r="Z18" s="9">
        <f>SUMIFS('Monthly Events per venue'!$AS:$AS,'Monthly Events per venue'!$B:$B,$A18,'Monthly Events per venue'!$C:$C,Z$8)</f>
        <v>76</v>
      </c>
      <c r="AA18" s="9">
        <f>SUMIFS('Monthly Events per venue'!$AS:$AS,'Monthly Events per venue'!$B:$B,$A18,'Monthly Events per venue'!$C:$C,AA$8)</f>
        <v>25</v>
      </c>
      <c r="AB18" s="9">
        <f>SUMIFS('Monthly Events per venue'!$AS:$AS,'Monthly Events per venue'!$B:$B,$A18,'Monthly Events per venue'!$C:$C,AB$8)</f>
        <v>22</v>
      </c>
      <c r="AC18" s="9">
        <f>SUMIFS('Monthly Events per venue'!$AS:$AS,'Monthly Events per venue'!$B:$B,$A18,'Monthly Events per venue'!$C:$C,AC$8)</f>
        <v>64</v>
      </c>
      <c r="AD18" s="9">
        <f>SUMIFS('Monthly Events per venue'!$AS:$AS,'Monthly Events per venue'!$B:$B,$A18,'Monthly Events per venue'!$C:$C,AD$8)</f>
        <v>0</v>
      </c>
      <c r="AE18" s="9">
        <f>SUMIFS('Monthly Events per venue'!$AS:$AS,'Monthly Events per venue'!$B:$B,$A18,'Monthly Events per venue'!$C:$C,AE$8)</f>
        <v>0</v>
      </c>
      <c r="AF18" s="9">
        <f>SUMIFS('Monthly Events per venue'!$AS:$AS,'Monthly Events per venue'!$B:$B,$A18,'Monthly Events per venue'!$C:$C,AF$8)</f>
        <v>19</v>
      </c>
      <c r="AG18" s="9">
        <f>SUMIFS('Monthly Events per venue'!$AS:$AS,'Monthly Events per venue'!$B:$B,$A18,'Monthly Events per venue'!$C:$C,AG$8)</f>
        <v>43</v>
      </c>
      <c r="AH18" s="9">
        <f>SUMIFS('Monthly Events per venue'!$AS:$AS,'Monthly Events per venue'!$B:$B,$A18,'Monthly Events per venue'!$C:$C,AH$8)</f>
        <v>38</v>
      </c>
      <c r="AI18" s="9">
        <f>SUMIFS('Monthly Events per venue'!$AS:$AS,'Monthly Events per venue'!$B:$B,$A18,'Monthly Events per venue'!$C:$C,AI$8)</f>
        <v>18</v>
      </c>
      <c r="AJ18" s="9">
        <f>SUMIFS('Monthly Events per venue'!$AS:$AS,'Monthly Events per venue'!$B:$B,$A18,'Monthly Events per venue'!$C:$C,AJ$8)</f>
        <v>50</v>
      </c>
      <c r="AK18" s="9">
        <f>SUMIFS('Monthly Events per venue'!$AS:$AS,'Monthly Events per venue'!$B:$B,$A18,'Monthly Events per venue'!$C:$C,AK$8)</f>
        <v>29</v>
      </c>
      <c r="AL18" s="9">
        <f>SUMIFS('Monthly Events per venue'!$AS:$AS,'Monthly Events per venue'!$B:$B,$A18,'Monthly Events per venue'!$C:$C,AL$8)</f>
        <v>21</v>
      </c>
      <c r="AM18" s="9">
        <f>SUMIFS('Monthly Events per venue'!$AS:$AS,'Monthly Events per venue'!$B:$B,$A18,'Monthly Events per venue'!$C:$C,AM$8)</f>
        <v>44</v>
      </c>
      <c r="AN18" s="9">
        <f>SUMIFS('Monthly Events per venue'!$AS:$AS,'Monthly Events per venue'!$B:$B,$A18,'Monthly Events per venue'!$C:$C,AN$8)</f>
        <v>42</v>
      </c>
      <c r="AO18" s="9">
        <f>SUMIFS('Monthly Events per venue'!$AS:$AS,'Monthly Events per venue'!$B:$B,$A18,'Monthly Events per venue'!$C:$C,AO$8)</f>
        <v>109</v>
      </c>
      <c r="AP18" s="9">
        <f>SUMIFS('Monthly Events per venue'!$AS:$AS,'Monthly Events per venue'!$B:$B,$A18,'Monthly Events per venue'!$C:$C,AP$8)</f>
        <v>6</v>
      </c>
      <c r="AQ18" s="9">
        <f>SUMIFS('Monthly Events per venue'!$AS:$AS,'Monthly Events per venue'!$B:$B,$A18,'Monthly Events per venue'!$C:$C,AQ$8)</f>
        <v>84</v>
      </c>
      <c r="AR18" s="9">
        <f>SUMIFS('Monthly Events per venue'!$AS:$AS,'Monthly Events per venue'!$B:$B,$A18,'Monthly Events per venue'!$C:$C,AR$8)</f>
        <v>1</v>
      </c>
    </row>
    <row r="19" spans="1:44" ht="5.15" customHeight="1">
      <c r="C19" s="4"/>
      <c r="D19" s="9"/>
      <c r="E19" s="105"/>
      <c r="F19" s="9"/>
      <c r="G19" s="9"/>
      <c r="H19" s="9"/>
      <c r="I19" s="9"/>
      <c r="J19" s="9"/>
      <c r="K19" s="10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spans="1:44">
      <c r="C20" s="4" t="s">
        <v>272</v>
      </c>
      <c r="D20" s="9">
        <f t="shared" ref="D20:D25" si="1">D13/D$11</f>
        <v>74.024390243902445</v>
      </c>
      <c r="E20" s="105"/>
      <c r="F20" s="9">
        <f t="shared" ref="F20:J25" si="2">F13/F$11</f>
        <v>73.36363636363636</v>
      </c>
      <c r="G20" s="9">
        <f t="shared" ref="G20" si="3">G13/G$11</f>
        <v>75.315789473684205</v>
      </c>
      <c r="H20" s="9">
        <f t="shared" si="2"/>
        <v>58.75</v>
      </c>
      <c r="I20" s="9">
        <f t="shared" si="2"/>
        <v>70.599999999999994</v>
      </c>
      <c r="J20" s="9">
        <f t="shared" si="2"/>
        <v>245</v>
      </c>
      <c r="K20" s="105"/>
      <c r="L20" s="9">
        <f t="shared" ref="L20:L25" si="4">L13/L$11</f>
        <v>56</v>
      </c>
      <c r="M20" s="9">
        <f t="shared" ref="M20:AR20" si="5">M13/M$11</f>
        <v>45.5</v>
      </c>
      <c r="N20" s="9">
        <f t="shared" si="5"/>
        <v>39.5</v>
      </c>
      <c r="O20" s="9">
        <f t="shared" si="5"/>
        <v>142</v>
      </c>
      <c r="P20" s="9">
        <f t="shared" si="5"/>
        <v>54</v>
      </c>
      <c r="Q20" s="9">
        <f t="shared" si="5"/>
        <v>147</v>
      </c>
      <c r="R20" s="9">
        <f t="shared" si="5"/>
        <v>62</v>
      </c>
      <c r="S20" s="9">
        <f t="shared" si="5"/>
        <v>56</v>
      </c>
      <c r="T20" s="9">
        <f t="shared" si="5"/>
        <v>100</v>
      </c>
      <c r="U20" s="9">
        <f t="shared" si="5"/>
        <v>140</v>
      </c>
      <c r="V20" s="9">
        <f t="shared" si="5"/>
        <v>21.5</v>
      </c>
      <c r="W20" s="9">
        <f t="shared" si="5"/>
        <v>69</v>
      </c>
      <c r="X20" s="9">
        <f t="shared" si="5"/>
        <v>91</v>
      </c>
      <c r="Y20" s="9">
        <f t="shared" si="5"/>
        <v>85</v>
      </c>
      <c r="Z20" s="9">
        <f t="shared" si="5"/>
        <v>139</v>
      </c>
      <c r="AA20" s="9">
        <f t="shared" si="5"/>
        <v>65</v>
      </c>
      <c r="AB20" s="9">
        <f t="shared" si="5"/>
        <v>66</v>
      </c>
      <c r="AC20" s="9">
        <f t="shared" si="5"/>
        <v>65.5</v>
      </c>
      <c r="AD20" s="9" t="e">
        <f t="shared" si="5"/>
        <v>#N/A</v>
      </c>
      <c r="AE20" s="9">
        <f t="shared" si="5"/>
        <v>0</v>
      </c>
      <c r="AF20" s="9">
        <f t="shared" si="5"/>
        <v>41</v>
      </c>
      <c r="AG20" s="9">
        <f t="shared" si="5"/>
        <v>81</v>
      </c>
      <c r="AH20" s="9">
        <f t="shared" si="5"/>
        <v>40.5</v>
      </c>
      <c r="AI20" s="9">
        <f t="shared" si="5"/>
        <v>42</v>
      </c>
      <c r="AJ20" s="9">
        <f t="shared" si="5"/>
        <v>105</v>
      </c>
      <c r="AK20" s="9">
        <f t="shared" si="5"/>
        <v>101</v>
      </c>
      <c r="AL20" s="9">
        <f t="shared" si="5"/>
        <v>67</v>
      </c>
      <c r="AM20" s="9">
        <f t="shared" si="5"/>
        <v>83</v>
      </c>
      <c r="AN20" s="9">
        <f t="shared" si="5"/>
        <v>39</v>
      </c>
      <c r="AO20" s="9">
        <f t="shared" si="5"/>
        <v>97.5</v>
      </c>
      <c r="AP20" s="9">
        <f t="shared" si="5"/>
        <v>39</v>
      </c>
      <c r="AQ20" s="9">
        <f t="shared" si="5"/>
        <v>245</v>
      </c>
      <c r="AR20" s="9">
        <f t="shared" si="5"/>
        <v>73</v>
      </c>
    </row>
    <row r="21" spans="1:44">
      <c r="C21" s="4" t="s">
        <v>273</v>
      </c>
      <c r="D21" s="9">
        <f t="shared" si="1"/>
        <v>51.097560975609753</v>
      </c>
      <c r="E21" s="105"/>
      <c r="F21" s="9">
        <f t="shared" si="2"/>
        <v>48.68181818181818</v>
      </c>
      <c r="G21" s="9">
        <f t="shared" ref="G21" si="6">G14/G$11</f>
        <v>48.684210526315788</v>
      </c>
      <c r="H21" s="9">
        <f t="shared" si="2"/>
        <v>45.875</v>
      </c>
      <c r="I21" s="9">
        <f t="shared" si="2"/>
        <v>46.9</v>
      </c>
      <c r="J21" s="9">
        <f t="shared" si="2"/>
        <v>188</v>
      </c>
      <c r="K21" s="105"/>
      <c r="L21" s="9">
        <f t="shared" si="4"/>
        <v>38</v>
      </c>
      <c r="M21" s="9">
        <f t="shared" ref="M21:AR21" si="7">M14/M$11</f>
        <v>21</v>
      </c>
      <c r="N21" s="9">
        <f t="shared" si="7"/>
        <v>30.5</v>
      </c>
      <c r="O21" s="9">
        <f t="shared" si="7"/>
        <v>107</v>
      </c>
      <c r="P21" s="9">
        <f t="shared" si="7"/>
        <v>25</v>
      </c>
      <c r="Q21" s="9">
        <f t="shared" si="7"/>
        <v>112</v>
      </c>
      <c r="R21" s="9">
        <f t="shared" si="7"/>
        <v>39</v>
      </c>
      <c r="S21" s="9">
        <f t="shared" si="7"/>
        <v>41</v>
      </c>
      <c r="T21" s="9">
        <f t="shared" si="7"/>
        <v>86</v>
      </c>
      <c r="U21" s="9">
        <f t="shared" si="7"/>
        <v>116</v>
      </c>
      <c r="V21" s="9">
        <f t="shared" si="7"/>
        <v>15</v>
      </c>
      <c r="W21" s="9">
        <f t="shared" si="7"/>
        <v>38</v>
      </c>
      <c r="X21" s="9">
        <f t="shared" si="7"/>
        <v>65</v>
      </c>
      <c r="Y21" s="9">
        <f t="shared" si="7"/>
        <v>49</v>
      </c>
      <c r="Z21" s="9">
        <f t="shared" si="7"/>
        <v>108</v>
      </c>
      <c r="AA21" s="9">
        <f t="shared" si="7"/>
        <v>37</v>
      </c>
      <c r="AB21" s="9">
        <f t="shared" si="7"/>
        <v>33</v>
      </c>
      <c r="AC21" s="9">
        <f t="shared" si="7"/>
        <v>49</v>
      </c>
      <c r="AD21" s="9" t="e">
        <f t="shared" si="7"/>
        <v>#N/A</v>
      </c>
      <c r="AE21" s="9">
        <f t="shared" si="7"/>
        <v>0</v>
      </c>
      <c r="AF21" s="9">
        <f t="shared" si="7"/>
        <v>33</v>
      </c>
      <c r="AG21" s="9">
        <f t="shared" si="7"/>
        <v>64</v>
      </c>
      <c r="AH21" s="9">
        <f t="shared" si="7"/>
        <v>33.5</v>
      </c>
      <c r="AI21" s="9">
        <f t="shared" si="7"/>
        <v>24</v>
      </c>
      <c r="AJ21" s="9">
        <f t="shared" si="7"/>
        <v>82</v>
      </c>
      <c r="AK21" s="9">
        <f t="shared" si="7"/>
        <v>58</v>
      </c>
      <c r="AL21" s="9">
        <f t="shared" si="7"/>
        <v>39</v>
      </c>
      <c r="AM21" s="9">
        <f t="shared" si="7"/>
        <v>63</v>
      </c>
      <c r="AN21" s="9">
        <f t="shared" si="7"/>
        <v>31</v>
      </c>
      <c r="AO21" s="9">
        <f t="shared" si="7"/>
        <v>79</v>
      </c>
      <c r="AP21" s="9">
        <f t="shared" si="7"/>
        <v>7</v>
      </c>
      <c r="AQ21" s="9">
        <f t="shared" si="7"/>
        <v>188</v>
      </c>
      <c r="AR21" s="9">
        <f t="shared" si="7"/>
        <v>3</v>
      </c>
    </row>
    <row r="22" spans="1:44">
      <c r="C22" s="4" t="s">
        <v>274</v>
      </c>
      <c r="D22" s="9">
        <f t="shared" si="1"/>
        <v>39.926829268292686</v>
      </c>
      <c r="E22" s="105"/>
      <c r="F22" s="9">
        <f t="shared" si="2"/>
        <v>38.590909090909093</v>
      </c>
      <c r="G22" s="9">
        <f t="shared" ref="G22" si="8">G15/G$11</f>
        <v>36.89473684210526</v>
      </c>
      <c r="H22" s="9">
        <f t="shared" si="2"/>
        <v>32.625</v>
      </c>
      <c r="I22" s="9">
        <f t="shared" si="2"/>
        <v>41</v>
      </c>
      <c r="J22" s="9">
        <f t="shared" si="2"/>
        <v>117</v>
      </c>
      <c r="K22" s="105"/>
      <c r="L22" s="9">
        <f t="shared" si="4"/>
        <v>35</v>
      </c>
      <c r="M22" s="9">
        <f t="shared" ref="M22:AR22" si="9">M15/M$11</f>
        <v>15.5</v>
      </c>
      <c r="N22" s="9">
        <f t="shared" si="9"/>
        <v>26</v>
      </c>
      <c r="O22" s="9">
        <f t="shared" si="9"/>
        <v>77</v>
      </c>
      <c r="P22" s="9">
        <f t="shared" si="9"/>
        <v>16</v>
      </c>
      <c r="Q22" s="9">
        <f t="shared" si="9"/>
        <v>87</v>
      </c>
      <c r="R22" s="9">
        <f t="shared" si="9"/>
        <v>21</v>
      </c>
      <c r="S22" s="9">
        <f t="shared" si="9"/>
        <v>30</v>
      </c>
      <c r="T22" s="9">
        <f t="shared" si="9"/>
        <v>64</v>
      </c>
      <c r="U22" s="9">
        <f t="shared" si="9"/>
        <v>125</v>
      </c>
      <c r="V22" s="9">
        <f t="shared" si="9"/>
        <v>11.5</v>
      </c>
      <c r="W22" s="9">
        <f t="shared" si="9"/>
        <v>29</v>
      </c>
      <c r="X22" s="9">
        <f t="shared" si="9"/>
        <v>53</v>
      </c>
      <c r="Y22" s="9">
        <f t="shared" si="9"/>
        <v>30</v>
      </c>
      <c r="Z22" s="9">
        <f t="shared" si="9"/>
        <v>85</v>
      </c>
      <c r="AA22" s="9">
        <f t="shared" si="9"/>
        <v>36</v>
      </c>
      <c r="AB22" s="9">
        <f t="shared" si="9"/>
        <v>23</v>
      </c>
      <c r="AC22" s="9">
        <f t="shared" si="9"/>
        <v>32.5</v>
      </c>
      <c r="AD22" s="9" t="e">
        <f t="shared" si="9"/>
        <v>#N/A</v>
      </c>
      <c r="AE22" s="9">
        <f t="shared" si="9"/>
        <v>0</v>
      </c>
      <c r="AF22" s="9">
        <f t="shared" si="9"/>
        <v>22</v>
      </c>
      <c r="AG22" s="9">
        <f t="shared" si="9"/>
        <v>45</v>
      </c>
      <c r="AH22" s="9">
        <f t="shared" si="9"/>
        <v>23</v>
      </c>
      <c r="AI22" s="9">
        <f t="shared" si="9"/>
        <v>26</v>
      </c>
      <c r="AJ22" s="9">
        <f t="shared" si="9"/>
        <v>69</v>
      </c>
      <c r="AK22" s="9">
        <f t="shared" si="9"/>
        <v>47</v>
      </c>
      <c r="AL22" s="9">
        <f t="shared" si="9"/>
        <v>37</v>
      </c>
      <c r="AM22" s="9">
        <f t="shared" si="9"/>
        <v>54</v>
      </c>
      <c r="AN22" s="9">
        <f t="shared" si="9"/>
        <v>27</v>
      </c>
      <c r="AO22" s="9">
        <f t="shared" si="9"/>
        <v>71.5</v>
      </c>
      <c r="AP22" s="9">
        <f t="shared" si="9"/>
        <v>6</v>
      </c>
      <c r="AQ22" s="9">
        <f t="shared" si="9"/>
        <v>117</v>
      </c>
      <c r="AR22" s="9">
        <f t="shared" si="9"/>
        <v>2</v>
      </c>
    </row>
    <row r="23" spans="1:44">
      <c r="C23" s="4" t="s">
        <v>275</v>
      </c>
      <c r="D23" s="9">
        <f t="shared" si="1"/>
        <v>32.756097560975611</v>
      </c>
      <c r="E23" s="105"/>
      <c r="F23" s="9">
        <f t="shared" si="2"/>
        <v>34</v>
      </c>
      <c r="G23" s="9">
        <f t="shared" ref="G23" si="10">G16/G$11</f>
        <v>31.94736842105263</v>
      </c>
      <c r="H23" s="9">
        <f t="shared" si="2"/>
        <v>25.375</v>
      </c>
      <c r="I23" s="9">
        <f t="shared" si="2"/>
        <v>31.3</v>
      </c>
      <c r="J23" s="9">
        <f t="shared" si="2"/>
        <v>79</v>
      </c>
      <c r="K23" s="105"/>
      <c r="L23" s="9">
        <f t="shared" si="4"/>
        <v>31</v>
      </c>
      <c r="M23" s="9">
        <f t="shared" ref="M23:AR23" si="11">M16/M$11</f>
        <v>12.5</v>
      </c>
      <c r="N23" s="9">
        <f t="shared" si="11"/>
        <v>23</v>
      </c>
      <c r="O23" s="9">
        <f t="shared" si="11"/>
        <v>77</v>
      </c>
      <c r="P23" s="9">
        <f t="shared" si="11"/>
        <v>18</v>
      </c>
      <c r="Q23" s="9">
        <f t="shared" si="11"/>
        <v>74</v>
      </c>
      <c r="R23" s="9">
        <f t="shared" si="11"/>
        <v>18</v>
      </c>
      <c r="S23" s="9">
        <f t="shared" si="11"/>
        <v>25.5</v>
      </c>
      <c r="T23" s="9">
        <f t="shared" si="11"/>
        <v>50</v>
      </c>
      <c r="U23" s="9">
        <f t="shared" si="11"/>
        <v>122</v>
      </c>
      <c r="V23" s="9">
        <f t="shared" si="11"/>
        <v>9.5</v>
      </c>
      <c r="W23" s="9">
        <f t="shared" si="11"/>
        <v>25</v>
      </c>
      <c r="X23" s="9">
        <f t="shared" si="11"/>
        <v>42</v>
      </c>
      <c r="Y23" s="9">
        <f t="shared" si="11"/>
        <v>27</v>
      </c>
      <c r="Z23" s="9">
        <f t="shared" si="11"/>
        <v>75</v>
      </c>
      <c r="AA23" s="9">
        <f t="shared" si="11"/>
        <v>25</v>
      </c>
      <c r="AB23" s="9">
        <f t="shared" si="11"/>
        <v>22</v>
      </c>
      <c r="AC23" s="9">
        <f t="shared" si="11"/>
        <v>26</v>
      </c>
      <c r="AD23" s="9" t="e">
        <f t="shared" si="11"/>
        <v>#N/A</v>
      </c>
      <c r="AE23" s="9">
        <f t="shared" si="11"/>
        <v>0</v>
      </c>
      <c r="AF23" s="9">
        <f t="shared" si="11"/>
        <v>16</v>
      </c>
      <c r="AG23" s="9">
        <f t="shared" si="11"/>
        <v>33</v>
      </c>
      <c r="AH23" s="9">
        <f t="shared" si="11"/>
        <v>18</v>
      </c>
      <c r="AI23" s="9">
        <f t="shared" si="11"/>
        <v>17</v>
      </c>
      <c r="AJ23" s="9">
        <f t="shared" si="11"/>
        <v>51</v>
      </c>
      <c r="AK23" s="9">
        <f t="shared" si="11"/>
        <v>29</v>
      </c>
      <c r="AL23" s="9">
        <f t="shared" si="11"/>
        <v>29</v>
      </c>
      <c r="AM23" s="9">
        <f t="shared" si="11"/>
        <v>41</v>
      </c>
      <c r="AN23" s="9">
        <f t="shared" si="11"/>
        <v>21</v>
      </c>
      <c r="AO23" s="9">
        <f t="shared" si="11"/>
        <v>59</v>
      </c>
      <c r="AP23" s="9">
        <f t="shared" si="11"/>
        <v>3</v>
      </c>
      <c r="AQ23" s="9">
        <f t="shared" si="11"/>
        <v>79</v>
      </c>
      <c r="AR23" s="9">
        <f t="shared" si="11"/>
        <v>1</v>
      </c>
    </row>
    <row r="24" spans="1:44">
      <c r="C24" s="4" t="s">
        <v>276</v>
      </c>
      <c r="D24" s="9">
        <f t="shared" si="1"/>
        <v>43.951219512195124</v>
      </c>
      <c r="E24" s="105"/>
      <c r="F24" s="9">
        <f t="shared" si="2"/>
        <v>42.31818181818182</v>
      </c>
      <c r="G24" s="9">
        <f t="shared" ref="G24" si="12">G17/G$11</f>
        <v>41.263157894736842</v>
      </c>
      <c r="H24" s="9">
        <f t="shared" si="2"/>
        <v>34.5</v>
      </c>
      <c r="I24" s="9">
        <f t="shared" si="2"/>
        <v>40.4</v>
      </c>
      <c r="J24" s="9">
        <f t="shared" si="2"/>
        <v>191</v>
      </c>
      <c r="K24" s="105"/>
      <c r="L24" s="9">
        <f t="shared" si="4"/>
        <v>34</v>
      </c>
      <c r="M24" s="9">
        <f t="shared" ref="M24:AR24" si="13">M17/M$11</f>
        <v>18</v>
      </c>
      <c r="N24" s="9">
        <f t="shared" si="13"/>
        <v>26.5</v>
      </c>
      <c r="O24" s="9">
        <f t="shared" si="13"/>
        <v>93</v>
      </c>
      <c r="P24" s="9">
        <f t="shared" si="13"/>
        <v>18</v>
      </c>
      <c r="Q24" s="9">
        <f t="shared" si="13"/>
        <v>95</v>
      </c>
      <c r="R24" s="9">
        <f t="shared" si="13"/>
        <v>26</v>
      </c>
      <c r="S24" s="9">
        <f t="shared" si="13"/>
        <v>33</v>
      </c>
      <c r="T24" s="9">
        <f t="shared" si="13"/>
        <v>70</v>
      </c>
      <c r="U24" s="9">
        <f t="shared" si="13"/>
        <v>120</v>
      </c>
      <c r="V24" s="9">
        <f t="shared" si="13"/>
        <v>13.5</v>
      </c>
      <c r="W24" s="9">
        <f t="shared" si="13"/>
        <v>33</v>
      </c>
      <c r="X24" s="9">
        <f t="shared" si="13"/>
        <v>60</v>
      </c>
      <c r="Y24" s="9">
        <f t="shared" si="13"/>
        <v>44</v>
      </c>
      <c r="Z24" s="9">
        <f t="shared" si="13"/>
        <v>95</v>
      </c>
      <c r="AA24" s="9">
        <f t="shared" si="13"/>
        <v>34</v>
      </c>
      <c r="AB24" s="9">
        <f t="shared" si="13"/>
        <v>26</v>
      </c>
      <c r="AC24" s="9">
        <f t="shared" si="13"/>
        <v>36</v>
      </c>
      <c r="AD24" s="9" t="e">
        <f t="shared" si="13"/>
        <v>#N/A</v>
      </c>
      <c r="AE24" s="9">
        <f t="shared" si="13"/>
        <v>0</v>
      </c>
      <c r="AF24" s="9">
        <f t="shared" si="13"/>
        <v>25</v>
      </c>
      <c r="AG24" s="9">
        <f t="shared" si="13"/>
        <v>49</v>
      </c>
      <c r="AH24" s="9">
        <f t="shared" si="13"/>
        <v>22.5</v>
      </c>
      <c r="AI24" s="9">
        <f t="shared" si="13"/>
        <v>19</v>
      </c>
      <c r="AJ24" s="9">
        <f t="shared" si="13"/>
        <v>72</v>
      </c>
      <c r="AK24" s="9">
        <f t="shared" si="13"/>
        <v>47</v>
      </c>
      <c r="AL24" s="9">
        <f t="shared" si="13"/>
        <v>33</v>
      </c>
      <c r="AM24" s="9">
        <f t="shared" si="13"/>
        <v>52</v>
      </c>
      <c r="AN24" s="9">
        <f t="shared" si="13"/>
        <v>28</v>
      </c>
      <c r="AO24" s="9">
        <f t="shared" si="13"/>
        <v>69.5</v>
      </c>
      <c r="AP24" s="9">
        <f t="shared" si="13"/>
        <v>5</v>
      </c>
      <c r="AQ24" s="9">
        <f t="shared" si="13"/>
        <v>191</v>
      </c>
      <c r="AR24" s="9">
        <f t="shared" si="13"/>
        <v>1</v>
      </c>
    </row>
    <row r="25" spans="1:44">
      <c r="C25" s="4" t="s">
        <v>277</v>
      </c>
      <c r="D25" s="9">
        <f t="shared" si="1"/>
        <v>33.292682926829265</v>
      </c>
      <c r="E25" s="105"/>
      <c r="F25" s="9">
        <f t="shared" si="2"/>
        <v>33.545454545454547</v>
      </c>
      <c r="G25" s="9">
        <f t="shared" ref="G25" si="14">G18/G$11</f>
        <v>31.578947368421051</v>
      </c>
      <c r="H25" s="9">
        <f t="shared" si="2"/>
        <v>30.25</v>
      </c>
      <c r="I25" s="9">
        <f t="shared" si="2"/>
        <v>30.1</v>
      </c>
      <c r="J25" s="9">
        <f t="shared" si="2"/>
        <v>84</v>
      </c>
      <c r="K25" s="105"/>
      <c r="L25" s="9">
        <f t="shared" si="4"/>
        <v>30</v>
      </c>
      <c r="M25" s="9">
        <f t="shared" ref="M25:AR25" si="15">M18/M$11</f>
        <v>12</v>
      </c>
      <c r="N25" s="9">
        <f t="shared" si="15"/>
        <v>20.5</v>
      </c>
      <c r="O25" s="9">
        <f t="shared" si="15"/>
        <v>75</v>
      </c>
      <c r="P25" s="9">
        <f t="shared" si="15"/>
        <v>16</v>
      </c>
      <c r="Q25" s="9">
        <f t="shared" si="15"/>
        <v>74</v>
      </c>
      <c r="R25" s="9">
        <f t="shared" si="15"/>
        <v>20</v>
      </c>
      <c r="S25" s="9">
        <f t="shared" si="15"/>
        <v>27.5</v>
      </c>
      <c r="T25" s="9">
        <f t="shared" si="15"/>
        <v>53</v>
      </c>
      <c r="U25" s="9">
        <f t="shared" si="15"/>
        <v>116</v>
      </c>
      <c r="V25" s="9">
        <f t="shared" si="15"/>
        <v>11</v>
      </c>
      <c r="W25" s="9">
        <f t="shared" si="15"/>
        <v>25</v>
      </c>
      <c r="X25" s="9">
        <f t="shared" si="15"/>
        <v>40</v>
      </c>
      <c r="Y25" s="9">
        <f t="shared" si="15"/>
        <v>23</v>
      </c>
      <c r="Z25" s="9">
        <f t="shared" si="15"/>
        <v>76</v>
      </c>
      <c r="AA25" s="9">
        <f t="shared" si="15"/>
        <v>25</v>
      </c>
      <c r="AB25" s="9">
        <f t="shared" si="15"/>
        <v>22</v>
      </c>
      <c r="AC25" s="9">
        <f t="shared" si="15"/>
        <v>32</v>
      </c>
      <c r="AD25" s="9" t="e">
        <f t="shared" si="15"/>
        <v>#N/A</v>
      </c>
      <c r="AE25" s="9">
        <f t="shared" si="15"/>
        <v>0</v>
      </c>
      <c r="AF25" s="9">
        <f t="shared" si="15"/>
        <v>19</v>
      </c>
      <c r="AG25" s="9">
        <f t="shared" si="15"/>
        <v>43</v>
      </c>
      <c r="AH25" s="9">
        <f t="shared" si="15"/>
        <v>19</v>
      </c>
      <c r="AI25" s="9">
        <f t="shared" si="15"/>
        <v>18</v>
      </c>
      <c r="AJ25" s="9">
        <f t="shared" si="15"/>
        <v>50</v>
      </c>
      <c r="AK25" s="9">
        <f t="shared" si="15"/>
        <v>29</v>
      </c>
      <c r="AL25" s="9">
        <f t="shared" si="15"/>
        <v>21</v>
      </c>
      <c r="AM25" s="9">
        <f t="shared" si="15"/>
        <v>44</v>
      </c>
      <c r="AN25" s="9">
        <f t="shared" si="15"/>
        <v>21</v>
      </c>
      <c r="AO25" s="9">
        <f t="shared" si="15"/>
        <v>54.5</v>
      </c>
      <c r="AP25" s="9">
        <f t="shared" si="15"/>
        <v>6</v>
      </c>
      <c r="AQ25" s="9">
        <f t="shared" si="15"/>
        <v>84</v>
      </c>
      <c r="AR25" s="9">
        <f t="shared" si="15"/>
        <v>1</v>
      </c>
    </row>
    <row r="26" spans="1:44" ht="5.15" customHeight="1">
      <c r="D26" s="21"/>
      <c r="E26" s="106"/>
      <c r="F26" s="21"/>
      <c r="G26" s="21"/>
      <c r="H26" s="21"/>
      <c r="I26" s="21"/>
      <c r="J26" s="21"/>
      <c r="K26" s="106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</row>
    <row r="27" spans="1:44" s="22" customFormat="1">
      <c r="C27" s="23" t="s">
        <v>278</v>
      </c>
      <c r="D27" s="24">
        <f>D14/D$13</f>
        <v>0.69028006589785829</v>
      </c>
      <c r="E27" s="107"/>
      <c r="F27" s="24">
        <f>F14/F$13</f>
        <v>0.66356877323420072</v>
      </c>
      <c r="G27" s="24">
        <f>G14/G$13</f>
        <v>0.64640111809923129</v>
      </c>
      <c r="H27" s="24">
        <f>H14/H$13</f>
        <v>0.7808510638297872</v>
      </c>
      <c r="I27" s="24">
        <f>I14/I$13</f>
        <v>0.6643059490084986</v>
      </c>
      <c r="J27" s="24">
        <f>J14/J$13</f>
        <v>0.76734693877551019</v>
      </c>
      <c r="K27" s="107"/>
      <c r="L27" s="24">
        <f>L14/L$13</f>
        <v>0.6785714285714286</v>
      </c>
      <c r="M27" s="24">
        <f t="shared" ref="M27:AR27" si="16">M14/M$13</f>
        <v>0.46153846153846156</v>
      </c>
      <c r="N27" s="24">
        <f t="shared" si="16"/>
        <v>0.77215189873417722</v>
      </c>
      <c r="O27" s="24">
        <f t="shared" si="16"/>
        <v>0.75352112676056338</v>
      </c>
      <c r="P27" s="24">
        <f t="shared" si="16"/>
        <v>0.46296296296296297</v>
      </c>
      <c r="Q27" s="24">
        <f t="shared" si="16"/>
        <v>0.76190476190476186</v>
      </c>
      <c r="R27" s="24">
        <f t="shared" si="16"/>
        <v>0.62903225806451613</v>
      </c>
      <c r="S27" s="24">
        <f t="shared" si="16"/>
        <v>0.7321428571428571</v>
      </c>
      <c r="T27" s="24">
        <f t="shared" si="16"/>
        <v>0.86</v>
      </c>
      <c r="U27" s="24">
        <f t="shared" si="16"/>
        <v>0.82857142857142863</v>
      </c>
      <c r="V27" s="24">
        <f t="shared" si="16"/>
        <v>0.69767441860465118</v>
      </c>
      <c r="W27" s="24">
        <f t="shared" si="16"/>
        <v>0.55072463768115942</v>
      </c>
      <c r="X27" s="24">
        <f t="shared" si="16"/>
        <v>0.7142857142857143</v>
      </c>
      <c r="Y27" s="24">
        <f t="shared" si="16"/>
        <v>0.57647058823529407</v>
      </c>
      <c r="Z27" s="24">
        <f t="shared" si="16"/>
        <v>0.7769784172661871</v>
      </c>
      <c r="AA27" s="24">
        <f t="shared" si="16"/>
        <v>0.56923076923076921</v>
      </c>
      <c r="AB27" s="24">
        <f t="shared" si="16"/>
        <v>0.5</v>
      </c>
      <c r="AC27" s="24">
        <f t="shared" si="16"/>
        <v>0.74809160305343514</v>
      </c>
      <c r="AD27" s="24" t="e">
        <f t="shared" si="16"/>
        <v>#DIV/0!</v>
      </c>
      <c r="AE27" s="24" t="e">
        <f t="shared" si="16"/>
        <v>#DIV/0!</v>
      </c>
      <c r="AF27" s="24">
        <f t="shared" si="16"/>
        <v>0.80487804878048785</v>
      </c>
      <c r="AG27" s="24">
        <f t="shared" si="16"/>
        <v>0.79012345679012341</v>
      </c>
      <c r="AH27" s="24">
        <f t="shared" si="16"/>
        <v>0.8271604938271605</v>
      </c>
      <c r="AI27" s="24">
        <f t="shared" si="16"/>
        <v>0.5714285714285714</v>
      </c>
      <c r="AJ27" s="24">
        <f t="shared" si="16"/>
        <v>0.78095238095238095</v>
      </c>
      <c r="AK27" s="24">
        <f t="shared" si="16"/>
        <v>0.57425742574257421</v>
      </c>
      <c r="AL27" s="24">
        <f t="shared" si="16"/>
        <v>0.58208955223880599</v>
      </c>
      <c r="AM27" s="24">
        <f t="shared" si="16"/>
        <v>0.75903614457831325</v>
      </c>
      <c r="AN27" s="24">
        <f t="shared" si="16"/>
        <v>0.79487179487179482</v>
      </c>
      <c r="AO27" s="24">
        <f t="shared" si="16"/>
        <v>0.81025641025641026</v>
      </c>
      <c r="AP27" s="24">
        <f t="shared" si="16"/>
        <v>0.17948717948717949</v>
      </c>
      <c r="AQ27" s="24">
        <f t="shared" si="16"/>
        <v>0.76734693877551019</v>
      </c>
      <c r="AR27" s="24">
        <f t="shared" si="16"/>
        <v>4.1095890410958902E-2</v>
      </c>
    </row>
    <row r="28" spans="1:44" s="22" customFormat="1">
      <c r="C28" s="23" t="s">
        <v>279</v>
      </c>
      <c r="D28" s="24">
        <f>D15/D$13</f>
        <v>0.53937397034596379</v>
      </c>
      <c r="E28" s="107"/>
      <c r="F28" s="24">
        <f t="shared" ref="F28:H28" si="17">F15/F$13</f>
        <v>0.52602230483271373</v>
      </c>
      <c r="G28" s="24">
        <f t="shared" ref="G28" si="18">G15/G$13</f>
        <v>0.48986722571628233</v>
      </c>
      <c r="H28" s="24">
        <f t="shared" si="17"/>
        <v>0.55531914893617018</v>
      </c>
      <c r="I28" s="24">
        <f t="shared" ref="I28:J28" si="19">I15/I$13</f>
        <v>0.58073654390934848</v>
      </c>
      <c r="J28" s="24">
        <f t="shared" si="19"/>
        <v>0.47755102040816327</v>
      </c>
      <c r="K28" s="107"/>
      <c r="L28" s="24">
        <f t="shared" ref="L28:AR28" si="20">L15/L$13</f>
        <v>0.625</v>
      </c>
      <c r="M28" s="24">
        <f t="shared" si="20"/>
        <v>0.34065934065934067</v>
      </c>
      <c r="N28" s="24">
        <f t="shared" si="20"/>
        <v>0.65822784810126578</v>
      </c>
      <c r="O28" s="24">
        <f t="shared" si="20"/>
        <v>0.54225352112676062</v>
      </c>
      <c r="P28" s="24">
        <f t="shared" si="20"/>
        <v>0.29629629629629628</v>
      </c>
      <c r="Q28" s="24">
        <f t="shared" si="20"/>
        <v>0.59183673469387754</v>
      </c>
      <c r="R28" s="24">
        <f t="shared" si="20"/>
        <v>0.33870967741935482</v>
      </c>
      <c r="S28" s="24">
        <f t="shared" si="20"/>
        <v>0.5357142857142857</v>
      </c>
      <c r="T28" s="24">
        <f t="shared" si="20"/>
        <v>0.64</v>
      </c>
      <c r="U28" s="24">
        <f t="shared" si="20"/>
        <v>0.8928571428571429</v>
      </c>
      <c r="V28" s="24">
        <f t="shared" si="20"/>
        <v>0.53488372093023251</v>
      </c>
      <c r="W28" s="24">
        <f t="shared" si="20"/>
        <v>0.42028985507246375</v>
      </c>
      <c r="X28" s="24">
        <f t="shared" si="20"/>
        <v>0.58241758241758246</v>
      </c>
      <c r="Y28" s="24">
        <f t="shared" si="20"/>
        <v>0.35294117647058826</v>
      </c>
      <c r="Z28" s="24">
        <f t="shared" si="20"/>
        <v>0.61151079136690645</v>
      </c>
      <c r="AA28" s="24">
        <f t="shared" si="20"/>
        <v>0.55384615384615388</v>
      </c>
      <c r="AB28" s="24">
        <f t="shared" si="20"/>
        <v>0.34848484848484851</v>
      </c>
      <c r="AC28" s="24">
        <f t="shared" si="20"/>
        <v>0.49618320610687022</v>
      </c>
      <c r="AD28" s="24" t="e">
        <f t="shared" si="20"/>
        <v>#DIV/0!</v>
      </c>
      <c r="AE28" s="24" t="e">
        <f t="shared" si="20"/>
        <v>#DIV/0!</v>
      </c>
      <c r="AF28" s="24">
        <f t="shared" si="20"/>
        <v>0.53658536585365857</v>
      </c>
      <c r="AG28" s="24">
        <f t="shared" si="20"/>
        <v>0.55555555555555558</v>
      </c>
      <c r="AH28" s="24">
        <f t="shared" si="20"/>
        <v>0.5679012345679012</v>
      </c>
      <c r="AI28" s="24">
        <f t="shared" si="20"/>
        <v>0.61904761904761907</v>
      </c>
      <c r="AJ28" s="24">
        <f t="shared" si="20"/>
        <v>0.65714285714285714</v>
      </c>
      <c r="AK28" s="24">
        <f t="shared" si="20"/>
        <v>0.46534653465346537</v>
      </c>
      <c r="AL28" s="24">
        <f t="shared" si="20"/>
        <v>0.55223880597014929</v>
      </c>
      <c r="AM28" s="24">
        <f t="shared" si="20"/>
        <v>0.6506024096385542</v>
      </c>
      <c r="AN28" s="24">
        <f t="shared" si="20"/>
        <v>0.69230769230769229</v>
      </c>
      <c r="AO28" s="24">
        <f t="shared" si="20"/>
        <v>0.73333333333333328</v>
      </c>
      <c r="AP28" s="24">
        <f t="shared" si="20"/>
        <v>0.15384615384615385</v>
      </c>
      <c r="AQ28" s="24">
        <f t="shared" si="20"/>
        <v>0.47755102040816327</v>
      </c>
      <c r="AR28" s="24">
        <f t="shared" si="20"/>
        <v>2.7397260273972601E-2</v>
      </c>
    </row>
    <row r="29" spans="1:44" s="22" customFormat="1">
      <c r="C29" s="23" t="s">
        <v>280</v>
      </c>
      <c r="D29" s="24">
        <f>D16/D$13</f>
        <v>0.44250411861614497</v>
      </c>
      <c r="E29" s="107"/>
      <c r="F29" s="24">
        <f t="shared" ref="F29:H29" si="21">F16/F$13</f>
        <v>0.46344485749690212</v>
      </c>
      <c r="G29" s="24">
        <f t="shared" ref="G29" si="22">G16/G$13</f>
        <v>0.42417889587700908</v>
      </c>
      <c r="H29" s="24">
        <f t="shared" si="21"/>
        <v>0.43191489361702129</v>
      </c>
      <c r="I29" s="24">
        <f t="shared" ref="I29:J29" si="23">I16/I$13</f>
        <v>0.443342776203966</v>
      </c>
      <c r="J29" s="24">
        <f t="shared" si="23"/>
        <v>0.32244897959183672</v>
      </c>
      <c r="K29" s="107"/>
      <c r="L29" s="24">
        <f t="shared" ref="L29:AR29" si="24">L16/L$13</f>
        <v>0.5535714285714286</v>
      </c>
      <c r="M29" s="24">
        <f t="shared" si="24"/>
        <v>0.27472527472527475</v>
      </c>
      <c r="N29" s="24">
        <f t="shared" si="24"/>
        <v>0.58227848101265822</v>
      </c>
      <c r="O29" s="24">
        <f t="shared" si="24"/>
        <v>0.54225352112676062</v>
      </c>
      <c r="P29" s="24">
        <f t="shared" si="24"/>
        <v>0.33333333333333331</v>
      </c>
      <c r="Q29" s="24">
        <f t="shared" si="24"/>
        <v>0.50340136054421769</v>
      </c>
      <c r="R29" s="24">
        <f t="shared" si="24"/>
        <v>0.29032258064516131</v>
      </c>
      <c r="S29" s="24">
        <f t="shared" si="24"/>
        <v>0.45535714285714285</v>
      </c>
      <c r="T29" s="24">
        <f t="shared" si="24"/>
        <v>0.5</v>
      </c>
      <c r="U29" s="24">
        <f t="shared" si="24"/>
        <v>0.87142857142857144</v>
      </c>
      <c r="V29" s="24">
        <f t="shared" si="24"/>
        <v>0.44186046511627908</v>
      </c>
      <c r="W29" s="24">
        <f t="shared" si="24"/>
        <v>0.36231884057971014</v>
      </c>
      <c r="X29" s="24">
        <f t="shared" si="24"/>
        <v>0.46153846153846156</v>
      </c>
      <c r="Y29" s="24">
        <f t="shared" si="24"/>
        <v>0.31764705882352939</v>
      </c>
      <c r="Z29" s="24">
        <f t="shared" si="24"/>
        <v>0.53956834532374098</v>
      </c>
      <c r="AA29" s="24">
        <f t="shared" si="24"/>
        <v>0.38461538461538464</v>
      </c>
      <c r="AB29" s="24">
        <f t="shared" si="24"/>
        <v>0.33333333333333331</v>
      </c>
      <c r="AC29" s="24">
        <f t="shared" si="24"/>
        <v>0.39694656488549618</v>
      </c>
      <c r="AD29" s="24" t="e">
        <f t="shared" si="24"/>
        <v>#DIV/0!</v>
      </c>
      <c r="AE29" s="24" t="e">
        <f t="shared" si="24"/>
        <v>#DIV/0!</v>
      </c>
      <c r="AF29" s="24">
        <f t="shared" si="24"/>
        <v>0.3902439024390244</v>
      </c>
      <c r="AG29" s="24">
        <f t="shared" si="24"/>
        <v>0.40740740740740738</v>
      </c>
      <c r="AH29" s="24">
        <f t="shared" si="24"/>
        <v>0.44444444444444442</v>
      </c>
      <c r="AI29" s="24">
        <f t="shared" si="24"/>
        <v>0.40476190476190477</v>
      </c>
      <c r="AJ29" s="24">
        <f t="shared" si="24"/>
        <v>0.48571428571428571</v>
      </c>
      <c r="AK29" s="24">
        <f t="shared" si="24"/>
        <v>0.28712871287128711</v>
      </c>
      <c r="AL29" s="24">
        <f t="shared" si="24"/>
        <v>0.43283582089552236</v>
      </c>
      <c r="AM29" s="24">
        <f t="shared" si="24"/>
        <v>0.49397590361445781</v>
      </c>
      <c r="AN29" s="24">
        <f t="shared" si="24"/>
        <v>0.53846153846153844</v>
      </c>
      <c r="AO29" s="24">
        <f t="shared" si="24"/>
        <v>0.60512820512820509</v>
      </c>
      <c r="AP29" s="24">
        <f t="shared" si="24"/>
        <v>7.6923076923076927E-2</v>
      </c>
      <c r="AQ29" s="24">
        <f t="shared" si="24"/>
        <v>0.32244897959183672</v>
      </c>
      <c r="AR29" s="24">
        <f t="shared" si="24"/>
        <v>1.3698630136986301E-2</v>
      </c>
    </row>
    <row r="30" spans="1:44" s="22" customFormat="1">
      <c r="C30" s="23" t="s">
        <v>281</v>
      </c>
      <c r="D30" s="24">
        <f>D17/D$13</f>
        <v>0.59373970345963756</v>
      </c>
      <c r="E30" s="107"/>
      <c r="F30" s="24">
        <f t="shared" ref="F30:H30" si="25">F17/F$13</f>
        <v>0.57682775712515488</v>
      </c>
      <c r="G30" s="24">
        <f t="shared" ref="G30" si="26">G17/G$13</f>
        <v>0.54786862334032149</v>
      </c>
      <c r="H30" s="24">
        <f t="shared" si="25"/>
        <v>0.58723404255319145</v>
      </c>
      <c r="I30" s="24">
        <f t="shared" ref="I30:J30" si="27">I17/I$13</f>
        <v>0.57223796033994334</v>
      </c>
      <c r="J30" s="24">
        <f t="shared" si="27"/>
        <v>0.7795918367346939</v>
      </c>
      <c r="K30" s="107"/>
      <c r="L30" s="24">
        <f t="shared" ref="L30:AR30" si="28">L17/L$13</f>
        <v>0.6071428571428571</v>
      </c>
      <c r="M30" s="24">
        <f t="shared" si="28"/>
        <v>0.39560439560439559</v>
      </c>
      <c r="N30" s="24">
        <f t="shared" si="28"/>
        <v>0.67088607594936711</v>
      </c>
      <c r="O30" s="24">
        <f t="shared" si="28"/>
        <v>0.65492957746478875</v>
      </c>
      <c r="P30" s="24">
        <f t="shared" si="28"/>
        <v>0.33333333333333331</v>
      </c>
      <c r="Q30" s="24">
        <f t="shared" si="28"/>
        <v>0.6462585034013606</v>
      </c>
      <c r="R30" s="24">
        <f t="shared" si="28"/>
        <v>0.41935483870967744</v>
      </c>
      <c r="S30" s="24">
        <f t="shared" si="28"/>
        <v>0.5892857142857143</v>
      </c>
      <c r="T30" s="24">
        <f t="shared" si="28"/>
        <v>0.7</v>
      </c>
      <c r="U30" s="24">
        <f t="shared" si="28"/>
        <v>0.8571428571428571</v>
      </c>
      <c r="V30" s="24">
        <f t="shared" si="28"/>
        <v>0.62790697674418605</v>
      </c>
      <c r="W30" s="24">
        <f t="shared" si="28"/>
        <v>0.47826086956521741</v>
      </c>
      <c r="X30" s="24">
        <f t="shared" si="28"/>
        <v>0.65934065934065933</v>
      </c>
      <c r="Y30" s="24">
        <f t="shared" si="28"/>
        <v>0.51764705882352946</v>
      </c>
      <c r="Z30" s="24">
        <f t="shared" si="28"/>
        <v>0.68345323741007191</v>
      </c>
      <c r="AA30" s="24">
        <f t="shared" si="28"/>
        <v>0.52307692307692311</v>
      </c>
      <c r="AB30" s="24">
        <f t="shared" si="28"/>
        <v>0.39393939393939392</v>
      </c>
      <c r="AC30" s="24">
        <f t="shared" si="28"/>
        <v>0.54961832061068705</v>
      </c>
      <c r="AD30" s="24" t="e">
        <f t="shared" si="28"/>
        <v>#DIV/0!</v>
      </c>
      <c r="AE30" s="24" t="e">
        <f t="shared" si="28"/>
        <v>#DIV/0!</v>
      </c>
      <c r="AF30" s="24">
        <f t="shared" si="28"/>
        <v>0.6097560975609756</v>
      </c>
      <c r="AG30" s="24">
        <f t="shared" si="28"/>
        <v>0.60493827160493829</v>
      </c>
      <c r="AH30" s="24">
        <f t="shared" si="28"/>
        <v>0.55555555555555558</v>
      </c>
      <c r="AI30" s="24">
        <f t="shared" si="28"/>
        <v>0.45238095238095238</v>
      </c>
      <c r="AJ30" s="24">
        <f t="shared" si="28"/>
        <v>0.68571428571428572</v>
      </c>
      <c r="AK30" s="24">
        <f t="shared" si="28"/>
        <v>0.46534653465346537</v>
      </c>
      <c r="AL30" s="24">
        <f t="shared" si="28"/>
        <v>0.4925373134328358</v>
      </c>
      <c r="AM30" s="24">
        <f t="shared" si="28"/>
        <v>0.62650602409638556</v>
      </c>
      <c r="AN30" s="24">
        <f t="shared" si="28"/>
        <v>0.71794871794871795</v>
      </c>
      <c r="AO30" s="24">
        <f t="shared" si="28"/>
        <v>0.71282051282051284</v>
      </c>
      <c r="AP30" s="24">
        <f t="shared" si="28"/>
        <v>0.12820512820512819</v>
      </c>
      <c r="AQ30" s="24">
        <f t="shared" si="28"/>
        <v>0.7795918367346939</v>
      </c>
      <c r="AR30" s="24">
        <f t="shared" si="28"/>
        <v>1.3698630136986301E-2</v>
      </c>
    </row>
    <row r="31" spans="1:44" s="22" customFormat="1">
      <c r="C31" s="23" t="s">
        <v>282</v>
      </c>
      <c r="D31" s="24">
        <f>D18/D$13</f>
        <v>0.44975288303130151</v>
      </c>
      <c r="E31" s="107"/>
      <c r="F31" s="24">
        <f t="shared" ref="F31:H31" si="29">F18/F$13</f>
        <v>0.45724907063197023</v>
      </c>
      <c r="G31" s="24">
        <f t="shared" ref="G31" si="30">G18/G$13</f>
        <v>0.41928721174004191</v>
      </c>
      <c r="H31" s="24">
        <f t="shared" si="29"/>
        <v>0.51489361702127656</v>
      </c>
      <c r="I31" s="24">
        <f t="shared" ref="I31:J31" si="31">I18/I$13</f>
        <v>0.42634560906515578</v>
      </c>
      <c r="J31" s="24">
        <f t="shared" si="31"/>
        <v>0.34285714285714286</v>
      </c>
      <c r="K31" s="107"/>
      <c r="L31" s="24">
        <f t="shared" ref="L31:AR31" si="32">L18/L$13</f>
        <v>0.5357142857142857</v>
      </c>
      <c r="M31" s="24">
        <f t="shared" si="32"/>
        <v>0.26373626373626374</v>
      </c>
      <c r="N31" s="24">
        <f t="shared" si="32"/>
        <v>0.51898734177215189</v>
      </c>
      <c r="O31" s="24">
        <f t="shared" si="32"/>
        <v>0.528169014084507</v>
      </c>
      <c r="P31" s="24">
        <f t="shared" si="32"/>
        <v>0.29629629629629628</v>
      </c>
      <c r="Q31" s="24">
        <f t="shared" si="32"/>
        <v>0.50340136054421769</v>
      </c>
      <c r="R31" s="24">
        <f t="shared" si="32"/>
        <v>0.32258064516129031</v>
      </c>
      <c r="S31" s="24">
        <f t="shared" si="32"/>
        <v>0.49107142857142855</v>
      </c>
      <c r="T31" s="24">
        <f t="shared" si="32"/>
        <v>0.53</v>
      </c>
      <c r="U31" s="24">
        <f t="shared" si="32"/>
        <v>0.82857142857142863</v>
      </c>
      <c r="V31" s="24">
        <f t="shared" si="32"/>
        <v>0.51162790697674421</v>
      </c>
      <c r="W31" s="24">
        <f t="shared" si="32"/>
        <v>0.36231884057971014</v>
      </c>
      <c r="X31" s="24">
        <f t="shared" si="32"/>
        <v>0.43956043956043955</v>
      </c>
      <c r="Y31" s="24">
        <f t="shared" si="32"/>
        <v>0.27058823529411763</v>
      </c>
      <c r="Z31" s="24">
        <f t="shared" si="32"/>
        <v>0.5467625899280576</v>
      </c>
      <c r="AA31" s="24">
        <f t="shared" si="32"/>
        <v>0.38461538461538464</v>
      </c>
      <c r="AB31" s="24">
        <f t="shared" si="32"/>
        <v>0.33333333333333331</v>
      </c>
      <c r="AC31" s="24">
        <f t="shared" si="32"/>
        <v>0.48854961832061067</v>
      </c>
      <c r="AD31" s="24" t="e">
        <f t="shared" si="32"/>
        <v>#DIV/0!</v>
      </c>
      <c r="AE31" s="24" t="e">
        <f t="shared" si="32"/>
        <v>#DIV/0!</v>
      </c>
      <c r="AF31" s="24">
        <f t="shared" si="32"/>
        <v>0.46341463414634149</v>
      </c>
      <c r="AG31" s="24">
        <f t="shared" si="32"/>
        <v>0.53086419753086422</v>
      </c>
      <c r="AH31" s="24">
        <f t="shared" si="32"/>
        <v>0.46913580246913578</v>
      </c>
      <c r="AI31" s="24">
        <f t="shared" si="32"/>
        <v>0.42857142857142855</v>
      </c>
      <c r="AJ31" s="24">
        <f t="shared" si="32"/>
        <v>0.47619047619047616</v>
      </c>
      <c r="AK31" s="24">
        <f t="shared" si="32"/>
        <v>0.28712871287128711</v>
      </c>
      <c r="AL31" s="24">
        <f t="shared" si="32"/>
        <v>0.31343283582089554</v>
      </c>
      <c r="AM31" s="24">
        <f t="shared" si="32"/>
        <v>0.53012048192771088</v>
      </c>
      <c r="AN31" s="24">
        <f t="shared" si="32"/>
        <v>0.53846153846153844</v>
      </c>
      <c r="AO31" s="24">
        <f t="shared" si="32"/>
        <v>0.55897435897435899</v>
      </c>
      <c r="AP31" s="24">
        <f t="shared" si="32"/>
        <v>0.15384615384615385</v>
      </c>
      <c r="AQ31" s="24">
        <f t="shared" si="32"/>
        <v>0.34285714285714286</v>
      </c>
      <c r="AR31" s="24">
        <f t="shared" si="32"/>
        <v>1.3698630136986301E-2</v>
      </c>
    </row>
    <row r="32" spans="1:44">
      <c r="D32" s="21"/>
      <c r="E32" s="106"/>
      <c r="F32" s="21"/>
      <c r="G32" s="21"/>
      <c r="H32" s="21"/>
      <c r="I32" s="21"/>
      <c r="J32" s="21"/>
      <c r="K32" s="106"/>
      <c r="L32" s="21"/>
    </row>
    <row r="33" spans="3:44">
      <c r="C33" s="20" t="s">
        <v>297</v>
      </c>
      <c r="D33" s="21"/>
      <c r="E33" s="106"/>
      <c r="F33" s="21"/>
      <c r="G33" s="21"/>
      <c r="H33" s="21"/>
      <c r="I33" s="21"/>
      <c r="J33" s="21"/>
      <c r="K33" s="106"/>
      <c r="L33" s="21"/>
    </row>
    <row r="34" spans="3:44">
      <c r="C34" s="4" t="s">
        <v>267</v>
      </c>
      <c r="D34" s="17">
        <f>D51/D14</f>
        <v>1.6865751837708829</v>
      </c>
      <c r="E34" s="108"/>
      <c r="F34" s="17">
        <f>F51/F14</f>
        <v>1.708426704014939</v>
      </c>
      <c r="G34" s="17">
        <f>G51/G14</f>
        <v>1.6143513513513512</v>
      </c>
      <c r="H34" s="17">
        <f>H51/H14</f>
        <v>1.245640326975477</v>
      </c>
      <c r="I34" s="17">
        <f>I51/I14</f>
        <v>1.6479211300639658</v>
      </c>
      <c r="J34" s="17">
        <f>J51/J14</f>
        <v>2.5192819148936172</v>
      </c>
      <c r="K34" s="108"/>
      <c r="L34" s="17">
        <f t="shared" ref="L34:AR34" si="33">L51/L14</f>
        <v>1.2552631578947369</v>
      </c>
      <c r="M34" s="17">
        <f t="shared" si="33"/>
        <v>2.2071428571428573</v>
      </c>
      <c r="N34" s="17">
        <f t="shared" si="33"/>
        <v>1.8434426229508196</v>
      </c>
      <c r="O34" s="17">
        <f t="shared" si="33"/>
        <v>1.4116822429906544</v>
      </c>
      <c r="P34" s="17">
        <f t="shared" si="33"/>
        <v>1.75</v>
      </c>
      <c r="Q34" s="17">
        <f t="shared" si="33"/>
        <v>1.5959821428571428</v>
      </c>
      <c r="R34" s="17">
        <f t="shared" si="33"/>
        <v>1.6205128205128205</v>
      </c>
      <c r="S34" s="17">
        <f t="shared" si="33"/>
        <v>1.6521341463414634</v>
      </c>
      <c r="T34" s="17">
        <f t="shared" si="33"/>
        <v>1.8616279069767441</v>
      </c>
      <c r="U34" s="17">
        <f t="shared" si="33"/>
        <v>2.6025862068965515</v>
      </c>
      <c r="V34" s="17">
        <f t="shared" si="33"/>
        <v>1.1516666666666666</v>
      </c>
      <c r="W34" s="17">
        <f t="shared" si="33"/>
        <v>1.0486842105263159</v>
      </c>
      <c r="X34" s="17">
        <f t="shared" si="33"/>
        <v>1.7776923076923077</v>
      </c>
      <c r="Y34" s="17">
        <f t="shared" si="33"/>
        <v>1.7903061224489796</v>
      </c>
      <c r="Z34" s="17">
        <f t="shared" si="33"/>
        <v>1.6988425925925925</v>
      </c>
      <c r="AA34" s="17">
        <f t="shared" si="33"/>
        <v>1.2006756756756756</v>
      </c>
      <c r="AB34" s="17">
        <f t="shared" si="33"/>
        <v>1.0901515151515151</v>
      </c>
      <c r="AC34" s="17">
        <f t="shared" si="33"/>
        <v>1.7747448979591838</v>
      </c>
      <c r="AD34" s="17" t="e">
        <f t="shared" si="33"/>
        <v>#VALUE!</v>
      </c>
      <c r="AE34" s="17" t="e">
        <f t="shared" si="33"/>
        <v>#DIV/0!</v>
      </c>
      <c r="AF34" s="17">
        <f t="shared" si="33"/>
        <v>1.5787878787878789</v>
      </c>
      <c r="AG34" s="17">
        <f t="shared" si="33"/>
        <v>1.591015625</v>
      </c>
      <c r="AH34" s="17">
        <f t="shared" si="33"/>
        <v>1.5399253731343283</v>
      </c>
      <c r="AI34" s="17">
        <f t="shared" si="33"/>
        <v>1.0885416666666667</v>
      </c>
      <c r="AJ34" s="17">
        <f t="shared" si="33"/>
        <v>1.5317073170731708</v>
      </c>
      <c r="AK34" s="17">
        <f t="shared" si="33"/>
        <v>1.5603449999999999</v>
      </c>
      <c r="AL34" s="17">
        <f t="shared" si="33"/>
        <v>1.6833333333333336</v>
      </c>
      <c r="AM34" s="17">
        <f t="shared" si="33"/>
        <v>1.6531746031746033</v>
      </c>
      <c r="AN34" s="17">
        <f t="shared" si="33"/>
        <v>1.5701612903225806</v>
      </c>
      <c r="AO34" s="17">
        <f t="shared" si="33"/>
        <v>1.7732594936708861</v>
      </c>
      <c r="AP34" s="17">
        <f t="shared" si="33"/>
        <v>1.3499999999999999</v>
      </c>
      <c r="AQ34" s="17">
        <f t="shared" si="33"/>
        <v>2.5192819148936172</v>
      </c>
      <c r="AR34" s="17">
        <f t="shared" si="33"/>
        <v>0.3666666666666667</v>
      </c>
    </row>
    <row r="35" spans="3:44">
      <c r="C35" s="4" t="s">
        <v>268</v>
      </c>
      <c r="D35" s="17">
        <f>D49/D15</f>
        <v>3.2563305925473429</v>
      </c>
      <c r="E35" s="108"/>
      <c r="F35" s="17">
        <f>F49/F15</f>
        <v>3.3282028621908126</v>
      </c>
      <c r="G35" s="17">
        <f>G49/G15</f>
        <v>2.6496882738944363</v>
      </c>
      <c r="H35" s="17">
        <f>H49/H15</f>
        <v>2.2383869731800767</v>
      </c>
      <c r="I35" s="17">
        <f>I49/I15</f>
        <v>3.8055558292682923</v>
      </c>
      <c r="J35" s="17">
        <f>J49/J15</f>
        <v>3.0809577777777779</v>
      </c>
      <c r="K35" s="108"/>
      <c r="L35" s="17">
        <f t="shared" ref="L35:AR35" si="34">L49/L15</f>
        <v>1.7991417142857145</v>
      </c>
      <c r="M35" s="17">
        <f t="shared" si="34"/>
        <v>2.7597903225806451</v>
      </c>
      <c r="N35" s="17">
        <f t="shared" si="34"/>
        <v>2.6373515384615382</v>
      </c>
      <c r="O35" s="17">
        <f t="shared" si="34"/>
        <v>2.2252416883116886</v>
      </c>
      <c r="P35" s="17">
        <f t="shared" si="34"/>
        <v>2.2041249999999999</v>
      </c>
      <c r="Q35" s="17">
        <f t="shared" si="34"/>
        <v>3.4052832183908044</v>
      </c>
      <c r="R35" s="17">
        <f t="shared" si="34"/>
        <v>2.7783333333333333</v>
      </c>
      <c r="S35" s="17">
        <f t="shared" si="34"/>
        <v>3.038011</v>
      </c>
      <c r="T35" s="17">
        <f t="shared" si="34"/>
        <v>2.8377906249999998</v>
      </c>
      <c r="U35" s="17">
        <f t="shared" si="34"/>
        <v>7.2857666400000003</v>
      </c>
      <c r="V35" s="17">
        <f t="shared" si="34"/>
        <v>2.4996486956521737</v>
      </c>
      <c r="W35" s="17">
        <f t="shared" si="34"/>
        <v>1.4689941379310345</v>
      </c>
      <c r="X35" s="17">
        <f t="shared" si="34"/>
        <v>2.5438113207547168</v>
      </c>
      <c r="Y35" s="17">
        <f t="shared" si="34"/>
        <v>2.8154499999999998</v>
      </c>
      <c r="Z35" s="17">
        <f t="shared" si="34"/>
        <v>3.2474009411764704</v>
      </c>
      <c r="AA35" s="17">
        <f t="shared" si="34"/>
        <v>1.7640972222222222</v>
      </c>
      <c r="AB35" s="17">
        <f t="shared" si="34"/>
        <v>1.5918695652173913</v>
      </c>
      <c r="AC35" s="17">
        <f t="shared" si="34"/>
        <v>3.3879904615384615</v>
      </c>
      <c r="AD35" s="17" t="e">
        <f t="shared" si="34"/>
        <v>#VALUE!</v>
      </c>
      <c r="AE35" s="17" t="e">
        <f t="shared" si="34"/>
        <v>#DIV/0!</v>
      </c>
      <c r="AF35" s="17">
        <f t="shared" si="34"/>
        <v>2.5023563636363635</v>
      </c>
      <c r="AG35" s="17">
        <f t="shared" si="34"/>
        <v>2.6087893333333336</v>
      </c>
      <c r="AH35" s="17">
        <f t="shared" si="34"/>
        <v>2.9943697826086959</v>
      </c>
      <c r="AI35" s="17">
        <f t="shared" si="34"/>
        <v>2.0696634615384615</v>
      </c>
      <c r="AJ35" s="17">
        <f t="shared" si="34"/>
        <v>3.2178771014492753</v>
      </c>
      <c r="AK35" s="17">
        <f t="shared" si="34"/>
        <v>2.6426310638297874</v>
      </c>
      <c r="AL35" s="17">
        <f t="shared" si="34"/>
        <v>3.2684829729729734</v>
      </c>
      <c r="AM35" s="17">
        <f t="shared" si="34"/>
        <v>2.9028748148148149</v>
      </c>
      <c r="AN35" s="17">
        <f t="shared" si="34"/>
        <v>3.8038287037037035</v>
      </c>
      <c r="AO35" s="17">
        <f t="shared" si="34"/>
        <v>4.9819639860139855</v>
      </c>
      <c r="AP35" s="17">
        <f t="shared" si="34"/>
        <v>3.0873333333333335</v>
      </c>
      <c r="AQ35" s="17">
        <f t="shared" si="34"/>
        <v>3.0809577777777779</v>
      </c>
      <c r="AR35" s="17">
        <f t="shared" si="34"/>
        <v>4.30816</v>
      </c>
    </row>
    <row r="36" spans="3:44">
      <c r="C36" s="4" t="s">
        <v>269</v>
      </c>
      <c r="D36" s="17">
        <f>D53/D16</f>
        <v>1.1287598361876396</v>
      </c>
      <c r="E36" s="108"/>
      <c r="F36" s="17">
        <f>F53/F16</f>
        <v>1.1263107754010697</v>
      </c>
      <c r="G36" s="17">
        <f>G53/G16</f>
        <v>1.103626787479407</v>
      </c>
      <c r="H36" s="17">
        <f>H53/H16</f>
        <v>0.94653201970443346</v>
      </c>
      <c r="I36" s="17">
        <f>I53/I16</f>
        <v>1.2215527156549522</v>
      </c>
      <c r="J36" s="17">
        <f>J53/J16</f>
        <v>1.2525569620253165</v>
      </c>
      <c r="K36" s="108"/>
      <c r="L36" s="17">
        <f t="shared" ref="L36:AR36" si="35">L53/L16</f>
        <v>0.73893548387096775</v>
      </c>
      <c r="M36" s="17">
        <f t="shared" si="35"/>
        <v>1.2414799999999999</v>
      </c>
      <c r="N36" s="17">
        <f t="shared" si="35"/>
        <v>1.2758913043478262</v>
      </c>
      <c r="O36" s="17">
        <f t="shared" si="35"/>
        <v>0.75127870129870122</v>
      </c>
      <c r="P36" s="17">
        <f t="shared" si="35"/>
        <v>1.2594444444444446</v>
      </c>
      <c r="Q36" s="17">
        <f t="shared" si="35"/>
        <v>1.2793243243243244</v>
      </c>
      <c r="R36" s="17">
        <f t="shared" si="35"/>
        <v>1.2888888888888888</v>
      </c>
      <c r="S36" s="17">
        <f t="shared" si="35"/>
        <v>1.2561372549019609</v>
      </c>
      <c r="T36" s="17">
        <f t="shared" si="35"/>
        <v>1.2551000000000001</v>
      </c>
      <c r="U36" s="17">
        <f t="shared" si="35"/>
        <v>1.274688524590164</v>
      </c>
      <c r="V36" s="17">
        <f t="shared" si="35"/>
        <v>0.89826315789473687</v>
      </c>
      <c r="W36" s="17">
        <f t="shared" si="35"/>
        <v>0.73120000000000007</v>
      </c>
      <c r="X36" s="17">
        <f t="shared" si="35"/>
        <v>1.2263095238095238</v>
      </c>
      <c r="Y36" s="17">
        <f t="shared" si="35"/>
        <v>1.3118888888888889</v>
      </c>
      <c r="Z36" s="17">
        <f t="shared" si="35"/>
        <v>1.2267866666666667</v>
      </c>
      <c r="AA36" s="17">
        <f t="shared" si="35"/>
        <v>0.73040000000000005</v>
      </c>
      <c r="AB36" s="17">
        <f t="shared" si="35"/>
        <v>0.7538636363636364</v>
      </c>
      <c r="AC36" s="17">
        <f t="shared" si="35"/>
        <v>1.3969423076923078</v>
      </c>
      <c r="AD36" s="17" t="e">
        <f t="shared" si="35"/>
        <v>#VALUE!</v>
      </c>
      <c r="AE36" s="17" t="e">
        <f t="shared" si="35"/>
        <v>#DIV/0!</v>
      </c>
      <c r="AF36" s="17">
        <f t="shared" si="35"/>
        <v>1.2296875</v>
      </c>
      <c r="AG36" s="17">
        <f t="shared" si="35"/>
        <v>1.2227272727272727</v>
      </c>
      <c r="AH36" s="17">
        <f t="shared" si="35"/>
        <v>1.2498333333333334</v>
      </c>
      <c r="AI36" s="17">
        <f t="shared" si="35"/>
        <v>0.85211764705882354</v>
      </c>
      <c r="AJ36" s="17">
        <f t="shared" si="35"/>
        <v>1.2317647058823529</v>
      </c>
      <c r="AK36" s="17">
        <f t="shared" si="35"/>
        <v>1.2917241379310345</v>
      </c>
      <c r="AL36" s="17">
        <f t="shared" si="35"/>
        <v>1.292448275862069</v>
      </c>
      <c r="AM36" s="17">
        <f t="shared" si="35"/>
        <v>1.2258780487804879</v>
      </c>
      <c r="AN36" s="17">
        <f t="shared" si="35"/>
        <v>1.2173809523809525</v>
      </c>
      <c r="AO36" s="17">
        <f t="shared" si="35"/>
        <v>1.1830000000000001</v>
      </c>
      <c r="AP36" s="17">
        <f t="shared" si="35"/>
        <v>1.2</v>
      </c>
      <c r="AQ36" s="17">
        <f t="shared" si="35"/>
        <v>1.2525569620253165</v>
      </c>
      <c r="AR36" s="17">
        <f t="shared" si="35"/>
        <v>0</v>
      </c>
    </row>
    <row r="37" spans="3:44">
      <c r="C37" s="4" t="s">
        <v>270</v>
      </c>
      <c r="D37" s="17">
        <f>D52/D17</f>
        <v>0.79107037180910111</v>
      </c>
      <c r="E37" s="108"/>
      <c r="F37" s="17">
        <f t="shared" ref="F37:J38" si="36">F52/F17</f>
        <v>0.83356827067669181</v>
      </c>
      <c r="G37" s="17">
        <f t="shared" ref="G37" si="37">G52/G17</f>
        <v>0.79484693877551027</v>
      </c>
      <c r="H37" s="17">
        <f t="shared" si="36"/>
        <v>0.61263315217391301</v>
      </c>
      <c r="I37" s="17">
        <f t="shared" si="36"/>
        <v>0.80487438118811871</v>
      </c>
      <c r="J37" s="17">
        <f t="shared" si="36"/>
        <v>0.81256937172774868</v>
      </c>
      <c r="K37" s="108"/>
      <c r="L37" s="17">
        <f t="shared" ref="L37:AR37" si="38">L52/L17</f>
        <v>0.75121323529411765</v>
      </c>
      <c r="M37" s="17">
        <f t="shared" si="38"/>
        <v>0.80909722222222225</v>
      </c>
      <c r="N37" s="17">
        <f t="shared" si="38"/>
        <v>0.7947877358490566</v>
      </c>
      <c r="O37" s="17">
        <f t="shared" si="38"/>
        <v>0.75721774193548386</v>
      </c>
      <c r="P37" s="17">
        <f t="shared" si="38"/>
        <v>0.80868055555555562</v>
      </c>
      <c r="Q37" s="17">
        <f t="shared" si="38"/>
        <v>0.82722368421052639</v>
      </c>
      <c r="R37" s="17">
        <f t="shared" si="38"/>
        <v>0.77524038461538458</v>
      </c>
      <c r="S37" s="17">
        <f t="shared" si="38"/>
        <v>0.79895833333333333</v>
      </c>
      <c r="T37" s="17">
        <f t="shared" si="38"/>
        <v>0.85228214285714288</v>
      </c>
      <c r="U37" s="17">
        <f t="shared" si="38"/>
        <v>1.1398296666666667</v>
      </c>
      <c r="V37" s="17">
        <f t="shared" si="38"/>
        <v>0.59675925925925932</v>
      </c>
      <c r="W37" s="17">
        <f t="shared" si="38"/>
        <v>0.75015151515151512</v>
      </c>
      <c r="X37" s="17">
        <f t="shared" si="38"/>
        <v>0.80512499999999998</v>
      </c>
      <c r="Y37" s="17">
        <f t="shared" si="38"/>
        <v>0.78366477272727275</v>
      </c>
      <c r="Z37" s="17">
        <f t="shared" si="38"/>
        <v>0.82150000000000001</v>
      </c>
      <c r="AA37" s="17">
        <f t="shared" si="38"/>
        <v>0.75250735294117643</v>
      </c>
      <c r="AB37" s="17">
        <f t="shared" si="38"/>
        <v>0.73403846153846153</v>
      </c>
      <c r="AC37" s="17">
        <f t="shared" si="38"/>
        <v>0.85992013888888896</v>
      </c>
      <c r="AD37" s="17" t="e">
        <f t="shared" si="38"/>
        <v>#VALUE!</v>
      </c>
      <c r="AE37" s="17" t="e">
        <f t="shared" si="38"/>
        <v>#DIV/0!</v>
      </c>
      <c r="AF37" s="17">
        <f t="shared" si="38"/>
        <v>0.82096999999999998</v>
      </c>
      <c r="AG37" s="17">
        <f t="shared" si="38"/>
        <v>0.76678571428571429</v>
      </c>
      <c r="AH37" s="17">
        <f t="shared" si="38"/>
        <v>0.77126111111111106</v>
      </c>
      <c r="AI37" s="17">
        <f t="shared" si="38"/>
        <v>0.75626315789473686</v>
      </c>
      <c r="AJ37" s="17">
        <f t="shared" si="38"/>
        <v>0.80519097222222225</v>
      </c>
      <c r="AK37" s="17">
        <f t="shared" si="38"/>
        <v>0.75327659574468098</v>
      </c>
      <c r="AL37" s="17">
        <f t="shared" si="38"/>
        <v>0.83553787878787877</v>
      </c>
      <c r="AM37" s="17">
        <f t="shared" si="38"/>
        <v>0.78319711538461534</v>
      </c>
      <c r="AN37" s="17">
        <f t="shared" si="38"/>
        <v>0.80722767857142852</v>
      </c>
      <c r="AO37" s="17">
        <f t="shared" si="38"/>
        <v>0.82392266187050356</v>
      </c>
      <c r="AP37" s="17">
        <f t="shared" si="38"/>
        <v>0.75250000000000006</v>
      </c>
      <c r="AQ37" s="17">
        <f t="shared" si="38"/>
        <v>0.81256937172774868</v>
      </c>
      <c r="AR37" s="17">
        <f t="shared" si="38"/>
        <v>0</v>
      </c>
    </row>
    <row r="38" spans="3:44">
      <c r="C38" s="4" t="s">
        <v>271</v>
      </c>
      <c r="D38" s="17">
        <f>D53/D18</f>
        <v>1.11056736996337</v>
      </c>
      <c r="E38" s="108"/>
      <c r="F38" s="17">
        <f t="shared" si="36"/>
        <v>1.1415724390243904</v>
      </c>
      <c r="G38" s="17">
        <f t="shared" ref="G38" si="39">G53/G18</f>
        <v>1.1165024333333333</v>
      </c>
      <c r="H38" s="17">
        <f t="shared" si="36"/>
        <v>0.79399173553719005</v>
      </c>
      <c r="I38" s="17">
        <f t="shared" si="36"/>
        <v>1.2702524916943523</v>
      </c>
      <c r="J38" s="17">
        <f t="shared" si="36"/>
        <v>1.1779999999999999</v>
      </c>
      <c r="K38" s="108"/>
      <c r="L38" s="17">
        <f t="shared" ref="L38:AR38" si="40">L53/L18</f>
        <v>0.76356666666666662</v>
      </c>
      <c r="M38" s="17">
        <f t="shared" si="40"/>
        <v>1.2932083333333333</v>
      </c>
      <c r="N38" s="17">
        <f t="shared" si="40"/>
        <v>1.4314878048780488</v>
      </c>
      <c r="O38" s="17">
        <f t="shared" si="40"/>
        <v>0.77131279999999991</v>
      </c>
      <c r="P38" s="17">
        <f t="shared" si="40"/>
        <v>1.4168750000000001</v>
      </c>
      <c r="Q38" s="17">
        <f t="shared" si="40"/>
        <v>1.2793243243243244</v>
      </c>
      <c r="R38" s="17">
        <f t="shared" si="40"/>
        <v>1.1599999999999999</v>
      </c>
      <c r="S38" s="17">
        <f t="shared" si="40"/>
        <v>1.1647818181818181</v>
      </c>
      <c r="T38" s="17">
        <f t="shared" si="40"/>
        <v>1.1840566037735849</v>
      </c>
      <c r="U38" s="17">
        <f t="shared" si="40"/>
        <v>1.3406206896551724</v>
      </c>
      <c r="V38" s="17">
        <f t="shared" si="40"/>
        <v>0.77577272727272728</v>
      </c>
      <c r="W38" s="17">
        <f t="shared" si="40"/>
        <v>0.73120000000000007</v>
      </c>
      <c r="X38" s="17">
        <f t="shared" si="40"/>
        <v>1.287625</v>
      </c>
      <c r="Y38" s="17">
        <f t="shared" si="40"/>
        <v>1.5400434782608696</v>
      </c>
      <c r="Z38" s="17">
        <f t="shared" si="40"/>
        <v>1.2106447368421052</v>
      </c>
      <c r="AA38" s="17">
        <f t="shared" si="40"/>
        <v>0.73040000000000005</v>
      </c>
      <c r="AB38" s="17">
        <f t="shared" si="40"/>
        <v>0.7538636363636364</v>
      </c>
      <c r="AC38" s="17">
        <f t="shared" si="40"/>
        <v>1.1350156250000001</v>
      </c>
      <c r="AD38" s="17" t="e">
        <f t="shared" si="40"/>
        <v>#VALUE!</v>
      </c>
      <c r="AE38" s="17" t="e">
        <f t="shared" si="40"/>
        <v>#DIV/0!</v>
      </c>
      <c r="AF38" s="17">
        <f t="shared" si="40"/>
        <v>1.0355263157894736</v>
      </c>
      <c r="AG38" s="17">
        <f t="shared" si="40"/>
        <v>0.93837209302325586</v>
      </c>
      <c r="AH38" s="17">
        <f t="shared" si="40"/>
        <v>1.1840526315789475</v>
      </c>
      <c r="AI38" s="17">
        <f t="shared" si="40"/>
        <v>0.80477777777777781</v>
      </c>
      <c r="AJ38" s="17">
        <f t="shared" si="40"/>
        <v>1.2564</v>
      </c>
      <c r="AK38" s="17">
        <f t="shared" si="40"/>
        <v>1.2917241379310345</v>
      </c>
      <c r="AL38" s="17">
        <f t="shared" si="40"/>
        <v>1.7848095238095238</v>
      </c>
      <c r="AM38" s="17">
        <f t="shared" si="40"/>
        <v>1.1422954545454547</v>
      </c>
      <c r="AN38" s="17">
        <f t="shared" si="40"/>
        <v>1.2173809523809525</v>
      </c>
      <c r="AO38" s="17">
        <f t="shared" si="40"/>
        <v>1.2806788990825688</v>
      </c>
      <c r="AP38" s="17">
        <f t="shared" si="40"/>
        <v>0.6</v>
      </c>
      <c r="AQ38" s="17">
        <f t="shared" si="40"/>
        <v>1.1779999999999999</v>
      </c>
      <c r="AR38" s="17">
        <f t="shared" si="40"/>
        <v>0</v>
      </c>
    </row>
    <row r="39" spans="3:44">
      <c r="C39" s="4" t="s">
        <v>304</v>
      </c>
      <c r="D39" s="17">
        <f>SUM(D54:D59)/D$13</f>
        <v>0.66640874464579902</v>
      </c>
      <c r="E39" s="108"/>
      <c r="F39" s="17">
        <f t="shared" ref="F39:J39" si="41">SUM(F54:F59)/F$13</f>
        <v>0.78271323420074335</v>
      </c>
      <c r="G39" s="17">
        <f t="shared" ref="G39" si="42">SUM(G54:G59)/G$13</f>
        <v>0.71655899371069176</v>
      </c>
      <c r="H39" s="17">
        <f t="shared" si="41"/>
        <v>0.61324691489361705</v>
      </c>
      <c r="I39" s="17">
        <f t="shared" si="41"/>
        <v>0.50485457507082154</v>
      </c>
      <c r="J39" s="17">
        <f t="shared" si="41"/>
        <v>0.46774693877551027</v>
      </c>
      <c r="K39" s="108"/>
      <c r="L39" s="17">
        <f t="shared" ref="L39:AR39" si="43">SUM(L54:L59)/L$13</f>
        <v>0.62535714285714283</v>
      </c>
      <c r="M39" s="17">
        <f t="shared" si="43"/>
        <v>0.64611538461538465</v>
      </c>
      <c r="N39" s="17">
        <f t="shared" si="43"/>
        <v>0.78896202531645565</v>
      </c>
      <c r="O39" s="17">
        <f t="shared" si="43"/>
        <v>0.77977683098591544</v>
      </c>
      <c r="P39" s="17">
        <f t="shared" si="43"/>
        <v>0.70219444444444445</v>
      </c>
      <c r="Q39" s="17">
        <f t="shared" si="43"/>
        <v>0.7832659863945578</v>
      </c>
      <c r="R39" s="17">
        <f t="shared" si="43"/>
        <v>0.63363709677419355</v>
      </c>
      <c r="S39" s="17">
        <f t="shared" si="43"/>
        <v>0.77079910714285726</v>
      </c>
      <c r="T39" s="17">
        <f t="shared" si="43"/>
        <v>0.82189999999999996</v>
      </c>
      <c r="U39" s="17">
        <f t="shared" si="43"/>
        <v>1.4175731428571428</v>
      </c>
      <c r="V39" s="17">
        <f t="shared" si="43"/>
        <v>0.91727906976744178</v>
      </c>
      <c r="W39" s="17">
        <f t="shared" si="43"/>
        <v>0.52347826086956517</v>
      </c>
      <c r="X39" s="17">
        <f t="shared" si="43"/>
        <v>0.78482967032967033</v>
      </c>
      <c r="Y39" s="17">
        <f t="shared" si="43"/>
        <v>0.73828823529411769</v>
      </c>
      <c r="Z39" s="17">
        <f t="shared" si="43"/>
        <v>1.0645899280575539</v>
      </c>
      <c r="AA39" s="17">
        <f t="shared" si="43"/>
        <v>0.69759230769230762</v>
      </c>
      <c r="AB39" s="17">
        <f t="shared" si="43"/>
        <v>0.56253045454545447</v>
      </c>
      <c r="AC39" s="17">
        <f t="shared" si="43"/>
        <v>0.76430572519083972</v>
      </c>
      <c r="AD39" s="17" t="e">
        <f t="shared" si="43"/>
        <v>#DIV/0!</v>
      </c>
      <c r="AE39" s="17" t="e">
        <f t="shared" si="43"/>
        <v>#DIV/0!</v>
      </c>
      <c r="AF39" s="17">
        <f t="shared" si="43"/>
        <v>0.89229268292682917</v>
      </c>
      <c r="AG39" s="17">
        <f t="shared" si="43"/>
        <v>0.78369135802469136</v>
      </c>
      <c r="AH39" s="17">
        <f t="shared" si="43"/>
        <v>0.64287654320987653</v>
      </c>
      <c r="AI39" s="17">
        <f t="shared" si="43"/>
        <v>0.85633333333333339</v>
      </c>
      <c r="AJ39" s="17">
        <f t="shared" si="43"/>
        <v>0.58381885714285708</v>
      </c>
      <c r="AK39" s="17">
        <f t="shared" si="43"/>
        <v>0.52929693069306927</v>
      </c>
      <c r="AL39" s="17">
        <f t="shared" si="43"/>
        <v>0.65666417910447761</v>
      </c>
      <c r="AM39" s="17">
        <f t="shared" si="43"/>
        <v>0.56420469879518065</v>
      </c>
      <c r="AN39" s="17">
        <f t="shared" si="43"/>
        <v>0.63449999999999995</v>
      </c>
      <c r="AO39" s="17">
        <f t="shared" si="43"/>
        <v>0.49303010256410251</v>
      </c>
      <c r="AP39" s="17">
        <f t="shared" si="43"/>
        <v>0.13358974358974357</v>
      </c>
      <c r="AQ39" s="17">
        <f t="shared" si="43"/>
        <v>0.46774693877551027</v>
      </c>
      <c r="AR39" s="17">
        <f t="shared" si="43"/>
        <v>-4.2232876712328768E-2</v>
      </c>
    </row>
    <row r="40" spans="3:44">
      <c r="C40" s="4" t="s">
        <v>296</v>
      </c>
      <c r="D40" s="17">
        <f>D60/D13</f>
        <v>5.8708705403624393</v>
      </c>
      <c r="E40" s="108"/>
      <c r="F40" s="17">
        <f>F60/F13</f>
        <v>6.0393283209417614</v>
      </c>
      <c r="G40" s="17">
        <f>G60/G13</f>
        <v>5.0469873235499669</v>
      </c>
      <c r="H40" s="17">
        <f>H60/H13</f>
        <v>4.7266444468085114</v>
      </c>
      <c r="I40" s="17">
        <f>I60/I13</f>
        <v>6.1350502549575081</v>
      </c>
      <c r="J40" s="17">
        <f>J60/J13</f>
        <v>6.194889020408163</v>
      </c>
      <c r="K40" s="108"/>
      <c r="L40" s="17">
        <f t="shared" ref="L40:AR40" si="44">L60/L13</f>
        <v>4.3417537500000005</v>
      </c>
      <c r="M40" s="17">
        <f t="shared" si="44"/>
        <v>4.0188406593406585</v>
      </c>
      <c r="N40" s="17">
        <f t="shared" si="44"/>
        <v>6.7156332911392402</v>
      </c>
      <c r="O40" s="17">
        <f t="shared" si="44"/>
        <v>5.0242368309859167</v>
      </c>
      <c r="P40" s="17">
        <f t="shared" si="44"/>
        <v>3.765013888888888</v>
      </c>
      <c r="Q40" s="17">
        <f t="shared" si="44"/>
        <v>6.6343944897959179</v>
      </c>
      <c r="R40" s="17">
        <f t="shared" si="44"/>
        <v>4.232850806451613</v>
      </c>
      <c r="S40" s="17">
        <f t="shared" si="44"/>
        <v>5.9310661607142867</v>
      </c>
      <c r="T40" s="17">
        <f t="shared" si="44"/>
        <v>6.9317335</v>
      </c>
      <c r="U40" s="17">
        <f t="shared" si="44"/>
        <v>16.528733071428572</v>
      </c>
      <c r="V40" s="17">
        <f t="shared" si="44"/>
        <v>4.9119632558139541</v>
      </c>
      <c r="W40" s="17">
        <f t="shared" si="44"/>
        <v>2.9363163768115941</v>
      </c>
      <c r="X40" s="17">
        <f t="shared" si="44"/>
        <v>5.9896043956043954</v>
      </c>
      <c r="Y40" s="17">
        <f t="shared" si="44"/>
        <v>4.2825911764705875</v>
      </c>
      <c r="Z40" s="17">
        <f t="shared" si="44"/>
        <v>7.3739825899280582</v>
      </c>
      <c r="AA40" s="17">
        <f t="shared" si="44"/>
        <v>3.7857115384615381</v>
      </c>
      <c r="AB40" s="17">
        <f t="shared" si="44"/>
        <v>2.7512880303030305</v>
      </c>
      <c r="AC40" s="17">
        <f t="shared" si="44"/>
        <v>6.3955631297709941</v>
      </c>
      <c r="AD40" s="17" t="e">
        <f t="shared" si="44"/>
        <v>#VALUE!</v>
      </c>
      <c r="AE40" s="17" t="e">
        <f t="shared" si="44"/>
        <v>#DIV/0!</v>
      </c>
      <c r="AF40" s="17">
        <f t="shared" si="44"/>
        <v>5.9715875609756104</v>
      </c>
      <c r="AG40" s="17">
        <f t="shared" si="44"/>
        <v>5.8866916049382727</v>
      </c>
      <c r="AH40" s="17">
        <f t="shared" si="44"/>
        <v>6.0041945679012336</v>
      </c>
      <c r="AI40" s="17">
        <f t="shared" si="44"/>
        <v>4.183505952380953</v>
      </c>
      <c r="AJ40" s="17">
        <f t="shared" si="44"/>
        <v>6.3638404761904761</v>
      </c>
      <c r="AK40" s="17">
        <f t="shared" si="44"/>
        <v>4.2799669306930683</v>
      </c>
      <c r="AL40" s="17">
        <f t="shared" si="44"/>
        <v>5.3072256716417918</v>
      </c>
      <c r="AM40" s="17">
        <f t="shared" si="44"/>
        <v>6.1912226506024108</v>
      </c>
      <c r="AN40" s="17">
        <f t="shared" si="44"/>
        <v>7.4292628205128199</v>
      </c>
      <c r="AO40" s="17">
        <f t="shared" si="44"/>
        <v>8.8496459999999999</v>
      </c>
      <c r="AP40" s="17">
        <f t="shared" si="44"/>
        <v>1.4422179487179489</v>
      </c>
      <c r="AQ40" s="17">
        <f t="shared" si="44"/>
        <v>6.194889020408163</v>
      </c>
      <c r="AR40" s="17">
        <f t="shared" si="44"/>
        <v>9.0867397260273985E-2</v>
      </c>
    </row>
    <row r="41" spans="3:44">
      <c r="C41" s="4"/>
      <c r="D41" s="17"/>
      <c r="E41" s="108"/>
      <c r="F41" s="17"/>
      <c r="G41" s="17"/>
      <c r="H41" s="17"/>
      <c r="I41" s="17"/>
      <c r="J41" s="17"/>
      <c r="K41" s="108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 spans="3:44">
      <c r="C42" s="4" t="s">
        <v>301</v>
      </c>
      <c r="D42" s="48">
        <f>D62/D$13</f>
        <v>5.1467523294892921</v>
      </c>
      <c r="E42" s="109"/>
      <c r="F42" s="48">
        <f t="shared" ref="F42:J42" si="45">F62/F$13</f>
        <v>5.1566798946716235</v>
      </c>
      <c r="G42" s="48">
        <f t="shared" ref="G42" si="46">G62/G$13</f>
        <v>4.2720303354297693</v>
      </c>
      <c r="H42" s="48">
        <f t="shared" si="45"/>
        <v>3.4890047446808512</v>
      </c>
      <c r="I42" s="48">
        <f t="shared" si="45"/>
        <v>5.6814358356940504</v>
      </c>
      <c r="J42" s="48">
        <f t="shared" si="45"/>
        <v>6.7207593469387747</v>
      </c>
      <c r="K42" s="109"/>
      <c r="L42" s="48">
        <f t="shared" ref="L42:AR42" si="47">L62/L$13</f>
        <v>2.7763539285714285</v>
      </c>
      <c r="M42" s="48">
        <f t="shared" si="47"/>
        <v>4.1451960439560445</v>
      </c>
      <c r="N42" s="48">
        <f t="shared" si="47"/>
        <v>5.8332275949367087</v>
      </c>
      <c r="O42" s="48">
        <f t="shared" si="47"/>
        <v>3.4403871126760559</v>
      </c>
      <c r="P42" s="48">
        <f t="shared" si="47"/>
        <v>4.2648148148148151</v>
      </c>
      <c r="Q42" s="48">
        <f t="shared" si="47"/>
        <v>5.1003264625850333</v>
      </c>
      <c r="R42" s="48">
        <f t="shared" si="47"/>
        <v>3.2683064516129035</v>
      </c>
      <c r="S42" s="48">
        <f t="shared" si="47"/>
        <v>4.0877430357142854</v>
      </c>
      <c r="T42" s="48">
        <f t="shared" si="47"/>
        <v>3.8790058000000003</v>
      </c>
      <c r="U42" s="48">
        <f t="shared" si="47"/>
        <v>14.83647092857143</v>
      </c>
      <c r="V42" s="48">
        <f t="shared" si="47"/>
        <v>3.0813955813953489</v>
      </c>
      <c r="W42" s="48">
        <f t="shared" si="47"/>
        <v>1.9433165217391306</v>
      </c>
      <c r="X42" s="48">
        <f t="shared" si="47"/>
        <v>4.5021092307692303</v>
      </c>
      <c r="Y42" s="48">
        <f t="shared" si="47"/>
        <v>4.2427428235294116</v>
      </c>
      <c r="Z42" s="48">
        <f t="shared" si="47"/>
        <v>5.1173533093525174</v>
      </c>
      <c r="AA42" s="48">
        <f t="shared" si="47"/>
        <v>3.2801533846153847</v>
      </c>
      <c r="AB42" s="48">
        <f t="shared" si="47"/>
        <v>2.6065146969696973</v>
      </c>
      <c r="AC42" s="48">
        <f t="shared" si="47"/>
        <v>5.078321908396946</v>
      </c>
      <c r="AD42" s="48" t="e">
        <f t="shared" si="47"/>
        <v>#VALUE!</v>
      </c>
      <c r="AE42" s="48" t="e">
        <f t="shared" si="47"/>
        <v>#DIV/0!</v>
      </c>
      <c r="AF42" s="48">
        <f t="shared" si="47"/>
        <v>3.2133351219512192</v>
      </c>
      <c r="AG42" s="48">
        <f t="shared" si="47"/>
        <v>4.9733360493827163</v>
      </c>
      <c r="AH42" s="48">
        <f t="shared" si="47"/>
        <v>4.1135912345679015</v>
      </c>
      <c r="AI42" s="48">
        <f t="shared" si="47"/>
        <v>2.5815557142857144</v>
      </c>
      <c r="AJ42" s="48">
        <f t="shared" si="47"/>
        <v>4.904070285714285</v>
      </c>
      <c r="AK42" s="48">
        <f t="shared" si="47"/>
        <v>3.9546600000000001</v>
      </c>
      <c r="AL42" s="48">
        <f t="shared" si="47"/>
        <v>4.7959998507462691</v>
      </c>
      <c r="AM42" s="48">
        <f t="shared" si="47"/>
        <v>4.010855180722892</v>
      </c>
      <c r="AN42" s="48">
        <f t="shared" si="47"/>
        <v>7.9352757692307687</v>
      </c>
      <c r="AO42" s="48">
        <f t="shared" si="47"/>
        <v>7.4279852307692309</v>
      </c>
      <c r="AP42" s="48">
        <f t="shared" si="47"/>
        <v>9.6180528205128191</v>
      </c>
      <c r="AQ42" s="48">
        <f t="shared" si="47"/>
        <v>6.7207593469387747</v>
      </c>
      <c r="AR42" s="48">
        <f t="shared" si="47"/>
        <v>8.2445210958904109</v>
      </c>
    </row>
    <row r="43" spans="3:44">
      <c r="C43" s="4" t="s">
        <v>299</v>
      </c>
      <c r="D43" s="48">
        <f>D61/D13</f>
        <v>5.0523327479406914</v>
      </c>
      <c r="E43" s="109"/>
      <c r="F43" s="48">
        <f>F61/F13</f>
        <v>4.9378764250309777</v>
      </c>
      <c r="G43" s="48">
        <f>G61/G13</f>
        <v>4.5149292802236189</v>
      </c>
      <c r="H43" s="48">
        <f>H61/H13</f>
        <v>3.6897054680851062</v>
      </c>
      <c r="I43" s="48">
        <f>I61/I13</f>
        <v>5.5214750991501411</v>
      </c>
      <c r="J43" s="48">
        <f>J61/J13</f>
        <v>7.0684667346938772</v>
      </c>
      <c r="K43" s="109"/>
      <c r="L43" s="48">
        <f t="shared" ref="L43:AR43" si="48">L61/L13</f>
        <v>3.0326785714285718</v>
      </c>
      <c r="M43" s="48">
        <f t="shared" si="48"/>
        <v>5.4873514285714284</v>
      </c>
      <c r="N43" s="48">
        <f t="shared" si="48"/>
        <v>5.8550126582278477</v>
      </c>
      <c r="O43" s="48">
        <f t="shared" si="48"/>
        <v>3.5555400000000001</v>
      </c>
      <c r="P43" s="48">
        <f t="shared" si="48"/>
        <v>4.4337188888888894</v>
      </c>
      <c r="Q43" s="48">
        <f t="shared" si="48"/>
        <v>5.8644217006802721</v>
      </c>
      <c r="R43" s="48">
        <f t="shared" si="48"/>
        <v>5.2974838709677421</v>
      </c>
      <c r="S43" s="48">
        <f t="shared" si="48"/>
        <v>5.4340534821428568</v>
      </c>
      <c r="T43" s="48">
        <f t="shared" si="48"/>
        <v>4.6195398000000001</v>
      </c>
      <c r="U43" s="48">
        <f t="shared" si="48"/>
        <v>9.2166815</v>
      </c>
      <c r="V43" s="48">
        <f t="shared" si="48"/>
        <v>5.0821706976744192</v>
      </c>
      <c r="W43" s="48">
        <f t="shared" si="48"/>
        <v>2.725275217391304</v>
      </c>
      <c r="X43" s="48">
        <f t="shared" si="48"/>
        <v>5.2939427472527472</v>
      </c>
      <c r="Y43" s="48">
        <f t="shared" si="48"/>
        <v>5.0983367058823523</v>
      </c>
      <c r="Z43" s="48">
        <f t="shared" si="48"/>
        <v>5.630963956834532</v>
      </c>
      <c r="AA43" s="48">
        <f t="shared" si="48"/>
        <v>3.5602769230769233</v>
      </c>
      <c r="AB43" s="48">
        <f t="shared" si="48"/>
        <v>2.9049087878787883</v>
      </c>
      <c r="AC43" s="48">
        <f t="shared" si="48"/>
        <v>5.0506690076335872</v>
      </c>
      <c r="AD43" s="48" t="e">
        <f t="shared" si="48"/>
        <v>#VALUE!</v>
      </c>
      <c r="AE43" s="48" t="e">
        <f t="shared" si="48"/>
        <v>#DIV/0!</v>
      </c>
      <c r="AF43" s="48">
        <f t="shared" si="48"/>
        <v>4.7220480487804881</v>
      </c>
      <c r="AG43" s="48">
        <f t="shared" si="48"/>
        <v>4.451357777777778</v>
      </c>
      <c r="AH43" s="48">
        <f t="shared" si="48"/>
        <v>4.8262343209876546</v>
      </c>
      <c r="AI43" s="48">
        <f t="shared" si="48"/>
        <v>3.0341666666666667</v>
      </c>
      <c r="AJ43" s="48">
        <f t="shared" si="48"/>
        <v>5.3553905714285719</v>
      </c>
      <c r="AK43" s="48">
        <f t="shared" si="48"/>
        <v>5.4485638613861385</v>
      </c>
      <c r="AL43" s="48">
        <f t="shared" si="48"/>
        <v>5.0904925373134331</v>
      </c>
      <c r="AM43" s="48">
        <f t="shared" si="48"/>
        <v>4.8423373493975905</v>
      </c>
      <c r="AN43" s="48">
        <f t="shared" si="48"/>
        <v>6.9492564102564103</v>
      </c>
      <c r="AO43" s="48">
        <f t="shared" si="48"/>
        <v>7.0776910256410259</v>
      </c>
      <c r="AP43" s="48">
        <f t="shared" si="48"/>
        <v>3.0864541025641024</v>
      </c>
      <c r="AQ43" s="48">
        <f t="shared" si="48"/>
        <v>7.0684667346938772</v>
      </c>
      <c r="AR43" s="48">
        <f t="shared" si="48"/>
        <v>0.20208205479452054</v>
      </c>
    </row>
    <row r="44" spans="3:44">
      <c r="C44" s="4" t="s">
        <v>298</v>
      </c>
      <c r="D44" s="48">
        <f>D64/D13</f>
        <v>3.0830680593080717</v>
      </c>
      <c r="E44" s="109"/>
      <c r="F44" s="48">
        <f>F64/F13</f>
        <v>2.9437465241635685</v>
      </c>
      <c r="G44" s="48">
        <f>G64/G13</f>
        <v>2.6945922082459819</v>
      </c>
      <c r="H44" s="48">
        <f>H64/H13</f>
        <v>2.4007060212765956</v>
      </c>
      <c r="I44" s="48">
        <f>I64/I13</f>
        <v>3.5369452407932012</v>
      </c>
      <c r="J44" s="48">
        <f>J64/J13</f>
        <v>4.0019979591836732</v>
      </c>
      <c r="K44" s="109"/>
      <c r="L44" s="48">
        <f t="shared" ref="L44:AR44" si="49">L64/L13</f>
        <v>1.686580357142857</v>
      </c>
      <c r="M44" s="48">
        <f t="shared" si="49"/>
        <v>2.8998357142857141</v>
      </c>
      <c r="N44" s="48">
        <f t="shared" si="49"/>
        <v>3.59126582278481</v>
      </c>
      <c r="O44" s="48">
        <f t="shared" si="49"/>
        <v>1.9839423943661973</v>
      </c>
      <c r="P44" s="48">
        <f t="shared" si="49"/>
        <v>2.9805925925925925</v>
      </c>
      <c r="Q44" s="48">
        <f t="shared" si="49"/>
        <v>3.0184013605442175</v>
      </c>
      <c r="R44" s="48">
        <f t="shared" si="49"/>
        <v>3.2421290322580645</v>
      </c>
      <c r="S44" s="48">
        <f t="shared" si="49"/>
        <v>3.2071991071428569</v>
      </c>
      <c r="T44" s="48">
        <f t="shared" si="49"/>
        <v>3.1432890000000002</v>
      </c>
      <c r="U44" s="48">
        <f t="shared" si="49"/>
        <v>5.5970352857142851</v>
      </c>
      <c r="V44" s="48">
        <f t="shared" si="49"/>
        <v>2.5967558139534881</v>
      </c>
      <c r="W44" s="48">
        <f t="shared" si="49"/>
        <v>1.4250797101449275</v>
      </c>
      <c r="X44" s="48">
        <f t="shared" si="49"/>
        <v>3.0904395604395605</v>
      </c>
      <c r="Y44" s="48">
        <f t="shared" si="49"/>
        <v>2.836594117647059</v>
      </c>
      <c r="Z44" s="48">
        <f t="shared" si="49"/>
        <v>3.5293345323741008</v>
      </c>
      <c r="AA44" s="48">
        <f t="shared" si="49"/>
        <v>2.2156461538461536</v>
      </c>
      <c r="AB44" s="48">
        <f t="shared" si="49"/>
        <v>1.6140757575757576</v>
      </c>
      <c r="AC44" s="48">
        <f t="shared" si="49"/>
        <v>3.1638774045801523</v>
      </c>
      <c r="AD44" s="48" t="e">
        <f t="shared" si="49"/>
        <v>#VALUE!</v>
      </c>
      <c r="AE44" s="48" t="e">
        <f t="shared" si="49"/>
        <v>#DIV/0!</v>
      </c>
      <c r="AF44" s="48">
        <f t="shared" si="49"/>
        <v>2.9645419512195121</v>
      </c>
      <c r="AG44" s="48">
        <f t="shared" si="49"/>
        <v>3.1755308641975311</v>
      </c>
      <c r="AH44" s="48">
        <f t="shared" si="49"/>
        <v>3.1636872839506172</v>
      </c>
      <c r="AI44" s="48">
        <f t="shared" si="49"/>
        <v>1.8771666666666664</v>
      </c>
      <c r="AJ44" s="48">
        <f t="shared" si="49"/>
        <v>3.3365095238095241</v>
      </c>
      <c r="AK44" s="48">
        <f t="shared" si="49"/>
        <v>3.1925495049504948</v>
      </c>
      <c r="AL44" s="48">
        <f t="shared" si="49"/>
        <v>3.3195819402985074</v>
      </c>
      <c r="AM44" s="48">
        <f t="shared" si="49"/>
        <v>3.1887409638554218</v>
      </c>
      <c r="AN44" s="48">
        <f t="shared" si="49"/>
        <v>4.6489102564102556</v>
      </c>
      <c r="AO44" s="48">
        <f t="shared" si="49"/>
        <v>4.4245237435897442</v>
      </c>
      <c r="AP44" s="48">
        <f t="shared" si="49"/>
        <v>2.8673774358974358</v>
      </c>
      <c r="AQ44" s="48">
        <f t="shared" si="49"/>
        <v>4.0019979591836732</v>
      </c>
      <c r="AR44" s="48">
        <f t="shared" si="49"/>
        <v>1.2493065753424659</v>
      </c>
    </row>
    <row r="45" spans="3:44">
      <c r="C45" s="4" t="s">
        <v>300</v>
      </c>
      <c r="D45" s="48">
        <f>D63/D13</f>
        <v>3.7751450741350894</v>
      </c>
      <c r="E45" s="109"/>
      <c r="F45" s="48">
        <f t="shared" ref="F45:J45" si="50">F63/F13</f>
        <v>3.7752801363073107</v>
      </c>
      <c r="G45" s="48">
        <f t="shared" ref="G45" si="51">G63/G13</f>
        <v>3.2432668832983924</v>
      </c>
      <c r="H45" s="48">
        <f t="shared" si="50"/>
        <v>2.8156323404255317</v>
      </c>
      <c r="I45" s="48">
        <f t="shared" si="50"/>
        <v>4.0109186543909345</v>
      </c>
      <c r="J45" s="48">
        <f t="shared" si="50"/>
        <v>4.9355403673469391</v>
      </c>
      <c r="K45" s="109"/>
      <c r="L45" s="48">
        <f t="shared" ref="L45:AR45" si="52">L63/L13</f>
        <v>2.4196919642857142</v>
      </c>
      <c r="M45" s="48">
        <f t="shared" si="52"/>
        <v>3.3780158241758245</v>
      </c>
      <c r="N45" s="48">
        <f t="shared" si="52"/>
        <v>4.4846332911392413</v>
      </c>
      <c r="O45" s="48">
        <f t="shared" si="52"/>
        <v>2.7682988028169015</v>
      </c>
      <c r="P45" s="48">
        <f t="shared" si="52"/>
        <v>3.1132796296296288</v>
      </c>
      <c r="Q45" s="48">
        <f t="shared" si="52"/>
        <v>4.1725729251700665</v>
      </c>
      <c r="R45" s="48">
        <f t="shared" si="52"/>
        <v>3.2417601612903231</v>
      </c>
      <c r="S45" s="48">
        <f t="shared" si="52"/>
        <v>3.7878248214285715</v>
      </c>
      <c r="T45" s="48">
        <f t="shared" si="52"/>
        <v>3.6935558000000004</v>
      </c>
      <c r="U45" s="48">
        <f t="shared" si="52"/>
        <v>9.4442416428571416</v>
      </c>
      <c r="V45" s="48">
        <f t="shared" si="52"/>
        <v>3.0231023255813954</v>
      </c>
      <c r="W45" s="48">
        <f t="shared" si="52"/>
        <v>1.8162062318840582</v>
      </c>
      <c r="X45" s="48">
        <f t="shared" si="52"/>
        <v>3.7680530769230769</v>
      </c>
      <c r="Y45" s="48">
        <f t="shared" si="52"/>
        <v>3.2973530588235294</v>
      </c>
      <c r="Z45" s="48">
        <f t="shared" si="52"/>
        <v>4.392704100719425</v>
      </c>
      <c r="AA45" s="48">
        <f t="shared" si="52"/>
        <v>2.5840538461538469</v>
      </c>
      <c r="AB45" s="48">
        <f t="shared" si="52"/>
        <v>1.9552272727272726</v>
      </c>
      <c r="AC45" s="48">
        <f t="shared" si="52"/>
        <v>3.8646632061068695</v>
      </c>
      <c r="AD45" s="48" t="e">
        <f t="shared" si="52"/>
        <v>#VALUE!</v>
      </c>
      <c r="AE45" s="48" t="e">
        <f t="shared" si="52"/>
        <v>#DIV/0!</v>
      </c>
      <c r="AF45" s="48">
        <f t="shared" si="52"/>
        <v>3.2235392682926829</v>
      </c>
      <c r="AG45" s="48">
        <f t="shared" si="52"/>
        <v>3.6984433333333326</v>
      </c>
      <c r="AH45" s="48">
        <f t="shared" si="52"/>
        <v>3.5324776543209877</v>
      </c>
      <c r="AI45" s="48">
        <f t="shared" si="52"/>
        <v>2.3620621428571424</v>
      </c>
      <c r="AJ45" s="48">
        <f t="shared" si="52"/>
        <v>3.9260403809523812</v>
      </c>
      <c r="AK45" s="48">
        <f t="shared" si="52"/>
        <v>3.2841564356435642</v>
      </c>
      <c r="AL45" s="48">
        <f t="shared" si="52"/>
        <v>3.537106865671642</v>
      </c>
      <c r="AM45" s="48">
        <f t="shared" si="52"/>
        <v>3.5754265060240957</v>
      </c>
      <c r="AN45" s="48">
        <f t="shared" si="52"/>
        <v>5.3741493589743579</v>
      </c>
      <c r="AO45" s="48">
        <f t="shared" si="52"/>
        <v>5.522347692307692</v>
      </c>
      <c r="AP45" s="48">
        <f t="shared" si="52"/>
        <v>1.4868338461538464</v>
      </c>
      <c r="AQ45" s="48">
        <f t="shared" si="52"/>
        <v>4.9355403673469391</v>
      </c>
      <c r="AR45" s="48">
        <f t="shared" si="52"/>
        <v>0.25590972602739726</v>
      </c>
    </row>
    <row r="48" spans="3:44">
      <c r="C48" s="20" t="s">
        <v>220</v>
      </c>
      <c r="D48" s="49"/>
      <c r="E48" s="110"/>
      <c r="F48" s="49"/>
      <c r="G48" s="49"/>
      <c r="H48" s="49"/>
      <c r="I48" s="49"/>
      <c r="J48" s="49"/>
      <c r="K48" s="110"/>
      <c r="L48" s="49"/>
    </row>
    <row r="49" spans="3:44">
      <c r="C49" t="s">
        <v>1</v>
      </c>
      <c r="D49" s="47">
        <f>SUM(L49:AR49)</f>
        <v>5330.6131800000003</v>
      </c>
      <c r="E49" s="111"/>
      <c r="F49" s="47">
        <f>SUMIFS($L49:$AR49,$L$6:$AR$6,F$8)</f>
        <v>2825.6442299999999</v>
      </c>
      <c r="G49" s="47">
        <f t="shared" ref="G49:G64" si="53">F49-U49-V49</f>
        <v>1857.4314799999997</v>
      </c>
      <c r="H49" s="47">
        <f t="shared" ref="H49:J64" si="54">SUMIFS($L49:$AR49,$L$6:$AR$6,H$8)</f>
        <v>584.21900000000005</v>
      </c>
      <c r="I49" s="47">
        <f t="shared" si="54"/>
        <v>1560.2778899999998</v>
      </c>
      <c r="J49" s="47">
        <f t="shared" si="54"/>
        <v>360.47206</v>
      </c>
      <c r="K49" s="111"/>
      <c r="L49" s="232">
        <f>IFERROR(INDEX('FY25 By Venue Financials'!$P$10:$BF$274,MATCH($C49,'FY25 By Venue Financials'!$H$10:$H$274,0),MATCH(L$8,'FY25 By Venue Financials'!$P$4:$BF$4,0)),"N/A ")</f>
        <v>62.969960000000007</v>
      </c>
      <c r="M49" s="232">
        <f>IFERROR(INDEX('FY25 By Venue Financials'!$P$10:$BF$274,MATCH($C49,'FY25 By Venue Financials'!$H$10:$H$274,0),MATCH(M$8,'FY25 By Venue Financials'!$P$4:$BF$4,0)),"N/A ")</f>
        <v>85.5535</v>
      </c>
      <c r="N49" s="232">
        <f>IFERROR(INDEX('FY25 By Venue Financials'!$P$10:$BF$274,MATCH($C49,'FY25 By Venue Financials'!$H$10:$H$274,0),MATCH(N$8,'FY25 By Venue Financials'!$P$4:$BF$4,0)),"N/A ")</f>
        <v>137.14228</v>
      </c>
      <c r="O49" s="232">
        <f>IFERROR(INDEX('FY25 By Venue Financials'!$P$10:$BF$274,MATCH($C49,'FY25 By Venue Financials'!$H$10:$H$274,0),MATCH(O$8,'FY25 By Venue Financials'!$P$4:$BF$4,0)),"N/A ")</f>
        <v>171.34361000000001</v>
      </c>
      <c r="P49" s="232">
        <f>IFERROR(INDEX('FY25 By Venue Financials'!$P$10:$BF$274,MATCH($C49,'FY25 By Venue Financials'!$H$10:$H$274,0),MATCH(P$8,'FY25 By Venue Financials'!$P$4:$BF$4,0)),"N/A ")</f>
        <v>35.265999999999998</v>
      </c>
      <c r="Q49" s="232">
        <f>IFERROR(INDEX('FY25 By Venue Financials'!$P$10:$BF$274,MATCH($C49,'FY25 By Venue Financials'!$H$10:$H$274,0),MATCH(Q$8,'FY25 By Venue Financials'!$P$4:$BF$4,0)),"N/A ")</f>
        <v>296.25963999999999</v>
      </c>
      <c r="R49" s="232">
        <f>IFERROR(INDEX('FY25 By Venue Financials'!$P$10:$BF$274,MATCH($C49,'FY25 By Venue Financials'!$H$10:$H$274,0),MATCH(R$8,'FY25 By Venue Financials'!$P$4:$BF$4,0)),"N/A ")</f>
        <v>58.344999999999999</v>
      </c>
      <c r="S49" s="232">
        <f>IFERROR(INDEX('FY25 By Venue Financials'!$P$10:$BF$274,MATCH($C49,'FY25 By Venue Financials'!$H$10:$H$274,0),MATCH(S$8,'FY25 By Venue Financials'!$P$4:$BF$4,0)),"N/A ")</f>
        <v>182.28066000000001</v>
      </c>
      <c r="T49" s="232">
        <f>IFERROR(INDEX('FY25 By Venue Financials'!$P$10:$BF$274,MATCH($C49,'FY25 By Venue Financials'!$H$10:$H$274,0),MATCH(T$8,'FY25 By Venue Financials'!$P$4:$BF$4,0)),"N/A ")</f>
        <v>181.61859999999999</v>
      </c>
      <c r="U49" s="232">
        <f>IFERROR(INDEX('FY25 By Venue Financials'!$P$10:$BF$274,MATCH($C49,'FY25 By Venue Financials'!$H$10:$H$274,0),MATCH(U$8,'FY25 By Venue Financials'!$P$4:$BF$4,0)),"N/A ")</f>
        <v>910.72083000000009</v>
      </c>
      <c r="V49" s="232">
        <f>IFERROR(INDEX('FY25 By Venue Financials'!$P$10:$BF$274,MATCH($C49,'FY25 By Venue Financials'!$H$10:$H$274,0),MATCH(V$8,'FY25 By Venue Financials'!$P$4:$BF$4,0)),"N/A ")</f>
        <v>57.49192</v>
      </c>
      <c r="W49" s="232">
        <f>IFERROR(INDEX('FY25 By Venue Financials'!$P$10:$BF$274,MATCH($C49,'FY25 By Venue Financials'!$H$10:$H$274,0),MATCH(W$8,'FY25 By Venue Financials'!$P$4:$BF$4,0)),"N/A ")</f>
        <v>42.600830000000002</v>
      </c>
      <c r="X49" s="232">
        <f>IFERROR(INDEX('FY25 By Venue Financials'!$P$10:$BF$274,MATCH($C49,'FY25 By Venue Financials'!$H$10:$H$274,0),MATCH(X$8,'FY25 By Venue Financials'!$P$4:$BF$4,0)),"N/A ")</f>
        <v>134.822</v>
      </c>
      <c r="Y49" s="232">
        <f>IFERROR(INDEX('FY25 By Venue Financials'!$P$10:$BF$274,MATCH($C49,'FY25 By Venue Financials'!$H$10:$H$274,0),MATCH(Y$8,'FY25 By Venue Financials'!$P$4:$BF$4,0)),"N/A ")</f>
        <v>84.463499999999996</v>
      </c>
      <c r="Z49" s="232">
        <f>IFERROR(INDEX('FY25 By Venue Financials'!$P$10:$BF$274,MATCH($C49,'FY25 By Venue Financials'!$H$10:$H$274,0),MATCH(Z$8,'FY25 By Venue Financials'!$P$4:$BF$4,0)),"N/A ")</f>
        <v>276.02907999999996</v>
      </c>
      <c r="AA49" s="232">
        <f>IFERROR(INDEX('FY25 By Venue Financials'!$P$10:$BF$274,MATCH($C49,'FY25 By Venue Financials'!$H$10:$H$274,0),MATCH(AA$8,'FY25 By Venue Financials'!$P$4:$BF$4,0)),"N/A ")</f>
        <v>63.5075</v>
      </c>
      <c r="AB49" s="232">
        <f>IFERROR(INDEX('FY25 By Venue Financials'!$P$10:$BF$274,MATCH($C49,'FY25 By Venue Financials'!$H$10:$H$274,0),MATCH(AB$8,'FY25 By Venue Financials'!$P$4:$BF$4,0)),"N/A ")</f>
        <v>36.613</v>
      </c>
      <c r="AC49" s="232">
        <f>IFERROR(INDEX('FY25 By Venue Financials'!$P$10:$BF$274,MATCH($C49,'FY25 By Venue Financials'!$H$10:$H$274,0),MATCH(AC$8,'FY25 By Venue Financials'!$P$4:$BF$4,0)),"N/A ")</f>
        <v>220.21938</v>
      </c>
      <c r="AD49" s="232" t="str">
        <f>IFERROR(INDEX('FY25 By Venue Financials'!$P$10:$BF$274,MATCH($C49,'FY25 By Venue Financials'!$H$10:$H$274,0),MATCH(AD$8,'FY25 By Venue Financials'!$P$4:$BF$4,0)),"N/A ")</f>
        <v xml:space="preserve">N/A </v>
      </c>
      <c r="AE49" s="232">
        <f>IFERROR(INDEX('FY25 By Venue Financials'!$P$10:$BF$274,MATCH($C49,'FY25 By Venue Financials'!$H$10:$H$274,0),MATCH(AE$8,'FY25 By Venue Financials'!$P$4:$BF$4,0)),"N/A ")</f>
        <v>0</v>
      </c>
      <c r="AF49" s="232">
        <f>IFERROR(INDEX('FY25 By Venue Financials'!$P$10:$BF$274,MATCH($C49,'FY25 By Venue Financials'!$H$10:$H$274,0),MATCH(AF$8,'FY25 By Venue Financials'!$P$4:$BF$4,0)),"N/A ")</f>
        <v>55.051839999999999</v>
      </c>
      <c r="AG49" s="232">
        <f>IFERROR(INDEX('FY25 By Venue Financials'!$P$10:$BF$274,MATCH($C49,'FY25 By Venue Financials'!$H$10:$H$274,0),MATCH(AG$8,'FY25 By Venue Financials'!$P$4:$BF$4,0)),"N/A ")</f>
        <v>117.39552</v>
      </c>
      <c r="AH49" s="232">
        <f>IFERROR(INDEX('FY25 By Venue Financials'!$P$10:$BF$274,MATCH($C49,'FY25 By Venue Financials'!$H$10:$H$274,0),MATCH(AH$8,'FY25 By Venue Financials'!$P$4:$BF$4,0)),"N/A ")</f>
        <v>137.74101000000002</v>
      </c>
      <c r="AI49" s="232">
        <f>IFERROR(INDEX('FY25 By Venue Financials'!$P$10:$BF$274,MATCH($C49,'FY25 By Venue Financials'!$H$10:$H$274,0),MATCH(AI$8,'FY25 By Venue Financials'!$P$4:$BF$4,0)),"N/A ")</f>
        <v>53.811250000000001</v>
      </c>
      <c r="AJ49" s="232">
        <f>IFERROR(INDEX('FY25 By Venue Financials'!$P$10:$BF$274,MATCH($C49,'FY25 By Venue Financials'!$H$10:$H$274,0),MATCH(AJ$8,'FY25 By Venue Financials'!$P$4:$BF$4,0)),"N/A ")</f>
        <v>222.03352000000001</v>
      </c>
      <c r="AK49" s="232">
        <f>IFERROR(INDEX('FY25 By Venue Financials'!$P$10:$BF$274,MATCH($C49,'FY25 By Venue Financials'!$H$10:$H$274,0),MATCH(AK$8,'FY25 By Venue Financials'!$P$4:$BF$4,0)),"N/A ")</f>
        <v>124.20366</v>
      </c>
      <c r="AL49" s="232">
        <f>IFERROR(INDEX('FY25 By Venue Financials'!$P$10:$BF$274,MATCH($C49,'FY25 By Venue Financials'!$H$10:$H$274,0),MATCH(AL$8,'FY25 By Venue Financials'!$P$4:$BF$4,0)),"N/A ")</f>
        <v>120.93387000000001</v>
      </c>
      <c r="AM49" s="232">
        <f>IFERROR(INDEX('FY25 By Venue Financials'!$P$10:$BF$274,MATCH($C49,'FY25 By Venue Financials'!$H$10:$H$274,0),MATCH(AM$8,'FY25 By Venue Financials'!$P$4:$BF$4,0)),"N/A ")</f>
        <v>156.75524000000001</v>
      </c>
      <c r="AN49" s="232">
        <f>IFERROR(INDEX('FY25 By Venue Financials'!$P$10:$BF$274,MATCH($C49,'FY25 By Venue Financials'!$H$10:$H$274,0),MATCH(AN$8,'FY25 By Venue Financials'!$P$4:$BF$4,0)),"N/A ")</f>
        <v>205.40674999999999</v>
      </c>
      <c r="AO49" s="232">
        <f>IFERROR(INDEX('FY25 By Venue Financials'!$P$10:$BF$274,MATCH($C49,'FY25 By Venue Financials'!$H$10:$H$274,0),MATCH(AO$8,'FY25 By Venue Financials'!$P$4:$BF$4,0)),"N/A ")</f>
        <v>712.42084999999997</v>
      </c>
      <c r="AP49" s="232">
        <f>IFERROR(INDEX('FY25 By Venue Financials'!$P$10:$BF$274,MATCH($C49,'FY25 By Venue Financials'!$H$10:$H$274,0),MATCH(AP$8,'FY25 By Venue Financials'!$P$4:$BF$4,0)),"N/A ")</f>
        <v>18.524000000000001</v>
      </c>
      <c r="AQ49" s="232">
        <f>IFERROR(INDEX('FY25 By Venue Financials'!$P$10:$BF$274,MATCH($C49,'FY25 By Venue Financials'!$H$10:$H$274,0),MATCH(AQ$8,'FY25 By Venue Financials'!$P$4:$BF$4,0)),"N/A ")</f>
        <v>360.47206</v>
      </c>
      <c r="AR49" s="232">
        <f>IFERROR(INDEX('FY25 By Venue Financials'!$P$10:$BF$274,MATCH($C49,'FY25 By Venue Financials'!$H$10:$H$274,0),MATCH(AR$8,'FY25 By Venue Financials'!$P$4:$BF$4,0)),"N/A ")</f>
        <v>8.61632</v>
      </c>
    </row>
    <row r="50" spans="3:44">
      <c r="C50" t="s">
        <v>2</v>
      </c>
      <c r="D50" s="47">
        <f t="shared" ref="D50:D64" si="55">SUM(L50:AR50)</f>
        <v>3990.120089999999</v>
      </c>
      <c r="E50" s="111"/>
      <c r="F50" s="47">
        <f t="shared" ref="F50:F64" si="56">SUMIFS($L50:$AR50,$L$6:$AR$6,F$8)</f>
        <v>2210.2749999999996</v>
      </c>
      <c r="G50" s="47">
        <f t="shared" si="53"/>
        <v>1553.0749999999996</v>
      </c>
      <c r="H50" s="47">
        <f t="shared" si="54"/>
        <v>530.69509000000005</v>
      </c>
      <c r="I50" s="47">
        <f t="shared" si="54"/>
        <v>934.25</v>
      </c>
      <c r="J50" s="47">
        <f t="shared" si="54"/>
        <v>314.89999999999998</v>
      </c>
      <c r="K50" s="111"/>
      <c r="L50" s="232">
        <f>IFERROR(INDEX('FY25 By Venue Financials'!$P$10:$BF$274,MATCH($C50,'FY25 By Venue Financials'!$H$10:$H$274,0),MATCH(L$8,'FY25 By Venue Financials'!$P$4:$BF$4,0)),"N/A ")</f>
        <v>49</v>
      </c>
      <c r="M50" s="232">
        <f>IFERROR(INDEX('FY25 By Venue Financials'!$P$10:$BF$274,MATCH($C50,'FY25 By Venue Financials'!$H$10:$H$274,0),MATCH(M$8,'FY25 By Venue Financials'!$P$4:$BF$4,0)),"N/A ")</f>
        <v>68.5</v>
      </c>
      <c r="N50" s="232">
        <f>IFERROR(INDEX('FY25 By Venue Financials'!$P$10:$BF$274,MATCH($C50,'FY25 By Venue Financials'!$H$10:$H$274,0),MATCH(N$8,'FY25 By Venue Financials'!$P$4:$BF$4,0)),"N/A ")</f>
        <v>117.8</v>
      </c>
      <c r="O50" s="232">
        <f>IFERROR(INDEX('FY25 By Venue Financials'!$P$10:$BF$274,MATCH($C50,'FY25 By Venue Financials'!$H$10:$H$274,0),MATCH(O$8,'FY25 By Venue Financials'!$P$4:$BF$4,0)),"N/A ")</f>
        <v>152.05000000000001</v>
      </c>
      <c r="P50" s="232">
        <f>IFERROR(INDEX('FY25 By Venue Financials'!$P$10:$BF$274,MATCH($C50,'FY25 By Venue Financials'!$H$10:$H$274,0),MATCH(P$8,'FY25 By Venue Financials'!$P$4:$BF$4,0)),"N/A ")</f>
        <v>49.15</v>
      </c>
      <c r="Q50" s="232">
        <f>IFERROR(INDEX('FY25 By Venue Financials'!$P$10:$BF$274,MATCH($C50,'FY25 By Venue Financials'!$H$10:$H$274,0),MATCH(Q$8,'FY25 By Venue Financials'!$P$4:$BF$4,0)),"N/A ")</f>
        <v>211.85</v>
      </c>
      <c r="R50" s="232">
        <f>IFERROR(INDEX('FY25 By Venue Financials'!$P$10:$BF$274,MATCH($C50,'FY25 By Venue Financials'!$H$10:$H$274,0),MATCH(R$8,'FY25 By Venue Financials'!$P$4:$BF$4,0)),"N/A ")</f>
        <v>58.25</v>
      </c>
      <c r="S50" s="232">
        <f>IFERROR(INDEX('FY25 By Venue Financials'!$P$10:$BF$274,MATCH($C50,'FY25 By Venue Financials'!$H$10:$H$274,0),MATCH(S$8,'FY25 By Venue Financials'!$P$4:$BF$4,0)),"N/A ")</f>
        <v>143.4</v>
      </c>
      <c r="T50" s="232">
        <f>IFERROR(INDEX('FY25 By Venue Financials'!$P$10:$BF$274,MATCH($C50,'FY25 By Venue Financials'!$H$10:$H$274,0),MATCH(T$8,'FY25 By Venue Financials'!$P$4:$BF$4,0)),"N/A ")</f>
        <v>146.85</v>
      </c>
      <c r="U50" s="232">
        <f>IFERROR(INDEX('FY25 By Venue Financials'!$P$10:$BF$274,MATCH($C50,'FY25 By Venue Financials'!$H$10:$H$274,0),MATCH(U$8,'FY25 By Venue Financials'!$P$4:$BF$4,0)),"N/A ")</f>
        <v>610.65</v>
      </c>
      <c r="V50" s="232">
        <f>IFERROR(INDEX('FY25 By Venue Financials'!$P$10:$BF$274,MATCH($C50,'FY25 By Venue Financials'!$H$10:$H$274,0),MATCH(V$8,'FY25 By Venue Financials'!$P$4:$BF$4,0)),"N/A ")</f>
        <v>46.55</v>
      </c>
      <c r="W50" s="232">
        <f>IFERROR(INDEX('FY25 By Venue Financials'!$P$10:$BF$274,MATCH($C50,'FY25 By Venue Financials'!$H$10:$H$274,0),MATCH(W$8,'FY25 By Venue Financials'!$P$4:$BF$4,0)),"N/A ")</f>
        <v>41</v>
      </c>
      <c r="X50" s="232">
        <f>IFERROR(INDEX('FY25 By Venue Financials'!$P$10:$BF$274,MATCH($C50,'FY25 By Venue Financials'!$H$10:$H$274,0),MATCH(X$8,'FY25 By Venue Financials'!$P$4:$BF$4,0)),"N/A ")</f>
        <v>123.45</v>
      </c>
      <c r="Y50" s="232">
        <f>IFERROR(INDEX('FY25 By Venue Financials'!$P$10:$BF$274,MATCH($C50,'FY25 By Venue Financials'!$H$10:$H$274,0),MATCH(Y$8,'FY25 By Venue Financials'!$P$4:$BF$4,0)),"N/A ")</f>
        <v>59.174999999999997</v>
      </c>
      <c r="Z50" s="232">
        <f>IFERROR(INDEX('FY25 By Venue Financials'!$P$10:$BF$274,MATCH($C50,'FY25 By Venue Financials'!$H$10:$H$274,0),MATCH(Z$8,'FY25 By Venue Financials'!$P$4:$BF$4,0)),"N/A ")</f>
        <v>247.45</v>
      </c>
      <c r="AA50" s="232">
        <f>IFERROR(INDEX('FY25 By Venue Financials'!$P$10:$BF$274,MATCH($C50,'FY25 By Venue Financials'!$H$10:$H$274,0),MATCH(AA$8,'FY25 By Venue Financials'!$P$4:$BF$4,0)),"N/A ")</f>
        <v>48.95</v>
      </c>
      <c r="AB50" s="232">
        <f>IFERROR(INDEX('FY25 By Venue Financials'!$P$10:$BF$274,MATCH($C50,'FY25 By Venue Financials'!$H$10:$H$274,0),MATCH(AB$8,'FY25 By Venue Financials'!$P$4:$BF$4,0)),"N/A ")</f>
        <v>36.200000000000003</v>
      </c>
      <c r="AC50" s="232">
        <f>IFERROR(INDEX('FY25 By Venue Financials'!$P$10:$BF$274,MATCH($C50,'FY25 By Venue Financials'!$H$10:$H$274,0),MATCH(AC$8,'FY25 By Venue Financials'!$P$4:$BF$4,0)),"N/A ")</f>
        <v>208.99509</v>
      </c>
      <c r="AD50" s="232" t="str">
        <f>IFERROR(INDEX('FY25 By Venue Financials'!$P$10:$BF$274,MATCH($C50,'FY25 By Venue Financials'!$H$10:$H$274,0),MATCH(AD$8,'FY25 By Venue Financials'!$P$4:$BF$4,0)),"N/A ")</f>
        <v xml:space="preserve">N/A </v>
      </c>
      <c r="AE50" s="232">
        <f>IFERROR(INDEX('FY25 By Venue Financials'!$P$10:$BF$274,MATCH($C50,'FY25 By Venue Financials'!$H$10:$H$274,0),MATCH(AE$8,'FY25 By Venue Financials'!$P$4:$BF$4,0)),"N/A ")</f>
        <v>0</v>
      </c>
      <c r="AF50" s="232">
        <f>IFERROR(INDEX('FY25 By Venue Financials'!$P$10:$BF$274,MATCH($C50,'FY25 By Venue Financials'!$H$10:$H$274,0),MATCH(AF$8,'FY25 By Venue Financials'!$P$4:$BF$4,0)),"N/A ")</f>
        <v>60.9</v>
      </c>
      <c r="AG50" s="232">
        <f>IFERROR(INDEX('FY25 By Venue Financials'!$P$10:$BF$274,MATCH($C50,'FY25 By Venue Financials'!$H$10:$H$274,0),MATCH(AG$8,'FY25 By Venue Financials'!$P$4:$BF$4,0)),"N/A ")</f>
        <v>116.2</v>
      </c>
      <c r="AH50" s="232">
        <f>IFERROR(INDEX('FY25 By Venue Financials'!$P$10:$BF$274,MATCH($C50,'FY25 By Venue Financials'!$H$10:$H$274,0),MATCH(AH$8,'FY25 By Venue Financials'!$P$4:$BF$4,0)),"N/A ")</f>
        <v>113.65</v>
      </c>
      <c r="AI50" s="232">
        <f>IFERROR(INDEX('FY25 By Venue Financials'!$P$10:$BF$274,MATCH($C50,'FY25 By Venue Financials'!$H$10:$H$274,0),MATCH(AI$8,'FY25 By Venue Financials'!$P$4:$BF$4,0)),"N/A ")</f>
        <v>30.95</v>
      </c>
      <c r="AJ50" s="232">
        <f>IFERROR(INDEX('FY25 By Venue Financials'!$P$10:$BF$274,MATCH($C50,'FY25 By Venue Financials'!$H$10:$H$274,0),MATCH(AJ$8,'FY25 By Venue Financials'!$P$4:$BF$4,0)),"N/A ")</f>
        <v>138.47499999999999</v>
      </c>
      <c r="AK50" s="232">
        <f>IFERROR(INDEX('FY25 By Venue Financials'!$P$10:$BF$274,MATCH($C50,'FY25 By Venue Financials'!$H$10:$H$274,0),MATCH(AK$8,'FY25 By Venue Financials'!$P$4:$BF$4,0)),"N/A ")</f>
        <v>91.25</v>
      </c>
      <c r="AL50" s="232">
        <f>IFERROR(INDEX('FY25 By Venue Financials'!$P$10:$BF$274,MATCH($C50,'FY25 By Venue Financials'!$H$10:$H$274,0),MATCH(AL$8,'FY25 By Venue Financials'!$P$4:$BF$4,0)),"N/A ")</f>
        <v>59.95</v>
      </c>
      <c r="AM50" s="232">
        <f>IFERROR(INDEX('FY25 By Venue Financials'!$P$10:$BF$274,MATCH($C50,'FY25 By Venue Financials'!$H$10:$H$274,0),MATCH(AM$8,'FY25 By Venue Financials'!$P$4:$BF$4,0)),"N/A ")</f>
        <v>115.15</v>
      </c>
      <c r="AN50" s="232">
        <f>IFERROR(INDEX('FY25 By Venue Financials'!$P$10:$BF$274,MATCH($C50,'FY25 By Venue Financials'!$H$10:$H$274,0),MATCH(AN$8,'FY25 By Venue Financials'!$P$4:$BF$4,0)),"N/A ")</f>
        <v>130.9</v>
      </c>
      <c r="AO50" s="232">
        <f>IFERROR(INDEX('FY25 By Venue Financials'!$P$10:$BF$274,MATCH($C50,'FY25 By Venue Financials'!$H$10:$H$274,0),MATCH(AO$8,'FY25 By Venue Financials'!$P$4:$BF$4,0)),"N/A ")</f>
        <v>382.82499999999999</v>
      </c>
      <c r="AP50" s="232">
        <f>IFERROR(INDEX('FY25 By Venue Financials'!$P$10:$BF$274,MATCH($C50,'FY25 By Venue Financials'!$H$10:$H$274,0),MATCH(AP$8,'FY25 By Venue Financials'!$P$4:$BF$4,0)),"N/A ")</f>
        <v>15.7</v>
      </c>
      <c r="AQ50" s="232">
        <f>IFERROR(INDEX('FY25 By Venue Financials'!$P$10:$BF$274,MATCH($C50,'FY25 By Venue Financials'!$H$10:$H$274,0),MATCH(AQ$8,'FY25 By Venue Financials'!$P$4:$BF$4,0)),"N/A ")</f>
        <v>314.89999999999998</v>
      </c>
      <c r="AR50" s="232">
        <f>IFERROR(INDEX('FY25 By Venue Financials'!$P$10:$BF$274,MATCH($C50,'FY25 By Venue Financials'!$H$10:$H$274,0),MATCH(AR$8,'FY25 By Venue Financials'!$P$4:$BF$4,0)),"N/A ")</f>
        <v>0</v>
      </c>
    </row>
    <row r="51" spans="3:44">
      <c r="C51" t="s">
        <v>3</v>
      </c>
      <c r="D51" s="47">
        <f t="shared" si="55"/>
        <v>3533.3750099999997</v>
      </c>
      <c r="E51" s="111"/>
      <c r="F51" s="47">
        <f t="shared" si="56"/>
        <v>1829.7249999999997</v>
      </c>
      <c r="G51" s="47">
        <f t="shared" si="53"/>
        <v>1493.2749999999999</v>
      </c>
      <c r="H51" s="47">
        <f t="shared" si="54"/>
        <v>457.15000000000003</v>
      </c>
      <c r="I51" s="47">
        <f t="shared" si="54"/>
        <v>772.87500999999997</v>
      </c>
      <c r="J51" s="47">
        <f t="shared" si="54"/>
        <v>473.625</v>
      </c>
      <c r="K51" s="111"/>
      <c r="L51" s="232">
        <f>IFERROR(INDEX('FY25 By Venue Financials'!$P$10:$BF$274,MATCH($C51,'FY25 By Venue Financials'!$H$10:$H$274,0),MATCH(L$8,'FY25 By Venue Financials'!$P$4:$BF$4,0)),"N/A ")</f>
        <v>47.7</v>
      </c>
      <c r="M51" s="232">
        <f>IFERROR(INDEX('FY25 By Venue Financials'!$P$10:$BF$274,MATCH($C51,'FY25 By Venue Financials'!$H$10:$H$274,0),MATCH(M$8,'FY25 By Venue Financials'!$P$4:$BF$4,0)),"N/A ")</f>
        <v>92.7</v>
      </c>
      <c r="N51" s="232">
        <f>IFERROR(INDEX('FY25 By Venue Financials'!$P$10:$BF$274,MATCH($C51,'FY25 By Venue Financials'!$H$10:$H$274,0),MATCH(N$8,'FY25 By Venue Financials'!$P$4:$BF$4,0)),"N/A ")</f>
        <v>112.45</v>
      </c>
      <c r="O51" s="232">
        <f>IFERROR(INDEX('FY25 By Venue Financials'!$P$10:$BF$274,MATCH($C51,'FY25 By Venue Financials'!$H$10:$H$274,0),MATCH(O$8,'FY25 By Venue Financials'!$P$4:$BF$4,0)),"N/A ")</f>
        <v>151.05000000000001</v>
      </c>
      <c r="P51" s="232">
        <f>IFERROR(INDEX('FY25 By Venue Financials'!$P$10:$BF$274,MATCH($C51,'FY25 By Venue Financials'!$H$10:$H$274,0),MATCH(P$8,'FY25 By Venue Financials'!$P$4:$BF$4,0)),"N/A ")</f>
        <v>43.75</v>
      </c>
      <c r="Q51" s="232">
        <f>IFERROR(INDEX('FY25 By Venue Financials'!$P$10:$BF$274,MATCH($C51,'FY25 By Venue Financials'!$H$10:$H$274,0),MATCH(Q$8,'FY25 By Venue Financials'!$P$4:$BF$4,0)),"N/A ")</f>
        <v>178.75</v>
      </c>
      <c r="R51" s="232">
        <f>IFERROR(INDEX('FY25 By Venue Financials'!$P$10:$BF$274,MATCH($C51,'FY25 By Venue Financials'!$H$10:$H$274,0),MATCH(R$8,'FY25 By Venue Financials'!$P$4:$BF$4,0)),"N/A ")</f>
        <v>63.2</v>
      </c>
      <c r="S51" s="232">
        <f>IFERROR(INDEX('FY25 By Venue Financials'!$P$10:$BF$274,MATCH($C51,'FY25 By Venue Financials'!$H$10:$H$274,0),MATCH(S$8,'FY25 By Venue Financials'!$P$4:$BF$4,0)),"N/A ")</f>
        <v>135.47499999999999</v>
      </c>
      <c r="T51" s="232">
        <f>IFERROR(INDEX('FY25 By Venue Financials'!$P$10:$BF$274,MATCH($C51,'FY25 By Venue Financials'!$H$10:$H$274,0),MATCH(T$8,'FY25 By Venue Financials'!$P$4:$BF$4,0)),"N/A ")</f>
        <v>160.1</v>
      </c>
      <c r="U51" s="232">
        <f>IFERROR(INDEX('FY25 By Venue Financials'!$P$10:$BF$274,MATCH($C51,'FY25 By Venue Financials'!$H$10:$H$274,0),MATCH(U$8,'FY25 By Venue Financials'!$P$4:$BF$4,0)),"N/A ")</f>
        <v>301.89999999999998</v>
      </c>
      <c r="V51" s="232">
        <f>IFERROR(INDEX('FY25 By Venue Financials'!$P$10:$BF$274,MATCH($C51,'FY25 By Venue Financials'!$H$10:$H$274,0),MATCH(V$8,'FY25 By Venue Financials'!$P$4:$BF$4,0)),"N/A ")</f>
        <v>34.549999999999997</v>
      </c>
      <c r="W51" s="232">
        <f>IFERROR(INDEX('FY25 By Venue Financials'!$P$10:$BF$274,MATCH($C51,'FY25 By Venue Financials'!$H$10:$H$274,0),MATCH(W$8,'FY25 By Venue Financials'!$P$4:$BF$4,0)),"N/A ")</f>
        <v>39.85</v>
      </c>
      <c r="X51" s="232">
        <f>IFERROR(INDEX('FY25 By Venue Financials'!$P$10:$BF$274,MATCH($C51,'FY25 By Venue Financials'!$H$10:$H$274,0),MATCH(X$8,'FY25 By Venue Financials'!$P$4:$BF$4,0)),"N/A ")</f>
        <v>115.55</v>
      </c>
      <c r="Y51" s="232">
        <f>IFERROR(INDEX('FY25 By Venue Financials'!$P$10:$BF$274,MATCH($C51,'FY25 By Venue Financials'!$H$10:$H$274,0),MATCH(Y$8,'FY25 By Venue Financials'!$P$4:$BF$4,0)),"N/A ")</f>
        <v>87.724999999999994</v>
      </c>
      <c r="Z51" s="232">
        <f>IFERROR(INDEX('FY25 By Venue Financials'!$P$10:$BF$274,MATCH($C51,'FY25 By Venue Financials'!$H$10:$H$274,0),MATCH(Z$8,'FY25 By Venue Financials'!$P$4:$BF$4,0)),"N/A ")</f>
        <v>183.47499999999999</v>
      </c>
      <c r="AA51" s="232">
        <f>IFERROR(INDEX('FY25 By Venue Financials'!$P$10:$BF$274,MATCH($C51,'FY25 By Venue Financials'!$H$10:$H$274,0),MATCH(AA$8,'FY25 By Venue Financials'!$P$4:$BF$4,0)),"N/A ")</f>
        <v>44.424999999999997</v>
      </c>
      <c r="AB51" s="232">
        <f>IFERROR(INDEX('FY25 By Venue Financials'!$P$10:$BF$274,MATCH($C51,'FY25 By Venue Financials'!$H$10:$H$274,0),MATCH(AB$8,'FY25 By Venue Financials'!$P$4:$BF$4,0)),"N/A ")</f>
        <v>35.975000000000001</v>
      </c>
      <c r="AC51" s="232">
        <f>IFERROR(INDEX('FY25 By Venue Financials'!$P$10:$BF$274,MATCH($C51,'FY25 By Venue Financials'!$H$10:$H$274,0),MATCH(AC$8,'FY25 By Venue Financials'!$P$4:$BF$4,0)),"N/A ")</f>
        <v>173.92500000000001</v>
      </c>
      <c r="AD51" s="232" t="str">
        <f>IFERROR(INDEX('FY25 By Venue Financials'!$P$10:$BF$274,MATCH($C51,'FY25 By Venue Financials'!$H$10:$H$274,0),MATCH(AD$8,'FY25 By Venue Financials'!$P$4:$BF$4,0)),"N/A ")</f>
        <v xml:space="preserve">N/A </v>
      </c>
      <c r="AE51" s="232">
        <f>IFERROR(INDEX('FY25 By Venue Financials'!$P$10:$BF$274,MATCH($C51,'FY25 By Venue Financials'!$H$10:$H$274,0),MATCH(AE$8,'FY25 By Venue Financials'!$P$4:$BF$4,0)),"N/A ")</f>
        <v>0</v>
      </c>
      <c r="AF51" s="232">
        <f>IFERROR(INDEX('FY25 By Venue Financials'!$P$10:$BF$274,MATCH($C51,'FY25 By Venue Financials'!$H$10:$H$274,0),MATCH(AF$8,'FY25 By Venue Financials'!$P$4:$BF$4,0)),"N/A ")</f>
        <v>52.1</v>
      </c>
      <c r="AG51" s="232">
        <f>IFERROR(INDEX('FY25 By Venue Financials'!$P$10:$BF$274,MATCH($C51,'FY25 By Venue Financials'!$H$10:$H$274,0),MATCH(AG$8,'FY25 By Venue Financials'!$P$4:$BF$4,0)),"N/A ")</f>
        <v>101.825</v>
      </c>
      <c r="AH51" s="232">
        <f>IFERROR(INDEX('FY25 By Venue Financials'!$P$10:$BF$274,MATCH($C51,'FY25 By Venue Financials'!$H$10:$H$274,0),MATCH(AH$8,'FY25 By Venue Financials'!$P$4:$BF$4,0)),"N/A ")</f>
        <v>103.175</v>
      </c>
      <c r="AI51" s="232">
        <f>IFERROR(INDEX('FY25 By Venue Financials'!$P$10:$BF$274,MATCH($C51,'FY25 By Venue Financials'!$H$10:$H$274,0),MATCH(AI$8,'FY25 By Venue Financials'!$P$4:$BF$4,0)),"N/A ")</f>
        <v>26.125</v>
      </c>
      <c r="AJ51" s="232">
        <f>IFERROR(INDEX('FY25 By Venue Financials'!$P$10:$BF$274,MATCH($C51,'FY25 By Venue Financials'!$H$10:$H$274,0),MATCH(AJ$8,'FY25 By Venue Financials'!$P$4:$BF$4,0)),"N/A ")</f>
        <v>125.6</v>
      </c>
      <c r="AK51" s="232">
        <f>IFERROR(INDEX('FY25 By Venue Financials'!$P$10:$BF$274,MATCH($C51,'FY25 By Venue Financials'!$H$10:$H$274,0),MATCH(AK$8,'FY25 By Venue Financials'!$P$4:$BF$4,0)),"N/A ")</f>
        <v>90.500009999999989</v>
      </c>
      <c r="AL51" s="232">
        <f>IFERROR(INDEX('FY25 By Venue Financials'!$P$10:$BF$274,MATCH($C51,'FY25 By Venue Financials'!$H$10:$H$274,0),MATCH(AL$8,'FY25 By Venue Financials'!$P$4:$BF$4,0)),"N/A ")</f>
        <v>65.650000000000006</v>
      </c>
      <c r="AM51" s="232">
        <f>IFERROR(INDEX('FY25 By Venue Financials'!$P$10:$BF$274,MATCH($C51,'FY25 By Venue Financials'!$H$10:$H$274,0),MATCH(AM$8,'FY25 By Venue Financials'!$P$4:$BF$4,0)),"N/A ")</f>
        <v>104.15</v>
      </c>
      <c r="AN51" s="232">
        <f>IFERROR(INDEX('FY25 By Venue Financials'!$P$10:$BF$274,MATCH($C51,'FY25 By Venue Financials'!$H$10:$H$274,0),MATCH(AN$8,'FY25 By Venue Financials'!$P$4:$BF$4,0)),"N/A ")</f>
        <v>97.35</v>
      </c>
      <c r="AO51" s="232">
        <f>IFERROR(INDEX('FY25 By Venue Financials'!$P$10:$BF$274,MATCH($C51,'FY25 By Venue Financials'!$H$10:$H$274,0),MATCH(AO$8,'FY25 By Venue Financials'!$P$4:$BF$4,0)),"N/A ")</f>
        <v>280.17500000000001</v>
      </c>
      <c r="AP51" s="232">
        <f>IFERROR(INDEX('FY25 By Venue Financials'!$P$10:$BF$274,MATCH($C51,'FY25 By Venue Financials'!$H$10:$H$274,0),MATCH(AP$8,'FY25 By Venue Financials'!$P$4:$BF$4,0)),"N/A ")</f>
        <v>9.4499999999999993</v>
      </c>
      <c r="AQ51" s="232">
        <f>IFERROR(INDEX('FY25 By Venue Financials'!$P$10:$BF$274,MATCH($C51,'FY25 By Venue Financials'!$H$10:$H$274,0),MATCH(AQ$8,'FY25 By Venue Financials'!$P$4:$BF$4,0)),"N/A ")</f>
        <v>473.625</v>
      </c>
      <c r="AR51" s="232">
        <f>IFERROR(INDEX('FY25 By Venue Financials'!$P$10:$BF$274,MATCH($C51,'FY25 By Venue Financials'!$H$10:$H$274,0),MATCH(AR$8,'FY25 By Venue Financials'!$P$4:$BF$4,0)),"N/A ")</f>
        <v>1.1000000000000001</v>
      </c>
    </row>
    <row r="52" spans="3:44">
      <c r="C52" t="s">
        <v>4</v>
      </c>
      <c r="D52" s="47">
        <f t="shared" si="55"/>
        <v>1425.5088100000003</v>
      </c>
      <c r="E52" s="111"/>
      <c r="F52" s="47">
        <f t="shared" si="56"/>
        <v>776.0520600000001</v>
      </c>
      <c r="G52" s="47">
        <f t="shared" si="53"/>
        <v>623.16000000000008</v>
      </c>
      <c r="H52" s="47">
        <f t="shared" si="54"/>
        <v>169.08674999999999</v>
      </c>
      <c r="I52" s="47">
        <f t="shared" si="54"/>
        <v>325.16924999999998</v>
      </c>
      <c r="J52" s="47">
        <f t="shared" si="54"/>
        <v>155.20075</v>
      </c>
      <c r="K52" s="111"/>
      <c r="L52" s="232">
        <f>IFERROR(INDEX('FY25 By Venue Financials'!$P$10:$BF$274,MATCH($C52,'FY25 By Venue Financials'!$H$10:$H$274,0),MATCH(L$8,'FY25 By Venue Financials'!$P$4:$BF$4,0)),"N/A ")</f>
        <v>25.541250000000002</v>
      </c>
      <c r="M52" s="232">
        <f>IFERROR(INDEX('FY25 By Venue Financials'!$P$10:$BF$274,MATCH($C52,'FY25 By Venue Financials'!$H$10:$H$274,0),MATCH(M$8,'FY25 By Venue Financials'!$P$4:$BF$4,0)),"N/A ")</f>
        <v>29.127500000000001</v>
      </c>
      <c r="N52" s="232">
        <f>IFERROR(INDEX('FY25 By Venue Financials'!$P$10:$BF$274,MATCH($C52,'FY25 By Venue Financials'!$H$10:$H$274,0),MATCH(N$8,'FY25 By Venue Financials'!$P$4:$BF$4,0)),"N/A ")</f>
        <v>42.123750000000001</v>
      </c>
      <c r="O52" s="232">
        <f>IFERROR(INDEX('FY25 By Venue Financials'!$P$10:$BF$274,MATCH($C52,'FY25 By Venue Financials'!$H$10:$H$274,0),MATCH(O$8,'FY25 By Venue Financials'!$P$4:$BF$4,0)),"N/A ")</f>
        <v>70.421250000000001</v>
      </c>
      <c r="P52" s="232">
        <f>IFERROR(INDEX('FY25 By Venue Financials'!$P$10:$BF$274,MATCH($C52,'FY25 By Venue Financials'!$H$10:$H$274,0),MATCH(P$8,'FY25 By Venue Financials'!$P$4:$BF$4,0)),"N/A ")</f>
        <v>14.55625</v>
      </c>
      <c r="Q52" s="232">
        <f>IFERROR(INDEX('FY25 By Venue Financials'!$P$10:$BF$274,MATCH($C52,'FY25 By Venue Financials'!$H$10:$H$274,0),MATCH(Q$8,'FY25 By Venue Financials'!$P$4:$BF$4,0)),"N/A ")</f>
        <v>78.586250000000007</v>
      </c>
      <c r="R52" s="232">
        <f>IFERROR(INDEX('FY25 By Venue Financials'!$P$10:$BF$274,MATCH($C52,'FY25 By Venue Financials'!$H$10:$H$274,0),MATCH(R$8,'FY25 By Venue Financials'!$P$4:$BF$4,0)),"N/A ")</f>
        <v>20.15625</v>
      </c>
      <c r="S52" s="232">
        <f>IFERROR(INDEX('FY25 By Venue Financials'!$P$10:$BF$274,MATCH($C52,'FY25 By Venue Financials'!$H$10:$H$274,0),MATCH(S$8,'FY25 By Venue Financials'!$P$4:$BF$4,0)),"N/A ")</f>
        <v>52.731250000000003</v>
      </c>
      <c r="T52" s="232">
        <f>IFERROR(INDEX('FY25 By Venue Financials'!$P$10:$BF$274,MATCH($C52,'FY25 By Venue Financials'!$H$10:$H$274,0),MATCH(T$8,'FY25 By Venue Financials'!$P$4:$BF$4,0)),"N/A ")</f>
        <v>59.659750000000003</v>
      </c>
      <c r="U52" s="232">
        <f>IFERROR(INDEX('FY25 By Venue Financials'!$P$10:$BF$274,MATCH($C52,'FY25 By Venue Financials'!$H$10:$H$274,0),MATCH(U$8,'FY25 By Venue Financials'!$P$4:$BF$4,0)),"N/A ")</f>
        <v>136.77956</v>
      </c>
      <c r="V52" s="232">
        <f>IFERROR(INDEX('FY25 By Venue Financials'!$P$10:$BF$274,MATCH($C52,'FY25 By Venue Financials'!$H$10:$H$274,0),MATCH(V$8,'FY25 By Venue Financials'!$P$4:$BF$4,0)),"N/A ")</f>
        <v>16.112500000000001</v>
      </c>
      <c r="W52" s="232">
        <f>IFERROR(INDEX('FY25 By Venue Financials'!$P$10:$BF$274,MATCH($C52,'FY25 By Venue Financials'!$H$10:$H$274,0),MATCH(W$8,'FY25 By Venue Financials'!$P$4:$BF$4,0)),"N/A ")</f>
        <v>24.754999999999999</v>
      </c>
      <c r="X52" s="232">
        <f>IFERROR(INDEX('FY25 By Venue Financials'!$P$10:$BF$274,MATCH($C52,'FY25 By Venue Financials'!$H$10:$H$274,0),MATCH(X$8,'FY25 By Venue Financials'!$P$4:$BF$4,0)),"N/A ")</f>
        <v>48.307499999999997</v>
      </c>
      <c r="Y52" s="232">
        <f>IFERROR(INDEX('FY25 By Venue Financials'!$P$10:$BF$274,MATCH($C52,'FY25 By Venue Financials'!$H$10:$H$274,0),MATCH(Y$8,'FY25 By Venue Financials'!$P$4:$BF$4,0)),"N/A ")</f>
        <v>34.481250000000003</v>
      </c>
      <c r="Z52" s="232">
        <f>IFERROR(INDEX('FY25 By Venue Financials'!$P$10:$BF$274,MATCH($C52,'FY25 By Venue Financials'!$H$10:$H$274,0),MATCH(Z$8,'FY25 By Venue Financials'!$P$4:$BF$4,0)),"N/A ")</f>
        <v>78.042500000000004</v>
      </c>
      <c r="AA52" s="232">
        <f>IFERROR(INDEX('FY25 By Venue Financials'!$P$10:$BF$274,MATCH($C52,'FY25 By Venue Financials'!$H$10:$H$274,0),MATCH(AA$8,'FY25 By Venue Financials'!$P$4:$BF$4,0)),"N/A ")</f>
        <v>25.585249999999998</v>
      </c>
      <c r="AB52" s="232">
        <f>IFERROR(INDEX('FY25 By Venue Financials'!$P$10:$BF$274,MATCH($C52,'FY25 By Venue Financials'!$H$10:$H$274,0),MATCH(AB$8,'FY25 By Venue Financials'!$P$4:$BF$4,0)),"N/A ")</f>
        <v>19.085000000000001</v>
      </c>
      <c r="AC52" s="232">
        <f>IFERROR(INDEX('FY25 By Venue Financials'!$P$10:$BF$274,MATCH($C52,'FY25 By Venue Financials'!$H$10:$H$274,0),MATCH(AC$8,'FY25 By Venue Financials'!$P$4:$BF$4,0)),"N/A ")</f>
        <v>61.914250000000003</v>
      </c>
      <c r="AD52" s="232" t="str">
        <f>IFERROR(INDEX('FY25 By Venue Financials'!$P$10:$BF$274,MATCH($C52,'FY25 By Venue Financials'!$H$10:$H$274,0),MATCH(AD$8,'FY25 By Venue Financials'!$P$4:$BF$4,0)),"N/A ")</f>
        <v xml:space="preserve">N/A </v>
      </c>
      <c r="AE52" s="232">
        <f>IFERROR(INDEX('FY25 By Venue Financials'!$P$10:$BF$274,MATCH($C52,'FY25 By Venue Financials'!$H$10:$H$274,0),MATCH(AE$8,'FY25 By Venue Financials'!$P$4:$BF$4,0)),"N/A ")</f>
        <v>0</v>
      </c>
      <c r="AF52" s="232">
        <f>IFERROR(INDEX('FY25 By Venue Financials'!$P$10:$BF$274,MATCH($C52,'FY25 By Venue Financials'!$H$10:$H$274,0),MATCH(AF$8,'FY25 By Venue Financials'!$P$4:$BF$4,0)),"N/A ")</f>
        <v>20.524249999999999</v>
      </c>
      <c r="AG52" s="232">
        <f>IFERROR(INDEX('FY25 By Venue Financials'!$P$10:$BF$274,MATCH($C52,'FY25 By Venue Financials'!$H$10:$H$274,0),MATCH(AG$8,'FY25 By Venue Financials'!$P$4:$BF$4,0)),"N/A ")</f>
        <v>37.572499999999998</v>
      </c>
      <c r="AH52" s="232">
        <f>IFERROR(INDEX('FY25 By Venue Financials'!$P$10:$BF$274,MATCH($C52,'FY25 By Venue Financials'!$H$10:$H$274,0),MATCH(AH$8,'FY25 By Venue Financials'!$P$4:$BF$4,0)),"N/A ")</f>
        <v>34.70675</v>
      </c>
      <c r="AI52" s="232">
        <f>IFERROR(INDEX('FY25 By Venue Financials'!$P$10:$BF$274,MATCH($C52,'FY25 By Venue Financials'!$H$10:$H$274,0),MATCH(AI$8,'FY25 By Venue Financials'!$P$4:$BF$4,0)),"N/A ")</f>
        <v>14.369</v>
      </c>
      <c r="AJ52" s="232">
        <f>IFERROR(INDEX('FY25 By Venue Financials'!$P$10:$BF$274,MATCH($C52,'FY25 By Venue Financials'!$H$10:$H$274,0),MATCH(AJ$8,'FY25 By Venue Financials'!$P$4:$BF$4,0)),"N/A ")</f>
        <v>57.973750000000003</v>
      </c>
      <c r="AK52" s="232">
        <f>IFERROR(INDEX('FY25 By Venue Financials'!$P$10:$BF$274,MATCH($C52,'FY25 By Venue Financials'!$H$10:$H$274,0),MATCH(AK$8,'FY25 By Venue Financials'!$P$4:$BF$4,0)),"N/A ")</f>
        <v>35.404000000000003</v>
      </c>
      <c r="AL52" s="232">
        <f>IFERROR(INDEX('FY25 By Venue Financials'!$P$10:$BF$274,MATCH($C52,'FY25 By Venue Financials'!$H$10:$H$274,0),MATCH(AL$8,'FY25 By Venue Financials'!$P$4:$BF$4,0)),"N/A ")</f>
        <v>27.572749999999999</v>
      </c>
      <c r="AM52" s="232">
        <f>IFERROR(INDEX('FY25 By Venue Financials'!$P$10:$BF$274,MATCH($C52,'FY25 By Venue Financials'!$H$10:$H$274,0),MATCH(AM$8,'FY25 By Venue Financials'!$P$4:$BF$4,0)),"N/A ")</f>
        <v>40.72625</v>
      </c>
      <c r="AN52" s="232">
        <f>IFERROR(INDEX('FY25 By Venue Financials'!$P$10:$BF$274,MATCH($C52,'FY25 By Venue Financials'!$H$10:$H$274,0),MATCH(AN$8,'FY25 By Venue Financials'!$P$4:$BF$4,0)),"N/A ")</f>
        <v>45.204749999999997</v>
      </c>
      <c r="AO52" s="232">
        <f>IFERROR(INDEX('FY25 By Venue Financials'!$P$10:$BF$274,MATCH($C52,'FY25 By Venue Financials'!$H$10:$H$274,0),MATCH(AO$8,'FY25 By Venue Financials'!$P$4:$BF$4,0)),"N/A ")</f>
        <v>114.52525</v>
      </c>
      <c r="AP52" s="232">
        <f>IFERROR(INDEX('FY25 By Venue Financials'!$P$10:$BF$274,MATCH($C52,'FY25 By Venue Financials'!$H$10:$H$274,0),MATCH(AP$8,'FY25 By Venue Financials'!$P$4:$BF$4,0)),"N/A ")</f>
        <v>3.7625000000000002</v>
      </c>
      <c r="AQ52" s="232">
        <f>IFERROR(INDEX('FY25 By Venue Financials'!$P$10:$BF$274,MATCH($C52,'FY25 By Venue Financials'!$H$10:$H$274,0),MATCH(AQ$8,'FY25 By Venue Financials'!$P$4:$BF$4,0)),"N/A ")</f>
        <v>155.20075</v>
      </c>
      <c r="AR52" s="232">
        <f>IFERROR(INDEX('FY25 By Venue Financials'!$P$10:$BF$274,MATCH($C52,'FY25 By Venue Financials'!$H$10:$H$274,0),MATCH(AR$8,'FY25 By Venue Financials'!$P$4:$BF$4,0)),"N/A ")</f>
        <v>0</v>
      </c>
    </row>
    <row r="53" spans="3:44">
      <c r="C53" t="s">
        <v>5</v>
      </c>
      <c r="D53" s="47">
        <f t="shared" si="55"/>
        <v>1515.9244600000002</v>
      </c>
      <c r="E53" s="111"/>
      <c r="F53" s="47">
        <f t="shared" si="56"/>
        <v>842.48046000000011</v>
      </c>
      <c r="G53" s="47">
        <f t="shared" si="53"/>
        <v>669.90146000000004</v>
      </c>
      <c r="H53" s="47">
        <f t="shared" si="54"/>
        <v>192.14599999999999</v>
      </c>
      <c r="I53" s="47">
        <f t="shared" si="54"/>
        <v>382.346</v>
      </c>
      <c r="J53" s="47">
        <f t="shared" si="54"/>
        <v>98.951999999999998</v>
      </c>
      <c r="K53" s="111"/>
      <c r="L53" s="232">
        <f>IFERROR(INDEX('FY25 By Venue Financials'!$P$10:$BF$274,MATCH($C53,'FY25 By Venue Financials'!$H$10:$H$274,0),MATCH(L$8,'FY25 By Venue Financials'!$P$4:$BF$4,0)),"N/A ")</f>
        <v>22.907</v>
      </c>
      <c r="M53" s="232">
        <f>IFERROR(INDEX('FY25 By Venue Financials'!$P$10:$BF$274,MATCH($C53,'FY25 By Venue Financials'!$H$10:$H$274,0),MATCH(M$8,'FY25 By Venue Financials'!$P$4:$BF$4,0)),"N/A ")</f>
        <v>31.036999999999999</v>
      </c>
      <c r="N53" s="232">
        <f>IFERROR(INDEX('FY25 By Venue Financials'!$P$10:$BF$274,MATCH($C53,'FY25 By Venue Financials'!$H$10:$H$274,0),MATCH(N$8,'FY25 By Venue Financials'!$P$4:$BF$4,0)),"N/A ")</f>
        <v>58.691000000000003</v>
      </c>
      <c r="O53" s="232">
        <f>IFERROR(INDEX('FY25 By Venue Financials'!$P$10:$BF$274,MATCH($C53,'FY25 By Venue Financials'!$H$10:$H$274,0),MATCH(O$8,'FY25 By Venue Financials'!$P$4:$BF$4,0)),"N/A ")</f>
        <v>57.848459999999996</v>
      </c>
      <c r="P53" s="232">
        <f>IFERROR(INDEX('FY25 By Venue Financials'!$P$10:$BF$274,MATCH($C53,'FY25 By Venue Financials'!$H$10:$H$274,0),MATCH(P$8,'FY25 By Venue Financials'!$P$4:$BF$4,0)),"N/A ")</f>
        <v>22.67</v>
      </c>
      <c r="Q53" s="232">
        <f>IFERROR(INDEX('FY25 By Venue Financials'!$P$10:$BF$274,MATCH($C53,'FY25 By Venue Financials'!$H$10:$H$274,0),MATCH(Q$8,'FY25 By Venue Financials'!$P$4:$BF$4,0)),"N/A ")</f>
        <v>94.67</v>
      </c>
      <c r="R53" s="232">
        <f>IFERROR(INDEX('FY25 By Venue Financials'!$P$10:$BF$274,MATCH($C53,'FY25 By Venue Financials'!$H$10:$H$274,0),MATCH(R$8,'FY25 By Venue Financials'!$P$4:$BF$4,0)),"N/A ")</f>
        <v>23.2</v>
      </c>
      <c r="S53" s="232">
        <f>IFERROR(INDEX('FY25 By Venue Financials'!$P$10:$BF$274,MATCH($C53,'FY25 By Venue Financials'!$H$10:$H$274,0),MATCH(S$8,'FY25 By Venue Financials'!$P$4:$BF$4,0)),"N/A ")</f>
        <v>64.063000000000002</v>
      </c>
      <c r="T53" s="232">
        <f>IFERROR(INDEX('FY25 By Venue Financials'!$P$10:$BF$274,MATCH($C53,'FY25 By Venue Financials'!$H$10:$H$274,0),MATCH(T$8,'FY25 By Venue Financials'!$P$4:$BF$4,0)),"N/A ")</f>
        <v>62.755000000000003</v>
      </c>
      <c r="U53" s="232">
        <f>IFERROR(INDEX('FY25 By Venue Financials'!$P$10:$BF$274,MATCH($C53,'FY25 By Venue Financials'!$H$10:$H$274,0),MATCH(U$8,'FY25 By Venue Financials'!$P$4:$BF$4,0)),"N/A ")</f>
        <v>155.512</v>
      </c>
      <c r="V53" s="232">
        <f>IFERROR(INDEX('FY25 By Venue Financials'!$P$10:$BF$274,MATCH($C53,'FY25 By Venue Financials'!$H$10:$H$274,0),MATCH(V$8,'FY25 By Venue Financials'!$P$4:$BF$4,0)),"N/A ")</f>
        <v>17.067</v>
      </c>
      <c r="W53" s="232">
        <f>IFERROR(INDEX('FY25 By Venue Financials'!$P$10:$BF$274,MATCH($C53,'FY25 By Venue Financials'!$H$10:$H$274,0),MATCH(W$8,'FY25 By Venue Financials'!$P$4:$BF$4,0)),"N/A ")</f>
        <v>18.28</v>
      </c>
      <c r="X53" s="232">
        <f>IFERROR(INDEX('FY25 By Venue Financials'!$P$10:$BF$274,MATCH($C53,'FY25 By Venue Financials'!$H$10:$H$274,0),MATCH(X$8,'FY25 By Venue Financials'!$P$4:$BF$4,0)),"N/A ")</f>
        <v>51.505000000000003</v>
      </c>
      <c r="Y53" s="232">
        <f>IFERROR(INDEX('FY25 By Venue Financials'!$P$10:$BF$274,MATCH($C53,'FY25 By Venue Financials'!$H$10:$H$274,0),MATCH(Y$8,'FY25 By Venue Financials'!$P$4:$BF$4,0)),"N/A ")</f>
        <v>35.420999999999999</v>
      </c>
      <c r="Z53" s="232">
        <f>IFERROR(INDEX('FY25 By Venue Financials'!$P$10:$BF$274,MATCH($C53,'FY25 By Venue Financials'!$H$10:$H$274,0),MATCH(Z$8,'FY25 By Venue Financials'!$P$4:$BF$4,0)),"N/A ")</f>
        <v>92.009</v>
      </c>
      <c r="AA53" s="232">
        <f>IFERROR(INDEX('FY25 By Venue Financials'!$P$10:$BF$274,MATCH($C53,'FY25 By Venue Financials'!$H$10:$H$274,0),MATCH(AA$8,'FY25 By Venue Financials'!$P$4:$BF$4,0)),"N/A ")</f>
        <v>18.260000000000002</v>
      </c>
      <c r="AB53" s="232">
        <f>IFERROR(INDEX('FY25 By Venue Financials'!$P$10:$BF$274,MATCH($C53,'FY25 By Venue Financials'!$H$10:$H$274,0),MATCH(AB$8,'FY25 By Venue Financials'!$P$4:$BF$4,0)),"N/A ")</f>
        <v>16.585000000000001</v>
      </c>
      <c r="AC53" s="232">
        <f>IFERROR(INDEX('FY25 By Venue Financials'!$P$10:$BF$274,MATCH($C53,'FY25 By Venue Financials'!$H$10:$H$274,0),MATCH(AC$8,'FY25 By Venue Financials'!$P$4:$BF$4,0)),"N/A ")</f>
        <v>72.641000000000005</v>
      </c>
      <c r="AD53" s="232" t="str">
        <f>IFERROR(INDEX('FY25 By Venue Financials'!$P$10:$BF$274,MATCH($C53,'FY25 By Venue Financials'!$H$10:$H$274,0),MATCH(AD$8,'FY25 By Venue Financials'!$P$4:$BF$4,0)),"N/A ")</f>
        <v xml:space="preserve">N/A </v>
      </c>
      <c r="AE53" s="232">
        <f>IFERROR(INDEX('FY25 By Venue Financials'!$P$10:$BF$274,MATCH($C53,'FY25 By Venue Financials'!$H$10:$H$274,0),MATCH(AE$8,'FY25 By Venue Financials'!$P$4:$BF$4,0)),"N/A ")</f>
        <v>0</v>
      </c>
      <c r="AF53" s="232">
        <f>IFERROR(INDEX('FY25 By Venue Financials'!$P$10:$BF$274,MATCH($C53,'FY25 By Venue Financials'!$H$10:$H$274,0),MATCH(AF$8,'FY25 By Venue Financials'!$P$4:$BF$4,0)),"N/A ")</f>
        <v>19.675000000000001</v>
      </c>
      <c r="AG53" s="232">
        <f>IFERROR(INDEX('FY25 By Venue Financials'!$P$10:$BF$274,MATCH($C53,'FY25 By Venue Financials'!$H$10:$H$274,0),MATCH(AG$8,'FY25 By Venue Financials'!$P$4:$BF$4,0)),"N/A ")</f>
        <v>40.35</v>
      </c>
      <c r="AH53" s="232">
        <f>IFERROR(INDEX('FY25 By Venue Financials'!$P$10:$BF$274,MATCH($C53,'FY25 By Venue Financials'!$H$10:$H$274,0),MATCH(AH$8,'FY25 By Venue Financials'!$P$4:$BF$4,0)),"N/A ")</f>
        <v>44.994</v>
      </c>
      <c r="AI53" s="232">
        <f>IFERROR(INDEX('FY25 By Venue Financials'!$P$10:$BF$274,MATCH($C53,'FY25 By Venue Financials'!$H$10:$H$274,0),MATCH(AI$8,'FY25 By Venue Financials'!$P$4:$BF$4,0)),"N/A ")</f>
        <v>14.486000000000001</v>
      </c>
      <c r="AJ53" s="232">
        <f>IFERROR(INDEX('FY25 By Venue Financials'!$P$10:$BF$274,MATCH($C53,'FY25 By Venue Financials'!$H$10:$H$274,0),MATCH(AJ$8,'FY25 By Venue Financials'!$P$4:$BF$4,0)),"N/A ")</f>
        <v>62.82</v>
      </c>
      <c r="AK53" s="232">
        <f>IFERROR(INDEX('FY25 By Venue Financials'!$P$10:$BF$274,MATCH($C53,'FY25 By Venue Financials'!$H$10:$H$274,0),MATCH(AK$8,'FY25 By Venue Financials'!$P$4:$BF$4,0)),"N/A ")</f>
        <v>37.46</v>
      </c>
      <c r="AL53" s="232">
        <f>IFERROR(INDEX('FY25 By Venue Financials'!$P$10:$BF$274,MATCH($C53,'FY25 By Venue Financials'!$H$10:$H$274,0),MATCH(AL$8,'FY25 By Venue Financials'!$P$4:$BF$4,0)),"N/A ")</f>
        <v>37.481000000000002</v>
      </c>
      <c r="AM53" s="232">
        <f>IFERROR(INDEX('FY25 By Venue Financials'!$P$10:$BF$274,MATCH($C53,'FY25 By Venue Financials'!$H$10:$H$274,0),MATCH(AM$8,'FY25 By Venue Financials'!$P$4:$BF$4,0)),"N/A ")</f>
        <v>50.261000000000003</v>
      </c>
      <c r="AN53" s="232">
        <f>IFERROR(INDEX('FY25 By Venue Financials'!$P$10:$BF$274,MATCH($C53,'FY25 By Venue Financials'!$H$10:$H$274,0),MATCH(AN$8,'FY25 By Venue Financials'!$P$4:$BF$4,0)),"N/A ")</f>
        <v>51.13</v>
      </c>
      <c r="AO53" s="232">
        <f>IFERROR(INDEX('FY25 By Venue Financials'!$P$10:$BF$274,MATCH($C53,'FY25 By Venue Financials'!$H$10:$H$274,0),MATCH(AO$8,'FY25 By Venue Financials'!$P$4:$BF$4,0)),"N/A ")</f>
        <v>139.59399999999999</v>
      </c>
      <c r="AP53" s="232">
        <f>IFERROR(INDEX('FY25 By Venue Financials'!$P$10:$BF$274,MATCH($C53,'FY25 By Venue Financials'!$H$10:$H$274,0),MATCH(AP$8,'FY25 By Venue Financials'!$P$4:$BF$4,0)),"N/A ")</f>
        <v>3.6</v>
      </c>
      <c r="AQ53" s="232">
        <f>IFERROR(INDEX('FY25 By Venue Financials'!$P$10:$BF$274,MATCH($C53,'FY25 By Venue Financials'!$H$10:$H$274,0),MATCH(AQ$8,'FY25 By Venue Financials'!$P$4:$BF$4,0)),"N/A ")</f>
        <v>98.951999999999998</v>
      </c>
      <c r="AR53" s="232">
        <f>IFERROR(INDEX('FY25 By Venue Financials'!$P$10:$BF$274,MATCH($C53,'FY25 By Venue Financials'!$H$10:$H$274,0),MATCH(AR$8,'FY25 By Venue Financials'!$P$4:$BF$4,0)),"N/A ")</f>
        <v>0</v>
      </c>
    </row>
    <row r="54" spans="3:44">
      <c r="C54" t="s">
        <v>6</v>
      </c>
      <c r="D54" s="47">
        <f t="shared" si="55"/>
        <v>447.22499999999997</v>
      </c>
      <c r="E54" s="111"/>
      <c r="F54" s="47">
        <f t="shared" si="56"/>
        <v>307.6925</v>
      </c>
      <c r="G54" s="47">
        <f t="shared" si="53"/>
        <v>178.6925</v>
      </c>
      <c r="H54" s="47">
        <f t="shared" si="54"/>
        <v>25.157499999999999</v>
      </c>
      <c r="I54" s="47">
        <f t="shared" si="54"/>
        <v>59.875</v>
      </c>
      <c r="J54" s="47">
        <f t="shared" si="54"/>
        <v>54.5</v>
      </c>
      <c r="K54" s="111"/>
      <c r="L54" s="232">
        <f>IFERROR(INDEX('FY25 By Venue Financials'!$P$10:$BF$274,MATCH($C54,'FY25 By Venue Financials'!$H$10:$H$274,0),MATCH(L$8,'FY25 By Venue Financials'!$P$4:$BF$4,0)),"N/A ")</f>
        <v>3.25</v>
      </c>
      <c r="M54" s="232">
        <f>IFERROR(INDEX('FY25 By Venue Financials'!$P$10:$BF$274,MATCH($C54,'FY25 By Venue Financials'!$H$10:$H$274,0),MATCH(M$8,'FY25 By Venue Financials'!$P$4:$BF$4,0)),"N/A ")</f>
        <v>4.09</v>
      </c>
      <c r="N54" s="232">
        <f>IFERROR(INDEX('FY25 By Venue Financials'!$P$10:$BF$274,MATCH($C54,'FY25 By Venue Financials'!$H$10:$H$274,0),MATCH(N$8,'FY25 By Venue Financials'!$P$4:$BF$4,0)),"N/A ")</f>
        <v>9</v>
      </c>
      <c r="O54" s="232">
        <f>IFERROR(INDEX('FY25 By Venue Financials'!$P$10:$BF$274,MATCH($C54,'FY25 By Venue Financials'!$H$10:$H$274,0),MATCH(O$8,'FY25 By Venue Financials'!$P$4:$BF$4,0)),"N/A ")</f>
        <v>9.8699999999999992</v>
      </c>
      <c r="P54" s="232">
        <f>IFERROR(INDEX('FY25 By Venue Financials'!$P$10:$BF$274,MATCH($C54,'FY25 By Venue Financials'!$H$10:$H$274,0),MATCH(P$8,'FY25 By Venue Financials'!$P$4:$BF$4,0)),"N/A ")</f>
        <v>3.75</v>
      </c>
      <c r="Q54" s="232">
        <f>IFERROR(INDEX('FY25 By Venue Financials'!$P$10:$BF$274,MATCH($C54,'FY25 By Venue Financials'!$H$10:$H$274,0),MATCH(Q$8,'FY25 By Venue Financials'!$P$4:$BF$4,0)),"N/A ")</f>
        <v>15.317500000000001</v>
      </c>
      <c r="R54" s="232">
        <f>IFERROR(INDEX('FY25 By Venue Financials'!$P$10:$BF$274,MATCH($C54,'FY25 By Venue Financials'!$H$10:$H$274,0),MATCH(R$8,'FY25 By Venue Financials'!$P$4:$BF$4,0)),"N/A ")</f>
        <v>4.5</v>
      </c>
      <c r="S54" s="232">
        <f>IFERROR(INDEX('FY25 By Venue Financials'!$P$10:$BF$274,MATCH($C54,'FY25 By Venue Financials'!$H$10:$H$274,0),MATCH(S$8,'FY25 By Venue Financials'!$P$4:$BF$4,0)),"N/A ")</f>
        <v>14.5</v>
      </c>
      <c r="T54" s="232">
        <f>IFERROR(INDEX('FY25 By Venue Financials'!$P$10:$BF$274,MATCH($C54,'FY25 By Venue Financials'!$H$10:$H$274,0),MATCH(T$8,'FY25 By Venue Financials'!$P$4:$BF$4,0)),"N/A ")</f>
        <v>9.7899999999999991</v>
      </c>
      <c r="U54" s="232">
        <f>IFERROR(INDEX('FY25 By Venue Financials'!$P$10:$BF$274,MATCH($C54,'FY25 By Venue Financials'!$H$10:$H$274,0),MATCH(U$8,'FY25 By Venue Financials'!$P$4:$BF$4,0)),"N/A ")</f>
        <v>126.75</v>
      </c>
      <c r="V54" s="232">
        <f>IFERROR(INDEX('FY25 By Venue Financials'!$P$10:$BF$274,MATCH($C54,'FY25 By Venue Financials'!$H$10:$H$274,0),MATCH(V$8,'FY25 By Venue Financials'!$P$4:$BF$4,0)),"N/A ")</f>
        <v>2.25</v>
      </c>
      <c r="W54" s="232">
        <f>IFERROR(INDEX('FY25 By Venue Financials'!$P$10:$BF$274,MATCH($C54,'FY25 By Venue Financials'!$H$10:$H$274,0),MATCH(W$8,'FY25 By Venue Financials'!$P$4:$BF$4,0)),"N/A ")</f>
        <v>1.75</v>
      </c>
      <c r="X54" s="232">
        <f>IFERROR(INDEX('FY25 By Venue Financials'!$P$10:$BF$274,MATCH($C54,'FY25 By Venue Financials'!$H$10:$H$274,0),MATCH(X$8,'FY25 By Venue Financials'!$P$4:$BF$4,0)),"N/A ")</f>
        <v>8.25</v>
      </c>
      <c r="Y54" s="232">
        <f>IFERROR(INDEX('FY25 By Venue Financials'!$P$10:$BF$274,MATCH($C54,'FY25 By Venue Financials'!$H$10:$H$274,0),MATCH(Y$8,'FY25 By Venue Financials'!$P$4:$BF$4,0)),"N/A ")</f>
        <v>8.5</v>
      </c>
      <c r="Z54" s="232">
        <f>IFERROR(INDEX('FY25 By Venue Financials'!$P$10:$BF$274,MATCH($C54,'FY25 By Venue Financials'!$H$10:$H$274,0),MATCH(Z$8,'FY25 By Venue Financials'!$P$4:$BF$4,0)),"N/A ")</f>
        <v>79.875</v>
      </c>
      <c r="AA54" s="232">
        <f>IFERROR(INDEX('FY25 By Venue Financials'!$P$10:$BF$274,MATCH($C54,'FY25 By Venue Financials'!$H$10:$H$274,0),MATCH(AA$8,'FY25 By Venue Financials'!$P$4:$BF$4,0)),"N/A ")</f>
        <v>4</v>
      </c>
      <c r="AB54" s="232">
        <f>IFERROR(INDEX('FY25 By Venue Financials'!$P$10:$BF$274,MATCH($C54,'FY25 By Venue Financials'!$H$10:$H$274,0),MATCH(AB$8,'FY25 By Venue Financials'!$P$4:$BF$4,0)),"N/A ")</f>
        <v>2.25</v>
      </c>
      <c r="AC54" s="232">
        <f>IFERROR(INDEX('FY25 By Venue Financials'!$P$10:$BF$274,MATCH($C54,'FY25 By Venue Financials'!$H$10:$H$274,0),MATCH(AC$8,'FY25 By Venue Financials'!$P$4:$BF$4,0)),"N/A ")</f>
        <v>8.8825000000000003</v>
      </c>
      <c r="AD54" s="232" t="str">
        <f>IFERROR(INDEX('FY25 By Venue Financials'!$P$10:$BF$274,MATCH($C54,'FY25 By Venue Financials'!$H$10:$H$274,0),MATCH(AD$8,'FY25 By Venue Financials'!$P$4:$BF$4,0)),"N/A ")</f>
        <v xml:space="preserve">N/A </v>
      </c>
      <c r="AE54" s="232">
        <f>IFERROR(INDEX('FY25 By Venue Financials'!$P$10:$BF$274,MATCH($C54,'FY25 By Venue Financials'!$H$10:$H$274,0),MATCH(AE$8,'FY25 By Venue Financials'!$P$4:$BF$4,0)),"N/A ")</f>
        <v>0</v>
      </c>
      <c r="AF54" s="232">
        <f>IFERROR(INDEX('FY25 By Venue Financials'!$P$10:$BF$274,MATCH($C54,'FY25 By Venue Financials'!$H$10:$H$274,0),MATCH(AF$8,'FY25 By Venue Financials'!$P$4:$BF$4,0)),"N/A ")</f>
        <v>3.75</v>
      </c>
      <c r="AG54" s="232">
        <f>IFERROR(INDEX('FY25 By Venue Financials'!$P$10:$BF$274,MATCH($C54,'FY25 By Venue Financials'!$H$10:$H$274,0),MATCH(AG$8,'FY25 By Venue Financials'!$P$4:$BF$4,0)),"N/A ")</f>
        <v>7</v>
      </c>
      <c r="AH54" s="232">
        <f>IFERROR(INDEX('FY25 By Venue Financials'!$P$10:$BF$274,MATCH($C54,'FY25 By Venue Financials'!$H$10:$H$274,0),MATCH(AH$8,'FY25 By Venue Financials'!$P$4:$BF$4,0)),"N/A ")</f>
        <v>5.5250000000000004</v>
      </c>
      <c r="AI54" s="232">
        <f>IFERROR(INDEX('FY25 By Venue Financials'!$P$10:$BF$274,MATCH($C54,'FY25 By Venue Financials'!$H$10:$H$274,0),MATCH(AI$8,'FY25 By Venue Financials'!$P$4:$BF$4,0)),"N/A ")</f>
        <v>0</v>
      </c>
      <c r="AJ54" s="232">
        <f>IFERROR(INDEX('FY25 By Venue Financials'!$P$10:$BF$274,MATCH($C54,'FY25 By Venue Financials'!$H$10:$H$274,0),MATCH(AJ$8,'FY25 By Venue Financials'!$P$4:$BF$4,0)),"N/A ")</f>
        <v>7.75</v>
      </c>
      <c r="AK54" s="232">
        <f>IFERROR(INDEX('FY25 By Venue Financials'!$P$10:$BF$274,MATCH($C54,'FY25 By Venue Financials'!$H$10:$H$274,0),MATCH(AK$8,'FY25 By Venue Financials'!$P$4:$BF$4,0)),"N/A ")</f>
        <v>4.5</v>
      </c>
      <c r="AL54" s="232">
        <f>IFERROR(INDEX('FY25 By Venue Financials'!$P$10:$BF$274,MATCH($C54,'FY25 By Venue Financials'!$H$10:$H$274,0),MATCH(AL$8,'FY25 By Venue Financials'!$P$4:$BF$4,0)),"N/A ")</f>
        <v>2.25</v>
      </c>
      <c r="AM54" s="232">
        <f>IFERROR(INDEX('FY25 By Venue Financials'!$P$10:$BF$274,MATCH($C54,'FY25 By Venue Financials'!$H$10:$H$274,0),MATCH(AM$8,'FY25 By Venue Financials'!$P$4:$BF$4,0)),"N/A ")</f>
        <v>5.5</v>
      </c>
      <c r="AN54" s="232">
        <f>IFERROR(INDEX('FY25 By Venue Financials'!$P$10:$BF$274,MATCH($C54,'FY25 By Venue Financials'!$H$10:$H$274,0),MATCH(AN$8,'FY25 By Venue Financials'!$P$4:$BF$4,0)),"N/A ")</f>
        <v>5.5</v>
      </c>
      <c r="AO54" s="232">
        <f>IFERROR(INDEX('FY25 By Venue Financials'!$P$10:$BF$274,MATCH($C54,'FY25 By Venue Financials'!$H$10:$H$274,0),MATCH(AO$8,'FY25 By Venue Financials'!$P$4:$BF$4,0)),"N/A ")</f>
        <v>33.625</v>
      </c>
      <c r="AP54" s="232">
        <f>IFERROR(INDEX('FY25 By Venue Financials'!$P$10:$BF$274,MATCH($C54,'FY25 By Venue Financials'!$H$10:$H$274,0),MATCH(AP$8,'FY25 By Venue Financials'!$P$4:$BF$4,0)),"N/A ")</f>
        <v>0.75</v>
      </c>
      <c r="AQ54" s="232">
        <f>IFERROR(INDEX('FY25 By Venue Financials'!$P$10:$BF$274,MATCH($C54,'FY25 By Venue Financials'!$H$10:$H$274,0),MATCH(AQ$8,'FY25 By Venue Financials'!$P$4:$BF$4,0)),"N/A ")</f>
        <v>54.5</v>
      </c>
      <c r="AR54" s="232">
        <f>IFERROR(INDEX('FY25 By Venue Financials'!$P$10:$BF$274,MATCH($C54,'FY25 By Venue Financials'!$H$10:$H$274,0),MATCH(AR$8,'FY25 By Venue Financials'!$P$4:$BF$4,0)),"N/A ")</f>
        <v>0</v>
      </c>
    </row>
    <row r="55" spans="3:44">
      <c r="C55" t="s">
        <v>7</v>
      </c>
      <c r="D55" s="47">
        <f t="shared" si="55"/>
        <v>1226.7550000000001</v>
      </c>
      <c r="E55" s="111"/>
      <c r="F55" s="47">
        <f t="shared" si="56"/>
        <v>724.59699999999998</v>
      </c>
      <c r="G55" s="47">
        <f t="shared" si="53"/>
        <v>641.28499999999997</v>
      </c>
      <c r="H55" s="47">
        <f t="shared" si="54"/>
        <v>154.65799999999999</v>
      </c>
      <c r="I55" s="47">
        <f t="shared" si="54"/>
        <v>250.386</v>
      </c>
      <c r="J55" s="47">
        <f t="shared" si="54"/>
        <v>97.114000000000004</v>
      </c>
      <c r="K55" s="111"/>
      <c r="L55" s="232">
        <f>IFERROR(INDEX('FY25 By Venue Financials'!$P$10:$BF$274,MATCH($C55,'FY25 By Venue Financials'!$H$10:$H$274,0),MATCH(L$8,'FY25 By Venue Financials'!$P$4:$BF$4,0)),"N/A ")</f>
        <v>21.785</v>
      </c>
      <c r="M55" s="232">
        <f>IFERROR(INDEX('FY25 By Venue Financials'!$P$10:$BF$274,MATCH($C55,'FY25 By Venue Financials'!$H$10:$H$274,0),MATCH(M$8,'FY25 By Venue Financials'!$P$4:$BF$4,0)),"N/A ")</f>
        <v>48.802999999999997</v>
      </c>
      <c r="N55" s="232">
        <f>IFERROR(INDEX('FY25 By Venue Financials'!$P$10:$BF$274,MATCH($C55,'FY25 By Venue Financials'!$H$10:$H$274,0),MATCH(N$8,'FY25 By Venue Financials'!$P$4:$BF$4,0)),"N/A ")</f>
        <v>31.169</v>
      </c>
      <c r="O55" s="232">
        <f>IFERROR(INDEX('FY25 By Venue Financials'!$P$10:$BF$274,MATCH($C55,'FY25 By Venue Financials'!$H$10:$H$274,0),MATCH(O$8,'FY25 By Venue Financials'!$P$4:$BF$4,0)),"N/A ")</f>
        <v>57.262999999999998</v>
      </c>
      <c r="P55" s="232">
        <f>IFERROR(INDEX('FY25 By Venue Financials'!$P$10:$BF$274,MATCH($C55,'FY25 By Venue Financials'!$H$10:$H$274,0),MATCH(P$8,'FY25 By Venue Financials'!$P$4:$BF$4,0)),"N/A ")</f>
        <v>22.593</v>
      </c>
      <c r="Q55" s="232">
        <f>IFERROR(INDEX('FY25 By Venue Financials'!$P$10:$BF$274,MATCH($C55,'FY25 By Venue Financials'!$H$10:$H$274,0),MATCH(Q$8,'FY25 By Venue Financials'!$P$4:$BF$4,0)),"N/A ")</f>
        <v>80.61</v>
      </c>
      <c r="R55" s="232">
        <f>IFERROR(INDEX('FY25 By Venue Financials'!$P$10:$BF$274,MATCH($C55,'FY25 By Venue Financials'!$H$10:$H$274,0),MATCH(R$8,'FY25 By Venue Financials'!$P$4:$BF$4,0)),"N/A ")</f>
        <v>27.1</v>
      </c>
      <c r="S55" s="232">
        <f>IFERROR(INDEX('FY25 By Venue Financials'!$P$10:$BF$274,MATCH($C55,'FY25 By Venue Financials'!$H$10:$H$274,0),MATCH(S$8,'FY25 By Venue Financials'!$P$4:$BF$4,0)),"N/A ")</f>
        <v>53.067</v>
      </c>
      <c r="T55" s="232">
        <f>IFERROR(INDEX('FY25 By Venue Financials'!$P$10:$BF$274,MATCH($C55,'FY25 By Venue Financials'!$H$10:$H$274,0),MATCH(T$8,'FY25 By Venue Financials'!$P$4:$BF$4,0)),"N/A ")</f>
        <v>51.177</v>
      </c>
      <c r="U55" s="232">
        <f>IFERROR(INDEX('FY25 By Venue Financials'!$P$10:$BF$274,MATCH($C55,'FY25 By Venue Financials'!$H$10:$H$274,0),MATCH(U$8,'FY25 By Venue Financials'!$P$4:$BF$4,0)),"N/A ")</f>
        <v>66.962000000000003</v>
      </c>
      <c r="V55" s="232">
        <f>IFERROR(INDEX('FY25 By Venue Financials'!$P$10:$BF$274,MATCH($C55,'FY25 By Venue Financials'!$H$10:$H$274,0),MATCH(V$8,'FY25 By Venue Financials'!$P$4:$BF$4,0)),"N/A ")</f>
        <v>16.350000000000001</v>
      </c>
      <c r="W55" s="232">
        <f>IFERROR(INDEX('FY25 By Venue Financials'!$P$10:$BF$274,MATCH($C55,'FY25 By Venue Financials'!$H$10:$H$274,0),MATCH(W$8,'FY25 By Venue Financials'!$P$4:$BF$4,0)),"N/A ")</f>
        <v>24.74</v>
      </c>
      <c r="X55" s="232">
        <f>IFERROR(INDEX('FY25 By Venue Financials'!$P$10:$BF$274,MATCH($C55,'FY25 By Venue Financials'!$H$10:$H$274,0),MATCH(X$8,'FY25 By Venue Financials'!$P$4:$BF$4,0)),"N/A ")</f>
        <v>46.033000000000001</v>
      </c>
      <c r="Y55" s="232">
        <f>IFERROR(INDEX('FY25 By Venue Financials'!$P$10:$BF$274,MATCH($C55,'FY25 By Venue Financials'!$H$10:$H$274,0),MATCH(Y$8,'FY25 By Venue Financials'!$P$4:$BF$4,0)),"N/A ")</f>
        <v>45.631</v>
      </c>
      <c r="Z55" s="232">
        <f>IFERROR(INDEX('FY25 By Venue Financials'!$P$10:$BF$274,MATCH($C55,'FY25 By Venue Financials'!$H$10:$H$274,0),MATCH(Z$8,'FY25 By Venue Financials'!$P$4:$BF$4,0)),"N/A ")</f>
        <v>70.944999999999993</v>
      </c>
      <c r="AA55" s="232">
        <f>IFERROR(INDEX('FY25 By Venue Financials'!$P$10:$BF$274,MATCH($C55,'FY25 By Venue Financials'!$H$10:$H$274,0),MATCH(AA$8,'FY25 By Venue Financials'!$P$4:$BF$4,0)),"N/A ")</f>
        <v>23.4</v>
      </c>
      <c r="AB55" s="232">
        <f>IFERROR(INDEX('FY25 By Venue Financials'!$P$10:$BF$274,MATCH($C55,'FY25 By Venue Financials'!$H$10:$H$274,0),MATCH(AB$8,'FY25 By Venue Financials'!$P$4:$BF$4,0)),"N/A ")</f>
        <v>27.212</v>
      </c>
      <c r="AC55" s="232">
        <f>IFERROR(INDEX('FY25 By Venue Financials'!$P$10:$BF$274,MATCH($C55,'FY25 By Venue Financials'!$H$10:$H$274,0),MATCH(AC$8,'FY25 By Venue Financials'!$P$4:$BF$4,0)),"N/A ")</f>
        <v>64.704999999999998</v>
      </c>
      <c r="AD55" s="232" t="str">
        <f>IFERROR(INDEX('FY25 By Venue Financials'!$P$10:$BF$274,MATCH($C55,'FY25 By Venue Financials'!$H$10:$H$274,0),MATCH(AD$8,'FY25 By Venue Financials'!$P$4:$BF$4,0)),"N/A ")</f>
        <v xml:space="preserve">N/A </v>
      </c>
      <c r="AE55" s="232">
        <f>IFERROR(INDEX('FY25 By Venue Financials'!$P$10:$BF$274,MATCH($C55,'FY25 By Venue Financials'!$H$10:$H$274,0),MATCH(AE$8,'FY25 By Venue Financials'!$P$4:$BF$4,0)),"N/A ")</f>
        <v>0</v>
      </c>
      <c r="AF55" s="232">
        <f>IFERROR(INDEX('FY25 By Venue Financials'!$P$10:$BF$274,MATCH($C55,'FY25 By Venue Financials'!$H$10:$H$274,0),MATCH(AF$8,'FY25 By Venue Financials'!$P$4:$BF$4,0)),"N/A ")</f>
        <v>19.292999999999999</v>
      </c>
      <c r="AG55" s="232">
        <f>IFERROR(INDEX('FY25 By Venue Financials'!$P$10:$BF$274,MATCH($C55,'FY25 By Venue Financials'!$H$10:$H$274,0),MATCH(AG$8,'FY25 By Venue Financials'!$P$4:$BF$4,0)),"N/A ")</f>
        <v>22.460999999999999</v>
      </c>
      <c r="AH55" s="232">
        <f>IFERROR(INDEX('FY25 By Venue Financials'!$P$10:$BF$274,MATCH($C55,'FY25 By Venue Financials'!$H$10:$H$274,0),MATCH(AH$8,'FY25 By Venue Financials'!$P$4:$BF$4,0)),"N/A ")</f>
        <v>38.167000000000002</v>
      </c>
      <c r="AI55" s="232">
        <f>IFERROR(INDEX('FY25 By Venue Financials'!$P$10:$BF$274,MATCH($C55,'FY25 By Venue Financials'!$H$10:$H$274,0),MATCH(AI$8,'FY25 By Venue Financials'!$P$4:$BF$4,0)),"N/A ")</f>
        <v>10.032</v>
      </c>
      <c r="AJ55" s="232">
        <f>IFERROR(INDEX('FY25 By Venue Financials'!$P$10:$BF$274,MATCH($C55,'FY25 By Venue Financials'!$H$10:$H$274,0),MATCH(AJ$8,'FY25 By Venue Financials'!$P$4:$BF$4,0)),"N/A ")</f>
        <v>41.113999999999997</v>
      </c>
      <c r="AK55" s="232">
        <f>IFERROR(INDEX('FY25 By Venue Financials'!$P$10:$BF$274,MATCH($C55,'FY25 By Venue Financials'!$H$10:$H$274,0),MATCH(AK$8,'FY25 By Venue Financials'!$P$4:$BF$4,0)),"N/A ")</f>
        <v>36.164000000000001</v>
      </c>
      <c r="AL55" s="232">
        <f>IFERROR(INDEX('FY25 By Venue Financials'!$P$10:$BF$274,MATCH($C55,'FY25 By Venue Financials'!$H$10:$H$274,0),MATCH(AL$8,'FY25 By Venue Financials'!$P$4:$BF$4,0)),"N/A ")</f>
        <v>25.093</v>
      </c>
      <c r="AM55" s="232">
        <f>IFERROR(INDEX('FY25 By Venue Financials'!$P$10:$BF$274,MATCH($C55,'FY25 By Venue Financials'!$H$10:$H$274,0),MATCH(AM$8,'FY25 By Venue Financials'!$P$4:$BF$4,0)),"N/A ")</f>
        <v>39.728999999999999</v>
      </c>
      <c r="AN55" s="232">
        <f>IFERROR(INDEX('FY25 By Venue Financials'!$P$10:$BF$274,MATCH($C55,'FY25 By Venue Financials'!$H$10:$H$274,0),MATCH(AN$8,'FY25 By Venue Financials'!$P$4:$BF$4,0)),"N/A ")</f>
        <v>30.654</v>
      </c>
      <c r="AO55" s="232">
        <f>IFERROR(INDEX('FY25 By Venue Financials'!$P$10:$BF$274,MATCH($C55,'FY25 By Venue Financials'!$H$10:$H$274,0),MATCH(AO$8,'FY25 By Venue Financials'!$P$4:$BF$4,0)),"N/A ")</f>
        <v>71.531999999999996</v>
      </c>
      <c r="AP55" s="232">
        <f>IFERROR(INDEX('FY25 By Venue Financials'!$P$10:$BF$274,MATCH($C55,'FY25 By Venue Financials'!$H$10:$H$274,0),MATCH(AP$8,'FY25 By Venue Financials'!$P$4:$BF$4,0)),"N/A ")</f>
        <v>6.1</v>
      </c>
      <c r="AQ55" s="232">
        <f>IFERROR(INDEX('FY25 By Venue Financials'!$P$10:$BF$274,MATCH($C55,'FY25 By Venue Financials'!$H$10:$H$274,0),MATCH(AQ$8,'FY25 By Venue Financials'!$P$4:$BF$4,0)),"N/A ")</f>
        <v>97.114000000000004</v>
      </c>
      <c r="AR55" s="232">
        <f>IFERROR(INDEX('FY25 By Venue Financials'!$P$10:$BF$274,MATCH($C55,'FY25 By Venue Financials'!$H$10:$H$274,0),MATCH(AR$8,'FY25 By Venue Financials'!$P$4:$BF$4,0)),"N/A ")</f>
        <v>9.7569999999999997</v>
      </c>
    </row>
    <row r="56" spans="3:44">
      <c r="C56" t="s">
        <v>8</v>
      </c>
      <c r="D56" s="47">
        <f t="shared" si="55"/>
        <v>16.5</v>
      </c>
      <c r="E56" s="111"/>
      <c r="F56" s="47">
        <f t="shared" si="56"/>
        <v>14.3</v>
      </c>
      <c r="G56" s="47">
        <f t="shared" si="53"/>
        <v>17.600000000000001</v>
      </c>
      <c r="H56" s="47">
        <f t="shared" si="54"/>
        <v>2.2000000000000002</v>
      </c>
      <c r="I56" s="47">
        <f t="shared" si="54"/>
        <v>0</v>
      </c>
      <c r="J56" s="47">
        <f t="shared" si="54"/>
        <v>0</v>
      </c>
      <c r="K56" s="111"/>
      <c r="L56" s="232">
        <f>IFERROR(INDEX('FY25 By Venue Financials'!$P$10:$BF$274,MATCH($C56,'FY25 By Venue Financials'!$H$10:$H$274,0),MATCH(L$8,'FY25 By Venue Financials'!$P$4:$BF$4,0)),"N/A ")</f>
        <v>0</v>
      </c>
      <c r="M56" s="232">
        <f>IFERROR(INDEX('FY25 By Venue Financials'!$P$10:$BF$274,MATCH($C56,'FY25 By Venue Financials'!$H$10:$H$274,0),MATCH(M$8,'FY25 By Venue Financials'!$P$4:$BF$4,0)),"N/A ")</f>
        <v>0</v>
      </c>
      <c r="N56" s="232">
        <f>IFERROR(INDEX('FY25 By Venue Financials'!$P$10:$BF$274,MATCH($C56,'FY25 By Venue Financials'!$H$10:$H$274,0),MATCH(N$8,'FY25 By Venue Financials'!$P$4:$BF$4,0)),"N/A ")</f>
        <v>0</v>
      </c>
      <c r="O56" s="232">
        <f>IFERROR(INDEX('FY25 By Venue Financials'!$P$10:$BF$274,MATCH($C56,'FY25 By Venue Financials'!$H$10:$H$274,0),MATCH(O$8,'FY25 By Venue Financials'!$P$4:$BF$4,0)),"N/A ")</f>
        <v>3.96</v>
      </c>
      <c r="P56" s="232">
        <f>IFERROR(INDEX('FY25 By Venue Financials'!$P$10:$BF$274,MATCH($C56,'FY25 By Venue Financials'!$H$10:$H$274,0),MATCH(P$8,'FY25 By Venue Financials'!$P$4:$BF$4,0)),"N/A ")</f>
        <v>2.2000000000000002</v>
      </c>
      <c r="Q56" s="232">
        <f>IFERROR(INDEX('FY25 By Venue Financials'!$P$10:$BF$274,MATCH($C56,'FY25 By Venue Financials'!$H$10:$H$274,0),MATCH(Q$8,'FY25 By Venue Financials'!$P$4:$BF$4,0)),"N/A ")</f>
        <v>2.2000000000000002</v>
      </c>
      <c r="R56" s="232">
        <f>IFERROR(INDEX('FY25 By Venue Financials'!$P$10:$BF$274,MATCH($C56,'FY25 By Venue Financials'!$H$10:$H$274,0),MATCH(R$8,'FY25 By Venue Financials'!$P$4:$BF$4,0)),"N/A ")</f>
        <v>0</v>
      </c>
      <c r="S56" s="232">
        <f>IFERROR(INDEX('FY25 By Venue Financials'!$P$10:$BF$274,MATCH($C56,'FY25 By Venue Financials'!$H$10:$H$274,0),MATCH(S$8,'FY25 By Venue Financials'!$P$4:$BF$4,0)),"N/A ")</f>
        <v>0</v>
      </c>
      <c r="T56" s="232">
        <f>IFERROR(INDEX('FY25 By Venue Financials'!$P$10:$BF$274,MATCH($C56,'FY25 By Venue Financials'!$H$10:$H$274,0),MATCH(T$8,'FY25 By Venue Financials'!$P$4:$BF$4,0)),"N/A ")</f>
        <v>2.2000000000000002</v>
      </c>
      <c r="U56" s="232">
        <f>IFERROR(INDEX('FY25 By Venue Financials'!$P$10:$BF$274,MATCH($C56,'FY25 By Venue Financials'!$H$10:$H$274,0),MATCH(U$8,'FY25 By Venue Financials'!$P$4:$BF$4,0)),"N/A ")</f>
        <v>-3.3</v>
      </c>
      <c r="V56" s="232">
        <f>IFERROR(INDEX('FY25 By Venue Financials'!$P$10:$BF$274,MATCH($C56,'FY25 By Venue Financials'!$H$10:$H$274,0),MATCH(V$8,'FY25 By Venue Financials'!$P$4:$BF$4,0)),"N/A ")</f>
        <v>0</v>
      </c>
      <c r="W56" s="232">
        <f>IFERROR(INDEX('FY25 By Venue Financials'!$P$10:$BF$274,MATCH($C56,'FY25 By Venue Financials'!$H$10:$H$274,0),MATCH(W$8,'FY25 By Venue Financials'!$P$4:$BF$4,0)),"N/A ")</f>
        <v>0</v>
      </c>
      <c r="X56" s="232">
        <f>IFERROR(INDEX('FY25 By Venue Financials'!$P$10:$BF$274,MATCH($C56,'FY25 By Venue Financials'!$H$10:$H$274,0),MATCH(X$8,'FY25 By Venue Financials'!$P$4:$BF$4,0)),"N/A ")</f>
        <v>0</v>
      </c>
      <c r="Y56" s="232">
        <f>IFERROR(INDEX('FY25 By Venue Financials'!$P$10:$BF$274,MATCH($C56,'FY25 By Venue Financials'!$H$10:$H$274,0),MATCH(Y$8,'FY25 By Venue Financials'!$P$4:$BF$4,0)),"N/A ")</f>
        <v>0</v>
      </c>
      <c r="Z56" s="232">
        <f>IFERROR(INDEX('FY25 By Venue Financials'!$P$10:$BF$274,MATCH($C56,'FY25 By Venue Financials'!$H$10:$H$274,0),MATCH(Z$8,'FY25 By Venue Financials'!$P$4:$BF$4,0)),"N/A ")</f>
        <v>4.4000000000000004</v>
      </c>
      <c r="AA56" s="232">
        <f>IFERROR(INDEX('FY25 By Venue Financials'!$P$10:$BF$274,MATCH($C56,'FY25 By Venue Financials'!$H$10:$H$274,0),MATCH(AA$8,'FY25 By Venue Financials'!$P$4:$BF$4,0)),"N/A ")</f>
        <v>2.64</v>
      </c>
      <c r="AB56" s="232">
        <f>IFERROR(INDEX('FY25 By Venue Financials'!$P$10:$BF$274,MATCH($C56,'FY25 By Venue Financials'!$H$10:$H$274,0),MATCH(AB$8,'FY25 By Venue Financials'!$P$4:$BF$4,0)),"N/A ")</f>
        <v>0</v>
      </c>
      <c r="AC56" s="232">
        <f>IFERROR(INDEX('FY25 By Venue Financials'!$P$10:$BF$274,MATCH($C56,'FY25 By Venue Financials'!$H$10:$H$274,0),MATCH(AC$8,'FY25 By Venue Financials'!$P$4:$BF$4,0)),"N/A ")</f>
        <v>0</v>
      </c>
      <c r="AD56" s="232" t="str">
        <f>IFERROR(INDEX('FY25 By Venue Financials'!$P$10:$BF$274,MATCH($C56,'FY25 By Venue Financials'!$H$10:$H$274,0),MATCH(AD$8,'FY25 By Venue Financials'!$P$4:$BF$4,0)),"N/A ")</f>
        <v xml:space="preserve">N/A </v>
      </c>
      <c r="AE56" s="232">
        <f>IFERROR(INDEX('FY25 By Venue Financials'!$P$10:$BF$274,MATCH($C56,'FY25 By Venue Financials'!$H$10:$H$274,0),MATCH(AE$8,'FY25 By Venue Financials'!$P$4:$BF$4,0)),"N/A ")</f>
        <v>0</v>
      </c>
      <c r="AF56" s="232">
        <f>IFERROR(INDEX('FY25 By Venue Financials'!$P$10:$BF$274,MATCH($C56,'FY25 By Venue Financials'!$H$10:$H$274,0),MATCH(AF$8,'FY25 By Venue Financials'!$P$4:$BF$4,0)),"N/A ")</f>
        <v>2.2000000000000002</v>
      </c>
      <c r="AG56" s="232">
        <f>IFERROR(INDEX('FY25 By Venue Financials'!$P$10:$BF$274,MATCH($C56,'FY25 By Venue Financials'!$H$10:$H$274,0),MATCH(AG$8,'FY25 By Venue Financials'!$P$4:$BF$4,0)),"N/A ")</f>
        <v>0</v>
      </c>
      <c r="AH56" s="232">
        <f>IFERROR(INDEX('FY25 By Venue Financials'!$P$10:$BF$274,MATCH($C56,'FY25 By Venue Financials'!$H$10:$H$274,0),MATCH(AH$8,'FY25 By Venue Financials'!$P$4:$BF$4,0)),"N/A ")</f>
        <v>0</v>
      </c>
      <c r="AI56" s="232">
        <f>IFERROR(INDEX('FY25 By Venue Financials'!$P$10:$BF$274,MATCH($C56,'FY25 By Venue Financials'!$H$10:$H$274,0),MATCH(AI$8,'FY25 By Venue Financials'!$P$4:$BF$4,0)),"N/A ")</f>
        <v>0</v>
      </c>
      <c r="AJ56" s="232">
        <f>IFERROR(INDEX('FY25 By Venue Financials'!$P$10:$BF$274,MATCH($C56,'FY25 By Venue Financials'!$H$10:$H$274,0),MATCH(AJ$8,'FY25 By Venue Financials'!$P$4:$BF$4,0)),"N/A ")</f>
        <v>0</v>
      </c>
      <c r="AK56" s="232">
        <f>IFERROR(INDEX('FY25 By Venue Financials'!$P$10:$BF$274,MATCH($C56,'FY25 By Venue Financials'!$H$10:$H$274,0),MATCH(AK$8,'FY25 By Venue Financials'!$P$4:$BF$4,0)),"N/A ")</f>
        <v>0</v>
      </c>
      <c r="AL56" s="232">
        <f>IFERROR(INDEX('FY25 By Venue Financials'!$P$10:$BF$274,MATCH($C56,'FY25 By Venue Financials'!$H$10:$H$274,0),MATCH(AL$8,'FY25 By Venue Financials'!$P$4:$BF$4,0)),"N/A ")</f>
        <v>0</v>
      </c>
      <c r="AM56" s="232">
        <f>IFERROR(INDEX('FY25 By Venue Financials'!$P$10:$BF$274,MATCH($C56,'FY25 By Venue Financials'!$H$10:$H$274,0),MATCH(AM$8,'FY25 By Venue Financials'!$P$4:$BF$4,0)),"N/A ")</f>
        <v>0</v>
      </c>
      <c r="AN56" s="232">
        <f>IFERROR(INDEX('FY25 By Venue Financials'!$P$10:$BF$274,MATCH($C56,'FY25 By Venue Financials'!$H$10:$H$274,0),MATCH(AN$8,'FY25 By Venue Financials'!$P$4:$BF$4,0)),"N/A ")</f>
        <v>0</v>
      </c>
      <c r="AO56" s="232">
        <f>IFERROR(INDEX('FY25 By Venue Financials'!$P$10:$BF$274,MATCH($C56,'FY25 By Venue Financials'!$H$10:$H$274,0),MATCH(AO$8,'FY25 By Venue Financials'!$P$4:$BF$4,0)),"N/A ")</f>
        <v>0</v>
      </c>
      <c r="AP56" s="232">
        <f>IFERROR(INDEX('FY25 By Venue Financials'!$P$10:$BF$274,MATCH($C56,'FY25 By Venue Financials'!$H$10:$H$274,0),MATCH(AP$8,'FY25 By Venue Financials'!$P$4:$BF$4,0)),"N/A ")</f>
        <v>0</v>
      </c>
      <c r="AQ56" s="232">
        <f>IFERROR(INDEX('FY25 By Venue Financials'!$P$10:$BF$274,MATCH($C56,'FY25 By Venue Financials'!$H$10:$H$274,0),MATCH(AQ$8,'FY25 By Venue Financials'!$P$4:$BF$4,0)),"N/A ")</f>
        <v>0</v>
      </c>
      <c r="AR56" s="232">
        <f>IFERROR(INDEX('FY25 By Venue Financials'!$P$10:$BF$274,MATCH($C56,'FY25 By Venue Financials'!$H$10:$H$274,0),MATCH(AR$8,'FY25 By Venue Financials'!$P$4:$BF$4,0)),"N/A ")</f>
        <v>0</v>
      </c>
    </row>
    <row r="57" spans="3:44">
      <c r="C57" t="s">
        <v>9</v>
      </c>
      <c r="D57" s="47">
        <f t="shared" si="55"/>
        <v>3.5</v>
      </c>
      <c r="E57" s="111"/>
      <c r="F57" s="47">
        <f t="shared" si="56"/>
        <v>3.5</v>
      </c>
      <c r="G57" s="47">
        <f t="shared" si="53"/>
        <v>3.5</v>
      </c>
      <c r="H57" s="47">
        <f t="shared" si="54"/>
        <v>0</v>
      </c>
      <c r="I57" s="47">
        <f t="shared" si="54"/>
        <v>0</v>
      </c>
      <c r="J57" s="47">
        <f t="shared" si="54"/>
        <v>0</v>
      </c>
      <c r="K57" s="111"/>
      <c r="L57" s="232">
        <f>IFERROR(INDEX('FY25 By Venue Financials'!$P$10:$BF$274,MATCH($C57,'FY25 By Venue Financials'!$H$10:$H$274,0),MATCH(L$8,'FY25 By Venue Financials'!$P$4:$BF$4,0)),"N/A ")</f>
        <v>0</v>
      </c>
      <c r="M57" s="232">
        <f>IFERROR(INDEX('FY25 By Venue Financials'!$P$10:$BF$274,MATCH($C57,'FY25 By Venue Financials'!$H$10:$H$274,0),MATCH(M$8,'FY25 By Venue Financials'!$P$4:$BF$4,0)),"N/A ")</f>
        <v>0.5</v>
      </c>
      <c r="N57" s="232">
        <f>IFERROR(INDEX('FY25 By Venue Financials'!$P$10:$BF$274,MATCH($C57,'FY25 By Venue Financials'!$H$10:$H$274,0),MATCH(N$8,'FY25 By Venue Financials'!$P$4:$BF$4,0)),"N/A ")</f>
        <v>0.5</v>
      </c>
      <c r="O57" s="232">
        <f>IFERROR(INDEX('FY25 By Venue Financials'!$P$10:$BF$274,MATCH($C57,'FY25 By Venue Financials'!$H$10:$H$274,0),MATCH(O$8,'FY25 By Venue Financials'!$P$4:$BF$4,0)),"N/A ")</f>
        <v>0</v>
      </c>
      <c r="P57" s="232">
        <f>IFERROR(INDEX('FY25 By Venue Financials'!$P$10:$BF$274,MATCH($C57,'FY25 By Venue Financials'!$H$10:$H$274,0),MATCH(P$8,'FY25 By Venue Financials'!$P$4:$BF$4,0)),"N/A ")</f>
        <v>0</v>
      </c>
      <c r="Q57" s="232">
        <f>IFERROR(INDEX('FY25 By Venue Financials'!$P$10:$BF$274,MATCH($C57,'FY25 By Venue Financials'!$H$10:$H$274,0),MATCH(Q$8,'FY25 By Venue Financials'!$P$4:$BF$4,0)),"N/A ")</f>
        <v>0.5</v>
      </c>
      <c r="R57" s="232">
        <f>IFERROR(INDEX('FY25 By Venue Financials'!$P$10:$BF$274,MATCH($C57,'FY25 By Venue Financials'!$H$10:$H$274,0),MATCH(R$8,'FY25 By Venue Financials'!$P$4:$BF$4,0)),"N/A ")</f>
        <v>0</v>
      </c>
      <c r="S57" s="232">
        <f>IFERROR(INDEX('FY25 By Venue Financials'!$P$10:$BF$274,MATCH($C57,'FY25 By Venue Financials'!$H$10:$H$274,0),MATCH(S$8,'FY25 By Venue Financials'!$P$4:$BF$4,0)),"N/A ")</f>
        <v>0.5</v>
      </c>
      <c r="T57" s="232">
        <f>IFERROR(INDEX('FY25 By Venue Financials'!$P$10:$BF$274,MATCH($C57,'FY25 By Venue Financials'!$H$10:$H$274,0),MATCH(T$8,'FY25 By Venue Financials'!$P$4:$BF$4,0)),"N/A ")</f>
        <v>0.5</v>
      </c>
      <c r="U57" s="232">
        <f>IFERROR(INDEX('FY25 By Venue Financials'!$P$10:$BF$274,MATCH($C57,'FY25 By Venue Financials'!$H$10:$H$274,0),MATCH(U$8,'FY25 By Venue Financials'!$P$4:$BF$4,0)),"N/A ")</f>
        <v>0</v>
      </c>
      <c r="V57" s="232">
        <f>IFERROR(INDEX('FY25 By Venue Financials'!$P$10:$BF$274,MATCH($C57,'FY25 By Venue Financials'!$H$10:$H$274,0),MATCH(V$8,'FY25 By Venue Financials'!$P$4:$BF$4,0)),"N/A ")</f>
        <v>0</v>
      </c>
      <c r="W57" s="232">
        <f>IFERROR(INDEX('FY25 By Venue Financials'!$P$10:$BF$274,MATCH($C57,'FY25 By Venue Financials'!$H$10:$H$274,0),MATCH(W$8,'FY25 By Venue Financials'!$P$4:$BF$4,0)),"N/A ")</f>
        <v>0</v>
      </c>
      <c r="X57" s="232">
        <f>IFERROR(INDEX('FY25 By Venue Financials'!$P$10:$BF$274,MATCH($C57,'FY25 By Venue Financials'!$H$10:$H$274,0),MATCH(X$8,'FY25 By Venue Financials'!$P$4:$BF$4,0)),"N/A ")</f>
        <v>0</v>
      </c>
      <c r="Y57" s="232">
        <f>IFERROR(INDEX('FY25 By Venue Financials'!$P$10:$BF$274,MATCH($C57,'FY25 By Venue Financials'!$H$10:$H$274,0),MATCH(Y$8,'FY25 By Venue Financials'!$P$4:$BF$4,0)),"N/A ")</f>
        <v>0</v>
      </c>
      <c r="Z57" s="232">
        <f>IFERROR(INDEX('FY25 By Venue Financials'!$P$10:$BF$274,MATCH($C57,'FY25 By Venue Financials'!$H$10:$H$274,0),MATCH(Z$8,'FY25 By Venue Financials'!$P$4:$BF$4,0)),"N/A ")</f>
        <v>0.5</v>
      </c>
      <c r="AA57" s="232">
        <f>IFERROR(INDEX('FY25 By Venue Financials'!$P$10:$BF$274,MATCH($C57,'FY25 By Venue Financials'!$H$10:$H$274,0),MATCH(AA$8,'FY25 By Venue Financials'!$P$4:$BF$4,0)),"N/A ")</f>
        <v>0.5</v>
      </c>
      <c r="AB57" s="232">
        <f>IFERROR(INDEX('FY25 By Venue Financials'!$P$10:$BF$274,MATCH($C57,'FY25 By Venue Financials'!$H$10:$H$274,0),MATCH(AB$8,'FY25 By Venue Financials'!$P$4:$BF$4,0)),"N/A ")</f>
        <v>0</v>
      </c>
      <c r="AC57" s="232">
        <f>IFERROR(INDEX('FY25 By Venue Financials'!$P$10:$BF$274,MATCH($C57,'FY25 By Venue Financials'!$H$10:$H$274,0),MATCH(AC$8,'FY25 By Venue Financials'!$P$4:$BF$4,0)),"N/A ")</f>
        <v>0</v>
      </c>
      <c r="AD57" s="232" t="str">
        <f>IFERROR(INDEX('FY25 By Venue Financials'!$P$10:$BF$274,MATCH($C57,'FY25 By Venue Financials'!$H$10:$H$274,0),MATCH(AD$8,'FY25 By Venue Financials'!$P$4:$BF$4,0)),"N/A ")</f>
        <v xml:space="preserve">N/A </v>
      </c>
      <c r="AE57" s="232">
        <f>IFERROR(INDEX('FY25 By Venue Financials'!$P$10:$BF$274,MATCH($C57,'FY25 By Venue Financials'!$H$10:$H$274,0),MATCH(AE$8,'FY25 By Venue Financials'!$P$4:$BF$4,0)),"N/A ")</f>
        <v>0</v>
      </c>
      <c r="AF57" s="232">
        <f>IFERROR(INDEX('FY25 By Venue Financials'!$P$10:$BF$274,MATCH($C57,'FY25 By Venue Financials'!$H$10:$H$274,0),MATCH(AF$8,'FY25 By Venue Financials'!$P$4:$BF$4,0)),"N/A ")</f>
        <v>0</v>
      </c>
      <c r="AG57" s="232">
        <f>IFERROR(INDEX('FY25 By Venue Financials'!$P$10:$BF$274,MATCH($C57,'FY25 By Venue Financials'!$H$10:$H$274,0),MATCH(AG$8,'FY25 By Venue Financials'!$P$4:$BF$4,0)),"N/A ")</f>
        <v>0</v>
      </c>
      <c r="AH57" s="232">
        <f>IFERROR(INDEX('FY25 By Venue Financials'!$P$10:$BF$274,MATCH($C57,'FY25 By Venue Financials'!$H$10:$H$274,0),MATCH(AH$8,'FY25 By Venue Financials'!$P$4:$BF$4,0)),"N/A ")</f>
        <v>0</v>
      </c>
      <c r="AI57" s="232">
        <f>IFERROR(INDEX('FY25 By Venue Financials'!$P$10:$BF$274,MATCH($C57,'FY25 By Venue Financials'!$H$10:$H$274,0),MATCH(AI$8,'FY25 By Venue Financials'!$P$4:$BF$4,0)),"N/A ")</f>
        <v>0</v>
      </c>
      <c r="AJ57" s="232">
        <f>IFERROR(INDEX('FY25 By Venue Financials'!$P$10:$BF$274,MATCH($C57,'FY25 By Venue Financials'!$H$10:$H$274,0),MATCH(AJ$8,'FY25 By Venue Financials'!$P$4:$BF$4,0)),"N/A ")</f>
        <v>0</v>
      </c>
      <c r="AK57" s="232">
        <f>IFERROR(INDEX('FY25 By Venue Financials'!$P$10:$BF$274,MATCH($C57,'FY25 By Venue Financials'!$H$10:$H$274,0),MATCH(AK$8,'FY25 By Venue Financials'!$P$4:$BF$4,0)),"N/A ")</f>
        <v>0</v>
      </c>
      <c r="AL57" s="232">
        <f>IFERROR(INDEX('FY25 By Venue Financials'!$P$10:$BF$274,MATCH($C57,'FY25 By Venue Financials'!$H$10:$H$274,0),MATCH(AL$8,'FY25 By Venue Financials'!$P$4:$BF$4,0)),"N/A ")</f>
        <v>0</v>
      </c>
      <c r="AM57" s="232">
        <f>IFERROR(INDEX('FY25 By Venue Financials'!$P$10:$BF$274,MATCH($C57,'FY25 By Venue Financials'!$H$10:$H$274,0),MATCH(AM$8,'FY25 By Venue Financials'!$P$4:$BF$4,0)),"N/A ")</f>
        <v>0</v>
      </c>
      <c r="AN57" s="232">
        <f>IFERROR(INDEX('FY25 By Venue Financials'!$P$10:$BF$274,MATCH($C57,'FY25 By Venue Financials'!$H$10:$H$274,0),MATCH(AN$8,'FY25 By Venue Financials'!$P$4:$BF$4,0)),"N/A ")</f>
        <v>0</v>
      </c>
      <c r="AO57" s="232">
        <f>IFERROR(INDEX('FY25 By Venue Financials'!$P$10:$BF$274,MATCH($C57,'FY25 By Venue Financials'!$H$10:$H$274,0),MATCH(AO$8,'FY25 By Venue Financials'!$P$4:$BF$4,0)),"N/A ")</f>
        <v>0</v>
      </c>
      <c r="AP57" s="232">
        <f>IFERROR(INDEX('FY25 By Venue Financials'!$P$10:$BF$274,MATCH($C57,'FY25 By Venue Financials'!$H$10:$H$274,0),MATCH(AP$8,'FY25 By Venue Financials'!$P$4:$BF$4,0)),"N/A ")</f>
        <v>0</v>
      </c>
      <c r="AQ57" s="232">
        <f>IFERROR(INDEX('FY25 By Venue Financials'!$P$10:$BF$274,MATCH($C57,'FY25 By Venue Financials'!$H$10:$H$274,0),MATCH(AQ$8,'FY25 By Venue Financials'!$P$4:$BF$4,0)),"N/A ")</f>
        <v>0</v>
      </c>
      <c r="AR57" s="232">
        <f>IFERROR(INDEX('FY25 By Venue Financials'!$P$10:$BF$274,MATCH($C57,'FY25 By Venue Financials'!$H$10:$H$274,0),MATCH(AR$8,'FY25 By Venue Financials'!$P$4:$BF$4,0)),"N/A ")</f>
        <v>0</v>
      </c>
    </row>
    <row r="58" spans="3:44">
      <c r="C58" t="s">
        <v>10</v>
      </c>
      <c r="D58" s="47">
        <f t="shared" si="55"/>
        <v>259.57054000000011</v>
      </c>
      <c r="E58" s="111"/>
      <c r="F58" s="47">
        <f t="shared" si="56"/>
        <v>174.20966000000001</v>
      </c>
      <c r="G58" s="47">
        <f t="shared" si="53"/>
        <v>150.81842000000003</v>
      </c>
      <c r="H58" s="47">
        <f t="shared" si="54"/>
        <v>93.960549999999998</v>
      </c>
      <c r="I58" s="47">
        <f t="shared" si="54"/>
        <v>33.416329999999988</v>
      </c>
      <c r="J58" s="47">
        <f t="shared" si="54"/>
        <v>-42.015999999999998</v>
      </c>
      <c r="K58" s="111"/>
      <c r="L58" s="232">
        <f>IFERROR(INDEX('FY25 By Venue Financials'!$P$10:$BF$274,MATCH($C58,'FY25 By Venue Financials'!$H$10:$H$274,0),MATCH(L$8,'FY25 By Venue Financials'!$P$4:$BF$4,0)),"N/A ")</f>
        <v>9.2349999999999994</v>
      </c>
      <c r="M58" s="232">
        <f>IFERROR(INDEX('FY25 By Venue Financials'!$P$10:$BF$274,MATCH($C58,'FY25 By Venue Financials'!$H$10:$H$274,0),MATCH(M$8,'FY25 By Venue Financials'!$P$4:$BF$4,0)),"N/A ")</f>
        <v>3.9035000000000002</v>
      </c>
      <c r="N58" s="232">
        <f>IFERROR(INDEX('FY25 By Venue Financials'!$P$10:$BF$274,MATCH($C58,'FY25 By Venue Financials'!$H$10:$H$274,0),MATCH(N$8,'FY25 By Venue Financials'!$P$4:$BF$4,0)),"N/A ")</f>
        <v>18.408999999999999</v>
      </c>
      <c r="O58" s="232">
        <f>IFERROR(INDEX('FY25 By Venue Financials'!$P$10:$BF$274,MATCH($C58,'FY25 By Venue Financials'!$H$10:$H$274,0),MATCH(O$8,'FY25 By Venue Financials'!$P$4:$BF$4,0)),"N/A ")</f>
        <v>33.135309999999997</v>
      </c>
      <c r="P58" s="232">
        <f>IFERROR(INDEX('FY25 By Venue Financials'!$P$10:$BF$274,MATCH($C58,'FY25 By Venue Financials'!$H$10:$H$274,0),MATCH(P$8,'FY25 By Venue Financials'!$P$4:$BF$4,0)),"N/A ")</f>
        <v>8.6255000000000006</v>
      </c>
      <c r="Q58" s="232">
        <f>IFERROR(INDEX('FY25 By Venue Financials'!$P$10:$BF$274,MATCH($C58,'FY25 By Venue Financials'!$H$10:$H$274,0),MATCH(Q$8,'FY25 By Venue Financials'!$P$4:$BF$4,0)),"N/A ")</f>
        <v>12.012600000000001</v>
      </c>
      <c r="R58" s="232">
        <f>IFERROR(INDEX('FY25 By Venue Financials'!$P$10:$BF$274,MATCH($C58,'FY25 By Venue Financials'!$H$10:$H$274,0),MATCH(R$8,'FY25 By Venue Financials'!$P$4:$BF$4,0)),"N/A ")</f>
        <v>6.6855000000000002</v>
      </c>
      <c r="S58" s="232">
        <f>IFERROR(INDEX('FY25 By Venue Financials'!$P$10:$BF$274,MATCH($C58,'FY25 By Venue Financials'!$H$10:$H$274,0),MATCH(S$8,'FY25 By Venue Financials'!$P$4:$BF$4,0)),"N/A ")</f>
        <v>16.012499999999999</v>
      </c>
      <c r="T58" s="232">
        <f>IFERROR(INDEX('FY25 By Venue Financials'!$P$10:$BF$274,MATCH($C58,'FY25 By Venue Financials'!$H$10:$H$274,0),MATCH(T$8,'FY25 By Venue Financials'!$P$4:$BF$4,0)),"N/A ")</f>
        <v>16.523</v>
      </c>
      <c r="U58" s="232">
        <f>IFERROR(INDEX('FY25 By Venue Financials'!$P$10:$BF$274,MATCH($C58,'FY25 By Venue Financials'!$H$10:$H$274,0),MATCH(U$8,'FY25 By Venue Financials'!$P$4:$BF$4,0)),"N/A ")</f>
        <v>3.0482399999999998</v>
      </c>
      <c r="V58" s="232">
        <f>IFERROR(INDEX('FY25 By Venue Financials'!$P$10:$BF$274,MATCH($C58,'FY25 By Venue Financials'!$H$10:$H$274,0),MATCH(V$8,'FY25 By Venue Financials'!$P$4:$BF$4,0)),"N/A ")</f>
        <v>20.343</v>
      </c>
      <c r="W58" s="232">
        <f>IFERROR(INDEX('FY25 By Venue Financials'!$P$10:$BF$274,MATCH($C58,'FY25 By Venue Financials'!$H$10:$H$274,0),MATCH(W$8,'FY25 By Venue Financials'!$P$4:$BF$4,0)),"N/A ")</f>
        <v>8.8800000000000008</v>
      </c>
      <c r="X58" s="232">
        <f>IFERROR(INDEX('FY25 By Venue Financials'!$P$10:$BF$274,MATCH($C58,'FY25 By Venue Financials'!$H$10:$H$274,0),MATCH(X$8,'FY25 By Venue Financials'!$P$4:$BF$4,0)),"N/A ")</f>
        <v>16.386500000000002</v>
      </c>
      <c r="Y58" s="232">
        <f>IFERROR(INDEX('FY25 By Venue Financials'!$P$10:$BF$274,MATCH($C58,'FY25 By Venue Financials'!$H$10:$H$274,0),MATCH(Y$8,'FY25 By Venue Financials'!$P$4:$BF$4,0)),"N/A ")</f>
        <v>7.6234999999999999</v>
      </c>
      <c r="Z58" s="232">
        <f>IFERROR(INDEX('FY25 By Venue Financials'!$P$10:$BF$274,MATCH($C58,'FY25 By Venue Financials'!$H$10:$H$274,0),MATCH(Z$8,'FY25 By Venue Financials'!$P$4:$BF$4,0)),"N/A ")</f>
        <v>-14.492000000000001</v>
      </c>
      <c r="AA58" s="232">
        <f>IFERROR(INDEX('FY25 By Venue Financials'!$P$10:$BF$274,MATCH($C58,'FY25 By Venue Financials'!$H$10:$H$274,0),MATCH(AA$8,'FY25 By Venue Financials'!$P$4:$BF$4,0)),"N/A ")</f>
        <v>14.0535</v>
      </c>
      <c r="AB58" s="232">
        <f>IFERROR(INDEX('FY25 By Venue Financials'!$P$10:$BF$274,MATCH($C58,'FY25 By Venue Financials'!$H$10:$H$274,0),MATCH(AB$8,'FY25 By Venue Financials'!$P$4:$BF$4,0)),"N/A ")</f>
        <v>6.6650100000000005</v>
      </c>
      <c r="AC58" s="232">
        <f>IFERROR(INDEX('FY25 By Venue Financials'!$P$10:$BF$274,MATCH($C58,'FY25 By Venue Financials'!$H$10:$H$274,0),MATCH(AC$8,'FY25 By Venue Financials'!$P$4:$BF$4,0)),"N/A ")</f>
        <v>22.036550000000002</v>
      </c>
      <c r="AD58" s="232" t="str">
        <f>IFERROR(INDEX('FY25 By Venue Financials'!$P$10:$BF$274,MATCH($C58,'FY25 By Venue Financials'!$H$10:$H$274,0),MATCH(AD$8,'FY25 By Venue Financials'!$P$4:$BF$4,0)),"N/A ")</f>
        <v xml:space="preserve">N/A </v>
      </c>
      <c r="AE58" s="232">
        <f>IFERROR(INDEX('FY25 By Venue Financials'!$P$10:$BF$274,MATCH($C58,'FY25 By Venue Financials'!$H$10:$H$274,0),MATCH(AE$8,'FY25 By Venue Financials'!$P$4:$BF$4,0)),"N/A ")</f>
        <v>0</v>
      </c>
      <c r="AF58" s="232">
        <f>IFERROR(INDEX('FY25 By Venue Financials'!$P$10:$BF$274,MATCH($C58,'FY25 By Venue Financials'!$H$10:$H$274,0),MATCH(AF$8,'FY25 By Venue Financials'!$P$4:$BF$4,0)),"N/A ")</f>
        <v>9.5909999999999993</v>
      </c>
      <c r="AG58" s="232">
        <f>IFERROR(INDEX('FY25 By Venue Financials'!$P$10:$BF$274,MATCH($C58,'FY25 By Venue Financials'!$H$10:$H$274,0),MATCH(AG$8,'FY25 By Venue Financials'!$P$4:$BF$4,0)),"N/A ")</f>
        <v>31.768000000000001</v>
      </c>
      <c r="AH58" s="232">
        <f>IFERROR(INDEX('FY25 By Venue Financials'!$P$10:$BF$274,MATCH($C58,'FY25 By Venue Financials'!$H$10:$H$274,0),MATCH(AH$8,'FY25 By Venue Financials'!$P$4:$BF$4,0)),"N/A ")</f>
        <v>6.1310000000000002</v>
      </c>
      <c r="AI58" s="232">
        <f>IFERROR(INDEX('FY25 By Venue Financials'!$P$10:$BF$274,MATCH($C58,'FY25 By Venue Financials'!$H$10:$H$274,0),MATCH(AI$8,'FY25 By Venue Financials'!$P$4:$BF$4,0)),"N/A ")</f>
        <v>24.434000000000001</v>
      </c>
      <c r="AJ58" s="232">
        <f>IFERROR(INDEX('FY25 By Venue Financials'!$P$10:$BF$274,MATCH($C58,'FY25 By Venue Financials'!$H$10:$H$274,0),MATCH(AJ$8,'FY25 By Venue Financials'!$P$4:$BF$4,0)),"N/A ")</f>
        <v>9.4369800000000001</v>
      </c>
      <c r="AK58" s="232">
        <f>IFERROR(INDEX('FY25 By Venue Financials'!$P$10:$BF$274,MATCH($C58,'FY25 By Venue Financials'!$H$10:$H$274,0),MATCH(AK$8,'FY25 By Venue Financials'!$P$4:$BF$4,0)),"N/A ")</f>
        <v>11.29499</v>
      </c>
      <c r="AL58" s="232">
        <f>IFERROR(INDEX('FY25 By Venue Financials'!$P$10:$BF$274,MATCH($C58,'FY25 By Venue Financials'!$H$10:$H$274,0),MATCH(AL$8,'FY25 By Venue Financials'!$P$4:$BF$4,0)),"N/A ")</f>
        <v>15.653499999999999</v>
      </c>
      <c r="AM58" s="232">
        <f>IFERROR(INDEX('FY25 By Venue Financials'!$P$10:$BF$274,MATCH($C58,'FY25 By Venue Financials'!$H$10:$H$274,0),MATCH(AM$8,'FY25 By Venue Financials'!$P$4:$BF$4,0)),"N/A ")</f>
        <v>0.3499899999999998</v>
      </c>
      <c r="AN58" s="232">
        <f>IFERROR(INDEX('FY25 By Venue Financials'!$P$10:$BF$274,MATCH($C58,'FY25 By Venue Financials'!$H$10:$H$274,0),MATCH(AN$8,'FY25 By Venue Financials'!$P$4:$BF$4,0)),"N/A ")</f>
        <v>11.337</v>
      </c>
      <c r="AO58" s="232">
        <f>IFERROR(INDEX('FY25 By Venue Financials'!$P$10:$BF$274,MATCH($C58,'FY25 By Venue Financials'!$H$10:$H$274,0),MATCH(AO$8,'FY25 By Venue Financials'!$P$4:$BF$4,0)),"N/A ")</f>
        <v>-12.51613</v>
      </c>
      <c r="AP58" s="232">
        <f>IFERROR(INDEX('FY25 By Venue Financials'!$P$10:$BF$274,MATCH($C58,'FY25 By Venue Financials'!$H$10:$H$274,0),MATCH(AP$8,'FY25 By Venue Financials'!$P$4:$BF$4,0)),"N/A ")</f>
        <v>-2.14</v>
      </c>
      <c r="AQ58" s="232">
        <f>IFERROR(INDEX('FY25 By Venue Financials'!$P$10:$BF$274,MATCH($C58,'FY25 By Venue Financials'!$H$10:$H$274,0),MATCH(AQ$8,'FY25 By Venue Financials'!$P$4:$BF$4,0)),"N/A ")</f>
        <v>-42.015999999999998</v>
      </c>
      <c r="AR58" s="232">
        <f>IFERROR(INDEX('FY25 By Venue Financials'!$P$10:$BF$274,MATCH($C58,'FY25 By Venue Financials'!$H$10:$H$274,0),MATCH(AR$8,'FY25 By Venue Financials'!$P$4:$BF$4,0)),"N/A ")</f>
        <v>-12.84</v>
      </c>
    </row>
    <row r="59" spans="3:44">
      <c r="C59" t="s">
        <v>11</v>
      </c>
      <c r="D59" s="47">
        <f t="shared" si="55"/>
        <v>69</v>
      </c>
      <c r="E59" s="111"/>
      <c r="F59" s="47">
        <f t="shared" si="56"/>
        <v>39</v>
      </c>
      <c r="G59" s="47">
        <f t="shared" si="53"/>
        <v>33.5</v>
      </c>
      <c r="H59" s="47">
        <f t="shared" si="54"/>
        <v>12.25</v>
      </c>
      <c r="I59" s="47">
        <f t="shared" si="54"/>
        <v>12.75</v>
      </c>
      <c r="J59" s="47">
        <f t="shared" si="54"/>
        <v>5</v>
      </c>
      <c r="K59" s="111"/>
      <c r="L59" s="232">
        <f>IFERROR(INDEX('FY25 By Venue Financials'!$P$10:$BF$274,MATCH($C59,'FY25 By Venue Financials'!$H$10:$H$274,0),MATCH(L$8,'FY25 By Venue Financials'!$P$4:$BF$4,0)),"N/A ")</f>
        <v>0.75</v>
      </c>
      <c r="M59" s="232">
        <f>IFERROR(INDEX('FY25 By Venue Financials'!$P$10:$BF$274,MATCH($C59,'FY25 By Venue Financials'!$H$10:$H$274,0),MATCH(M$8,'FY25 By Venue Financials'!$P$4:$BF$4,0)),"N/A ")</f>
        <v>1.5</v>
      </c>
      <c r="N59" s="232">
        <f>IFERROR(INDEX('FY25 By Venue Financials'!$P$10:$BF$274,MATCH($C59,'FY25 By Venue Financials'!$H$10:$H$274,0),MATCH(N$8,'FY25 By Venue Financials'!$P$4:$BF$4,0)),"N/A ")</f>
        <v>3.25</v>
      </c>
      <c r="O59" s="232">
        <f>IFERROR(INDEX('FY25 By Venue Financials'!$P$10:$BF$274,MATCH($C59,'FY25 By Venue Financials'!$H$10:$H$274,0),MATCH(O$8,'FY25 By Venue Financials'!$P$4:$BF$4,0)),"N/A ")</f>
        <v>6.5</v>
      </c>
      <c r="P59" s="232">
        <f>IFERROR(INDEX('FY25 By Venue Financials'!$P$10:$BF$274,MATCH($C59,'FY25 By Venue Financials'!$H$10:$H$274,0),MATCH(P$8,'FY25 By Venue Financials'!$P$4:$BF$4,0)),"N/A ")</f>
        <v>0.75</v>
      </c>
      <c r="Q59" s="232">
        <f>IFERROR(INDEX('FY25 By Venue Financials'!$P$10:$BF$274,MATCH($C59,'FY25 By Venue Financials'!$H$10:$H$274,0),MATCH(Q$8,'FY25 By Venue Financials'!$P$4:$BF$4,0)),"N/A ")</f>
        <v>4.5</v>
      </c>
      <c r="R59" s="232">
        <f>IFERROR(INDEX('FY25 By Venue Financials'!$P$10:$BF$274,MATCH($C59,'FY25 By Venue Financials'!$H$10:$H$274,0),MATCH(R$8,'FY25 By Venue Financials'!$P$4:$BF$4,0)),"N/A ")</f>
        <v>1</v>
      </c>
      <c r="S59" s="232">
        <f>IFERROR(INDEX('FY25 By Venue Financials'!$P$10:$BF$274,MATCH($C59,'FY25 By Venue Financials'!$H$10:$H$274,0),MATCH(S$8,'FY25 By Venue Financials'!$P$4:$BF$4,0)),"N/A ")</f>
        <v>2.25</v>
      </c>
      <c r="T59" s="232">
        <f>IFERROR(INDEX('FY25 By Venue Financials'!$P$10:$BF$274,MATCH($C59,'FY25 By Venue Financials'!$H$10:$H$274,0),MATCH(T$8,'FY25 By Venue Financials'!$P$4:$BF$4,0)),"N/A ")</f>
        <v>2</v>
      </c>
      <c r="U59" s="232">
        <f>IFERROR(INDEX('FY25 By Venue Financials'!$P$10:$BF$274,MATCH($C59,'FY25 By Venue Financials'!$H$10:$H$274,0),MATCH(U$8,'FY25 By Venue Financials'!$P$4:$BF$4,0)),"N/A ")</f>
        <v>5</v>
      </c>
      <c r="V59" s="232">
        <f>IFERROR(INDEX('FY25 By Venue Financials'!$P$10:$BF$274,MATCH($C59,'FY25 By Venue Financials'!$H$10:$H$274,0),MATCH(V$8,'FY25 By Venue Financials'!$P$4:$BF$4,0)),"N/A ")</f>
        <v>0.5</v>
      </c>
      <c r="W59" s="232">
        <f>IFERROR(INDEX('FY25 By Venue Financials'!$P$10:$BF$274,MATCH($C59,'FY25 By Venue Financials'!$H$10:$H$274,0),MATCH(W$8,'FY25 By Venue Financials'!$P$4:$BF$4,0)),"N/A ")</f>
        <v>0.75</v>
      </c>
      <c r="X59" s="232">
        <f>IFERROR(INDEX('FY25 By Venue Financials'!$P$10:$BF$274,MATCH($C59,'FY25 By Venue Financials'!$H$10:$H$274,0),MATCH(X$8,'FY25 By Venue Financials'!$P$4:$BF$4,0)),"N/A ")</f>
        <v>0.75</v>
      </c>
      <c r="Y59" s="232">
        <f>IFERROR(INDEX('FY25 By Venue Financials'!$P$10:$BF$274,MATCH($C59,'FY25 By Venue Financials'!$H$10:$H$274,0),MATCH(Y$8,'FY25 By Venue Financials'!$P$4:$BF$4,0)),"N/A ")</f>
        <v>1</v>
      </c>
      <c r="Z59" s="232">
        <f>IFERROR(INDEX('FY25 By Venue Financials'!$P$10:$BF$274,MATCH($C59,'FY25 By Venue Financials'!$H$10:$H$274,0),MATCH(Z$8,'FY25 By Venue Financials'!$P$4:$BF$4,0)),"N/A ")</f>
        <v>6.75</v>
      </c>
      <c r="AA59" s="232">
        <f>IFERROR(INDEX('FY25 By Venue Financials'!$P$10:$BF$274,MATCH($C59,'FY25 By Venue Financials'!$H$10:$H$274,0),MATCH(AA$8,'FY25 By Venue Financials'!$P$4:$BF$4,0)),"N/A ")</f>
        <v>0.75</v>
      </c>
      <c r="AB59" s="232">
        <f>IFERROR(INDEX('FY25 By Venue Financials'!$P$10:$BF$274,MATCH($C59,'FY25 By Venue Financials'!$H$10:$H$274,0),MATCH(AB$8,'FY25 By Venue Financials'!$P$4:$BF$4,0)),"N/A ")</f>
        <v>1</v>
      </c>
      <c r="AC59" s="232">
        <f>IFERROR(INDEX('FY25 By Venue Financials'!$P$10:$BF$274,MATCH($C59,'FY25 By Venue Financials'!$H$10:$H$274,0),MATCH(AC$8,'FY25 By Venue Financials'!$P$4:$BF$4,0)),"N/A ")</f>
        <v>4.5</v>
      </c>
      <c r="AD59" s="232" t="str">
        <f>IFERROR(INDEX('FY25 By Venue Financials'!$P$10:$BF$274,MATCH($C59,'FY25 By Venue Financials'!$H$10:$H$274,0),MATCH(AD$8,'FY25 By Venue Financials'!$P$4:$BF$4,0)),"N/A ")</f>
        <v xml:space="preserve">N/A </v>
      </c>
      <c r="AE59" s="232">
        <f>IFERROR(INDEX('FY25 By Venue Financials'!$P$10:$BF$274,MATCH($C59,'FY25 By Venue Financials'!$H$10:$H$274,0),MATCH(AE$8,'FY25 By Venue Financials'!$P$4:$BF$4,0)),"N/A ")</f>
        <v>0</v>
      </c>
      <c r="AF59" s="232">
        <f>IFERROR(INDEX('FY25 By Venue Financials'!$P$10:$BF$274,MATCH($C59,'FY25 By Venue Financials'!$H$10:$H$274,0),MATCH(AF$8,'FY25 By Venue Financials'!$P$4:$BF$4,0)),"N/A ")</f>
        <v>1.75</v>
      </c>
      <c r="AG59" s="232">
        <f>IFERROR(INDEX('FY25 By Venue Financials'!$P$10:$BF$274,MATCH($C59,'FY25 By Venue Financials'!$H$10:$H$274,0),MATCH(AG$8,'FY25 By Venue Financials'!$P$4:$BF$4,0)),"N/A ")</f>
        <v>2.25</v>
      </c>
      <c r="AH59" s="232">
        <f>IFERROR(INDEX('FY25 By Venue Financials'!$P$10:$BF$274,MATCH($C59,'FY25 By Venue Financials'!$H$10:$H$274,0),MATCH(AH$8,'FY25 By Venue Financials'!$P$4:$BF$4,0)),"N/A ")</f>
        <v>2.25</v>
      </c>
      <c r="AI59" s="232">
        <f>IFERROR(INDEX('FY25 By Venue Financials'!$P$10:$BF$274,MATCH($C59,'FY25 By Venue Financials'!$H$10:$H$274,0),MATCH(AI$8,'FY25 By Venue Financials'!$P$4:$BF$4,0)),"N/A ")</f>
        <v>1.5</v>
      </c>
      <c r="AJ59" s="232">
        <f>IFERROR(INDEX('FY25 By Venue Financials'!$P$10:$BF$274,MATCH($C59,'FY25 By Venue Financials'!$H$10:$H$274,0),MATCH(AJ$8,'FY25 By Venue Financials'!$P$4:$BF$4,0)),"N/A ")</f>
        <v>3</v>
      </c>
      <c r="AK59" s="232">
        <f>IFERROR(INDEX('FY25 By Venue Financials'!$P$10:$BF$274,MATCH($C59,'FY25 By Venue Financials'!$H$10:$H$274,0),MATCH(AK$8,'FY25 By Venue Financials'!$P$4:$BF$4,0)),"N/A ")</f>
        <v>1.5</v>
      </c>
      <c r="AL59" s="232">
        <f>IFERROR(INDEX('FY25 By Venue Financials'!$P$10:$BF$274,MATCH($C59,'FY25 By Venue Financials'!$H$10:$H$274,0),MATCH(AL$8,'FY25 By Venue Financials'!$P$4:$BF$4,0)),"N/A ")</f>
        <v>1</v>
      </c>
      <c r="AM59" s="232">
        <f>IFERROR(INDEX('FY25 By Venue Financials'!$P$10:$BF$274,MATCH($C59,'FY25 By Venue Financials'!$H$10:$H$274,0),MATCH(AM$8,'FY25 By Venue Financials'!$P$4:$BF$4,0)),"N/A ")</f>
        <v>1.25</v>
      </c>
      <c r="AN59" s="232">
        <f>IFERROR(INDEX('FY25 By Venue Financials'!$P$10:$BF$274,MATCH($C59,'FY25 By Venue Financials'!$H$10:$H$274,0),MATCH(AN$8,'FY25 By Venue Financials'!$P$4:$BF$4,0)),"N/A ")</f>
        <v>2</v>
      </c>
      <c r="AO59" s="232">
        <f>IFERROR(INDEX('FY25 By Venue Financials'!$P$10:$BF$274,MATCH($C59,'FY25 By Venue Financials'!$H$10:$H$274,0),MATCH(AO$8,'FY25 By Venue Financials'!$P$4:$BF$4,0)),"N/A ")</f>
        <v>3.5</v>
      </c>
      <c r="AP59" s="232">
        <f>IFERROR(INDEX('FY25 By Venue Financials'!$P$10:$BF$274,MATCH($C59,'FY25 By Venue Financials'!$H$10:$H$274,0),MATCH(AP$8,'FY25 By Venue Financials'!$P$4:$BF$4,0)),"N/A ")</f>
        <v>0.5</v>
      </c>
      <c r="AQ59" s="232">
        <f>IFERROR(INDEX('FY25 By Venue Financials'!$P$10:$BF$274,MATCH($C59,'FY25 By Venue Financials'!$H$10:$H$274,0),MATCH(AQ$8,'FY25 By Venue Financials'!$P$4:$BF$4,0)),"N/A ")</f>
        <v>5</v>
      </c>
      <c r="AR59" s="232">
        <f>IFERROR(INDEX('FY25 By Venue Financials'!$P$10:$BF$274,MATCH($C59,'FY25 By Venue Financials'!$H$10:$H$274,0),MATCH(AR$8,'FY25 By Venue Financials'!$P$4:$BF$4,0)),"N/A ")</f>
        <v>0</v>
      </c>
    </row>
    <row r="60" spans="3:44">
      <c r="C60" t="s">
        <v>12</v>
      </c>
      <c r="D60" s="47">
        <f t="shared" si="55"/>
        <v>17818.092090000002</v>
      </c>
      <c r="E60" s="111"/>
      <c r="F60" s="47">
        <f t="shared" si="56"/>
        <v>9747.4759100000028</v>
      </c>
      <c r="G60" s="47">
        <f t="shared" si="53"/>
        <v>7222.2388600000031</v>
      </c>
      <c r="H60" s="47">
        <f t="shared" si="54"/>
        <v>2221.5228900000002</v>
      </c>
      <c r="I60" s="47">
        <f t="shared" si="54"/>
        <v>4331.3454800000009</v>
      </c>
      <c r="J60" s="47">
        <f t="shared" si="54"/>
        <v>1517.7478099999998</v>
      </c>
      <c r="K60" s="111"/>
      <c r="L60" s="232">
        <f>IFERROR(INDEX('FY25 By Venue Financials'!$P$10:$BF$274,MATCH($C60,'FY25 By Venue Financials'!$H$10:$H$274,0),MATCH(L$8,'FY25 By Venue Financials'!$P$4:$BF$4,0)),"N/A ")</f>
        <v>243.13821000000002</v>
      </c>
      <c r="M60" s="232">
        <f>IFERROR(INDEX('FY25 By Venue Financials'!$P$10:$BF$274,MATCH($C60,'FY25 By Venue Financials'!$H$10:$H$274,0),MATCH(M$8,'FY25 By Venue Financials'!$P$4:$BF$4,0)),"N/A ")</f>
        <v>365.71449999999993</v>
      </c>
      <c r="N60" s="232">
        <f>IFERROR(INDEX('FY25 By Venue Financials'!$P$10:$BF$274,MATCH($C60,'FY25 By Venue Financials'!$H$10:$H$274,0),MATCH(N$8,'FY25 By Venue Financials'!$P$4:$BF$4,0)),"N/A ")</f>
        <v>530.53503000000001</v>
      </c>
      <c r="O60" s="232">
        <f>IFERROR(INDEX('FY25 By Venue Financials'!$P$10:$BF$274,MATCH($C60,'FY25 By Venue Financials'!$H$10:$H$274,0),MATCH(O$8,'FY25 By Venue Financials'!$P$4:$BF$4,0)),"N/A ")</f>
        <v>713.44163000000015</v>
      </c>
      <c r="P60" s="232">
        <f>IFERROR(INDEX('FY25 By Venue Financials'!$P$10:$BF$274,MATCH($C60,'FY25 By Venue Financials'!$H$10:$H$274,0),MATCH(P$8,'FY25 By Venue Financials'!$P$4:$BF$4,0)),"N/A ")</f>
        <v>203.31074999999996</v>
      </c>
      <c r="Q60" s="232">
        <f>IFERROR(INDEX('FY25 By Venue Financials'!$P$10:$BF$274,MATCH($C60,'FY25 By Venue Financials'!$H$10:$H$274,0),MATCH(Q$8,'FY25 By Venue Financials'!$P$4:$BF$4,0)),"N/A ")</f>
        <v>975.25599</v>
      </c>
      <c r="R60" s="232">
        <f>IFERROR(INDEX('FY25 By Venue Financials'!$P$10:$BF$274,MATCH($C60,'FY25 By Venue Financials'!$H$10:$H$274,0),MATCH(R$8,'FY25 By Venue Financials'!$P$4:$BF$4,0)),"N/A ")</f>
        <v>262.43675000000002</v>
      </c>
      <c r="S60" s="232">
        <f>IFERROR(INDEX('FY25 By Venue Financials'!$P$10:$BF$274,MATCH($C60,'FY25 By Venue Financials'!$H$10:$H$274,0),MATCH(S$8,'FY25 By Venue Financials'!$P$4:$BF$4,0)),"N/A ")</f>
        <v>664.2794100000001</v>
      </c>
      <c r="T60" s="232">
        <f>IFERROR(INDEX('FY25 By Venue Financials'!$P$10:$BF$274,MATCH($C60,'FY25 By Venue Financials'!$H$10:$H$274,0),MATCH(T$8,'FY25 By Venue Financials'!$P$4:$BF$4,0)),"N/A ")</f>
        <v>693.17335000000003</v>
      </c>
      <c r="U60" s="232">
        <f>IFERROR(INDEX('FY25 By Venue Financials'!$P$10:$BF$274,MATCH($C60,'FY25 By Venue Financials'!$H$10:$H$274,0),MATCH(U$8,'FY25 By Venue Financials'!$P$4:$BF$4,0)),"N/A ")</f>
        <v>2314.0226299999999</v>
      </c>
      <c r="V60" s="232">
        <f>IFERROR(INDEX('FY25 By Venue Financials'!$P$10:$BF$274,MATCH($C60,'FY25 By Venue Financials'!$H$10:$H$274,0),MATCH(V$8,'FY25 By Venue Financials'!$P$4:$BF$4,0)),"N/A ")</f>
        <v>211.21442000000002</v>
      </c>
      <c r="W60" s="232">
        <f>IFERROR(INDEX('FY25 By Venue Financials'!$P$10:$BF$274,MATCH($C60,'FY25 By Venue Financials'!$H$10:$H$274,0),MATCH(W$8,'FY25 By Venue Financials'!$P$4:$BF$4,0)),"N/A ")</f>
        <v>202.60583</v>
      </c>
      <c r="X60" s="232">
        <f>IFERROR(INDEX('FY25 By Venue Financials'!$P$10:$BF$274,MATCH($C60,'FY25 By Venue Financials'!$H$10:$H$274,0),MATCH(X$8,'FY25 By Venue Financials'!$P$4:$BF$4,0)),"N/A ")</f>
        <v>545.05399999999997</v>
      </c>
      <c r="Y60" s="232">
        <f>IFERROR(INDEX('FY25 By Venue Financials'!$P$10:$BF$274,MATCH($C60,'FY25 By Venue Financials'!$H$10:$H$274,0),MATCH(Y$8,'FY25 By Venue Financials'!$P$4:$BF$4,0)),"N/A ")</f>
        <v>364.02024999999998</v>
      </c>
      <c r="Z60" s="232">
        <f>IFERROR(INDEX('FY25 By Venue Financials'!$P$10:$BF$274,MATCH($C60,'FY25 By Venue Financials'!$H$10:$H$274,0),MATCH(Z$8,'FY25 By Venue Financials'!$P$4:$BF$4,0)),"N/A ")</f>
        <v>1024.9835800000001</v>
      </c>
      <c r="AA60" s="232">
        <f>IFERROR(INDEX('FY25 By Venue Financials'!$P$10:$BF$274,MATCH($C60,'FY25 By Venue Financials'!$H$10:$H$274,0),MATCH(AA$8,'FY25 By Venue Financials'!$P$4:$BF$4,0)),"N/A ")</f>
        <v>246.07124999999996</v>
      </c>
      <c r="AB60" s="232">
        <f>IFERROR(INDEX('FY25 By Venue Financials'!$P$10:$BF$274,MATCH($C60,'FY25 By Venue Financials'!$H$10:$H$274,0),MATCH(AB$8,'FY25 By Venue Financials'!$P$4:$BF$4,0)),"N/A ")</f>
        <v>181.58501000000001</v>
      </c>
      <c r="AC60" s="232">
        <f>IFERROR(INDEX('FY25 By Venue Financials'!$P$10:$BF$274,MATCH($C60,'FY25 By Venue Financials'!$H$10:$H$274,0),MATCH(AC$8,'FY25 By Venue Financials'!$P$4:$BF$4,0)),"N/A ")</f>
        <v>837.8187700000002</v>
      </c>
      <c r="AD60" s="232" t="str">
        <f>IFERROR(INDEX('FY25 By Venue Financials'!$P$10:$BF$274,MATCH($C60,'FY25 By Venue Financials'!$H$10:$H$274,0),MATCH(AD$8,'FY25 By Venue Financials'!$P$4:$BF$4,0)),"N/A ")</f>
        <v xml:space="preserve">N/A </v>
      </c>
      <c r="AE60" s="232">
        <f>IFERROR(INDEX('FY25 By Venue Financials'!$P$10:$BF$274,MATCH($C60,'FY25 By Venue Financials'!$H$10:$H$274,0),MATCH(AE$8,'FY25 By Venue Financials'!$P$4:$BF$4,0)),"N/A ")</f>
        <v>0</v>
      </c>
      <c r="AF60" s="232">
        <f>IFERROR(INDEX('FY25 By Venue Financials'!$P$10:$BF$274,MATCH($C60,'FY25 By Venue Financials'!$H$10:$H$274,0),MATCH(AF$8,'FY25 By Venue Financials'!$P$4:$BF$4,0)),"N/A ")</f>
        <v>244.83509000000001</v>
      </c>
      <c r="AG60" s="232">
        <f>IFERROR(INDEX('FY25 By Venue Financials'!$P$10:$BF$274,MATCH($C60,'FY25 By Venue Financials'!$H$10:$H$274,0),MATCH(AG$8,'FY25 By Venue Financials'!$P$4:$BF$4,0)),"N/A ")</f>
        <v>476.82202000000007</v>
      </c>
      <c r="AH60" s="232">
        <f>IFERROR(INDEX('FY25 By Venue Financials'!$P$10:$BF$274,MATCH($C60,'FY25 By Venue Financials'!$H$10:$H$274,0),MATCH(AH$8,'FY25 By Venue Financials'!$P$4:$BF$4,0)),"N/A ")</f>
        <v>486.33975999999996</v>
      </c>
      <c r="AI60" s="232">
        <f>IFERROR(INDEX('FY25 By Venue Financials'!$P$10:$BF$274,MATCH($C60,'FY25 By Venue Financials'!$H$10:$H$274,0),MATCH(AI$8,'FY25 By Venue Financials'!$P$4:$BF$4,0)),"N/A ")</f>
        <v>175.70725000000002</v>
      </c>
      <c r="AJ60" s="232">
        <f>IFERROR(INDEX('FY25 By Venue Financials'!$P$10:$BF$274,MATCH($C60,'FY25 By Venue Financials'!$H$10:$H$274,0),MATCH(AJ$8,'FY25 By Venue Financials'!$P$4:$BF$4,0)),"N/A ")</f>
        <v>668.20325000000003</v>
      </c>
      <c r="AK60" s="232">
        <f>IFERROR(INDEX('FY25 By Venue Financials'!$P$10:$BF$274,MATCH($C60,'FY25 By Venue Financials'!$H$10:$H$274,0),MATCH(AK$8,'FY25 By Venue Financials'!$P$4:$BF$4,0)),"N/A ")</f>
        <v>432.27665999999994</v>
      </c>
      <c r="AL60" s="232">
        <f>IFERROR(INDEX('FY25 By Venue Financials'!$P$10:$BF$274,MATCH($C60,'FY25 By Venue Financials'!$H$10:$H$274,0),MATCH(AL$8,'FY25 By Venue Financials'!$P$4:$BF$4,0)),"N/A ")</f>
        <v>355.58412000000004</v>
      </c>
      <c r="AM60" s="232">
        <f>IFERROR(INDEX('FY25 By Venue Financials'!$P$10:$BF$274,MATCH($C60,'FY25 By Venue Financials'!$H$10:$H$274,0),MATCH(AM$8,'FY25 By Venue Financials'!$P$4:$BF$4,0)),"N/A ")</f>
        <v>513.87148000000013</v>
      </c>
      <c r="AN60" s="232">
        <f>IFERROR(INDEX('FY25 By Venue Financials'!$P$10:$BF$274,MATCH($C60,'FY25 By Venue Financials'!$H$10:$H$274,0),MATCH(AN$8,'FY25 By Venue Financials'!$P$4:$BF$4,0)),"N/A ")</f>
        <v>579.48249999999996</v>
      </c>
      <c r="AO60" s="232">
        <f>IFERROR(INDEX('FY25 By Venue Financials'!$P$10:$BF$274,MATCH($C60,'FY25 By Venue Financials'!$H$10:$H$274,0),MATCH(AO$8,'FY25 By Venue Financials'!$P$4:$BF$4,0)),"N/A ")</f>
        <v>1725.6809699999999</v>
      </c>
      <c r="AP60" s="232">
        <f>IFERROR(INDEX('FY25 By Venue Financials'!$P$10:$BF$274,MATCH($C60,'FY25 By Venue Financials'!$H$10:$H$274,0),MATCH(AP$8,'FY25 By Venue Financials'!$P$4:$BF$4,0)),"N/A ")</f>
        <v>56.246500000000012</v>
      </c>
      <c r="AQ60" s="232">
        <f>IFERROR(INDEX('FY25 By Venue Financials'!$P$10:$BF$274,MATCH($C60,'FY25 By Venue Financials'!$H$10:$H$274,0),MATCH(AQ$8,'FY25 By Venue Financials'!$P$4:$BF$4,0)),"N/A ")</f>
        <v>1517.7478099999998</v>
      </c>
      <c r="AR60" s="232">
        <f>IFERROR(INDEX('FY25 By Venue Financials'!$P$10:$BF$274,MATCH($C60,'FY25 By Venue Financials'!$H$10:$H$274,0),MATCH(AR$8,'FY25 By Venue Financials'!$P$4:$BF$4,0)),"N/A ")</f>
        <v>6.6333200000000012</v>
      </c>
    </row>
    <row r="61" spans="3:44">
      <c r="C61" t="s">
        <v>13</v>
      </c>
      <c r="D61" s="47">
        <f t="shared" si="55"/>
        <v>15333.829889999997</v>
      </c>
      <c r="E61" s="111"/>
      <c r="F61" s="47">
        <f t="shared" si="56"/>
        <v>7969.7325499999979</v>
      </c>
      <c r="G61" s="47">
        <f t="shared" si="53"/>
        <v>6460.8637999999983</v>
      </c>
      <c r="H61" s="47">
        <f t="shared" si="54"/>
        <v>1734.16157</v>
      </c>
      <c r="I61" s="47">
        <f t="shared" si="54"/>
        <v>3898.1614199999999</v>
      </c>
      <c r="J61" s="47">
        <f t="shared" si="54"/>
        <v>1731.7743499999999</v>
      </c>
      <c r="K61" s="111"/>
      <c r="L61" s="232">
        <f>IFERROR(INDEX('FY25 By Venue Financials'!$P$10:$BF$274,MATCH($C61,'FY25 By Venue Financials'!$H$10:$H$274,0),MATCH(L$8,'FY25 By Venue Financials'!$P$4:$BF$4,0)),"N/A ")</f>
        <v>169.83</v>
      </c>
      <c r="M61" s="232">
        <f>IFERROR(INDEX('FY25 By Venue Financials'!$P$10:$BF$274,MATCH($C61,'FY25 By Venue Financials'!$H$10:$H$274,0),MATCH(M$8,'FY25 By Venue Financials'!$P$4:$BF$4,0)),"N/A ")</f>
        <v>499.34897999999998</v>
      </c>
      <c r="N61" s="232">
        <f>IFERROR(INDEX('FY25 By Venue Financials'!$P$10:$BF$274,MATCH($C61,'FY25 By Venue Financials'!$H$10:$H$274,0),MATCH(N$8,'FY25 By Venue Financials'!$P$4:$BF$4,0)),"N/A ")</f>
        <v>462.54599999999999</v>
      </c>
      <c r="O61" s="232">
        <f>IFERROR(INDEX('FY25 By Venue Financials'!$P$10:$BF$274,MATCH($C61,'FY25 By Venue Financials'!$H$10:$H$274,0),MATCH(O$8,'FY25 By Venue Financials'!$P$4:$BF$4,0)),"N/A ")</f>
        <v>504.88668000000001</v>
      </c>
      <c r="P61" s="232">
        <f>IFERROR(INDEX('FY25 By Venue Financials'!$P$10:$BF$274,MATCH($C61,'FY25 By Venue Financials'!$H$10:$H$274,0),MATCH(P$8,'FY25 By Venue Financials'!$P$4:$BF$4,0)),"N/A ")</f>
        <v>239.42082000000002</v>
      </c>
      <c r="Q61" s="232">
        <f>IFERROR(INDEX('FY25 By Venue Financials'!$P$10:$BF$274,MATCH($C61,'FY25 By Venue Financials'!$H$10:$H$274,0),MATCH(Q$8,'FY25 By Venue Financials'!$P$4:$BF$4,0)),"N/A ")</f>
        <v>862.06998999999996</v>
      </c>
      <c r="R61" s="232">
        <f>IFERROR(INDEX('FY25 By Venue Financials'!$P$10:$BF$274,MATCH($C61,'FY25 By Venue Financials'!$H$10:$H$274,0),MATCH(R$8,'FY25 By Venue Financials'!$P$4:$BF$4,0)),"N/A ")</f>
        <v>328.44400000000002</v>
      </c>
      <c r="S61" s="232">
        <f>IFERROR(INDEX('FY25 By Venue Financials'!$P$10:$BF$274,MATCH($C61,'FY25 By Venue Financials'!$H$10:$H$274,0),MATCH(S$8,'FY25 By Venue Financials'!$P$4:$BF$4,0)),"N/A ")</f>
        <v>608.61398999999994</v>
      </c>
      <c r="T61" s="232">
        <f>IFERROR(INDEX('FY25 By Venue Financials'!$P$10:$BF$274,MATCH($C61,'FY25 By Venue Financials'!$H$10:$H$274,0),MATCH(T$8,'FY25 By Venue Financials'!$P$4:$BF$4,0)),"N/A ")</f>
        <v>461.95398</v>
      </c>
      <c r="U61" s="232">
        <f>IFERROR(INDEX('FY25 By Venue Financials'!$P$10:$BF$274,MATCH($C61,'FY25 By Venue Financials'!$H$10:$H$274,0),MATCH(U$8,'FY25 By Venue Financials'!$P$4:$BF$4,0)),"N/A ")</f>
        <v>1290.3354099999999</v>
      </c>
      <c r="V61" s="232">
        <f>IFERROR(INDEX('FY25 By Venue Financials'!$P$10:$BF$274,MATCH($C61,'FY25 By Venue Financials'!$H$10:$H$274,0),MATCH(V$8,'FY25 By Venue Financials'!$P$4:$BF$4,0)),"N/A ")</f>
        <v>218.53334000000001</v>
      </c>
      <c r="W61" s="232">
        <f>IFERROR(INDEX('FY25 By Venue Financials'!$P$10:$BF$274,MATCH($C61,'FY25 By Venue Financials'!$H$10:$H$274,0),MATCH(W$8,'FY25 By Venue Financials'!$P$4:$BF$4,0)),"N/A ")</f>
        <v>188.04398999999998</v>
      </c>
      <c r="X61" s="232">
        <f>IFERROR(INDEX('FY25 By Venue Financials'!$P$10:$BF$274,MATCH($C61,'FY25 By Venue Financials'!$H$10:$H$274,0),MATCH(X$8,'FY25 By Venue Financials'!$P$4:$BF$4,0)),"N/A ")</f>
        <v>481.74878999999999</v>
      </c>
      <c r="Y61" s="232">
        <f>IFERROR(INDEX('FY25 By Venue Financials'!$P$10:$BF$274,MATCH($C61,'FY25 By Venue Financials'!$H$10:$H$274,0),MATCH(Y$8,'FY25 By Venue Financials'!$P$4:$BF$4,0)),"N/A ")</f>
        <v>433.35861999999997</v>
      </c>
      <c r="Z61" s="232">
        <f>IFERROR(INDEX('FY25 By Venue Financials'!$P$10:$BF$274,MATCH($C61,'FY25 By Venue Financials'!$H$10:$H$274,0),MATCH(Z$8,'FY25 By Venue Financials'!$P$4:$BF$4,0)),"N/A ")</f>
        <v>782.70398999999998</v>
      </c>
      <c r="AA61" s="232">
        <f>IFERROR(INDEX('FY25 By Venue Financials'!$P$10:$BF$274,MATCH($C61,'FY25 By Venue Financials'!$H$10:$H$274,0),MATCH(AA$8,'FY25 By Venue Financials'!$P$4:$BF$4,0)),"N/A ")</f>
        <v>231.41800000000001</v>
      </c>
      <c r="AB61" s="232">
        <f>IFERROR(INDEX('FY25 By Venue Financials'!$P$10:$BF$274,MATCH($C61,'FY25 By Venue Financials'!$H$10:$H$274,0),MATCH(AB$8,'FY25 By Venue Financials'!$P$4:$BF$4,0)),"N/A ")</f>
        <v>191.72398000000001</v>
      </c>
      <c r="AC61" s="232">
        <f>IFERROR(INDEX('FY25 By Venue Financials'!$P$10:$BF$274,MATCH($C61,'FY25 By Venue Financials'!$H$10:$H$274,0),MATCH(AC$8,'FY25 By Venue Financials'!$P$4:$BF$4,0)),"N/A ")</f>
        <v>661.63763999999992</v>
      </c>
      <c r="AD61" s="232" t="str">
        <f>IFERROR(INDEX('FY25 By Venue Financials'!$P$10:$BF$274,MATCH($C61,'FY25 By Venue Financials'!$H$10:$H$274,0),MATCH(AD$8,'FY25 By Venue Financials'!$P$4:$BF$4,0)),"N/A ")</f>
        <v xml:space="preserve">N/A </v>
      </c>
      <c r="AE61" s="232">
        <f>IFERROR(INDEX('FY25 By Venue Financials'!$P$10:$BF$274,MATCH($C61,'FY25 By Venue Financials'!$H$10:$H$274,0),MATCH(AE$8,'FY25 By Venue Financials'!$P$4:$BF$4,0)),"N/A ")</f>
        <v>0</v>
      </c>
      <c r="AF61" s="232">
        <f>IFERROR(INDEX('FY25 By Venue Financials'!$P$10:$BF$274,MATCH($C61,'FY25 By Venue Financials'!$H$10:$H$274,0),MATCH(AF$8,'FY25 By Venue Financials'!$P$4:$BF$4,0)),"N/A ")</f>
        <v>193.60397</v>
      </c>
      <c r="AG61" s="232">
        <f>IFERROR(INDEX('FY25 By Venue Financials'!$P$10:$BF$274,MATCH($C61,'FY25 By Venue Financials'!$H$10:$H$274,0),MATCH(AG$8,'FY25 By Venue Financials'!$P$4:$BF$4,0)),"N/A ")</f>
        <v>360.55998</v>
      </c>
      <c r="AH61" s="232">
        <f>IFERROR(INDEX('FY25 By Venue Financials'!$P$10:$BF$274,MATCH($C61,'FY25 By Venue Financials'!$H$10:$H$274,0),MATCH(AH$8,'FY25 By Venue Financials'!$P$4:$BF$4,0)),"N/A ")</f>
        <v>390.92498000000001</v>
      </c>
      <c r="AI61" s="232">
        <f>IFERROR(INDEX('FY25 By Venue Financials'!$P$10:$BF$274,MATCH($C61,'FY25 By Venue Financials'!$H$10:$H$274,0),MATCH(AI$8,'FY25 By Venue Financials'!$P$4:$BF$4,0)),"N/A ")</f>
        <v>127.435</v>
      </c>
      <c r="AJ61" s="232">
        <f>IFERROR(INDEX('FY25 By Venue Financials'!$P$10:$BF$274,MATCH($C61,'FY25 By Venue Financials'!$H$10:$H$274,0),MATCH(AJ$8,'FY25 By Venue Financials'!$P$4:$BF$4,0)),"N/A ")</f>
        <v>562.31601000000001</v>
      </c>
      <c r="AK61" s="232">
        <f>IFERROR(INDEX('FY25 By Venue Financials'!$P$10:$BF$274,MATCH($C61,'FY25 By Venue Financials'!$H$10:$H$274,0),MATCH(AK$8,'FY25 By Venue Financials'!$P$4:$BF$4,0)),"N/A ")</f>
        <v>550.30494999999996</v>
      </c>
      <c r="AL61" s="232">
        <f>IFERROR(INDEX('FY25 By Venue Financials'!$P$10:$BF$274,MATCH($C61,'FY25 By Venue Financials'!$H$10:$H$274,0),MATCH(AL$8,'FY25 By Venue Financials'!$P$4:$BF$4,0)),"N/A ")</f>
        <v>341.06299999999999</v>
      </c>
      <c r="AM61" s="232">
        <f>IFERROR(INDEX('FY25 By Venue Financials'!$P$10:$BF$274,MATCH($C61,'FY25 By Venue Financials'!$H$10:$H$274,0),MATCH(AM$8,'FY25 By Venue Financials'!$P$4:$BF$4,0)),"N/A ")</f>
        <v>401.91399999999999</v>
      </c>
      <c r="AN61" s="232">
        <f>IFERROR(INDEX('FY25 By Venue Financials'!$P$10:$BF$274,MATCH($C61,'FY25 By Venue Financials'!$H$10:$H$274,0),MATCH(AN$8,'FY25 By Venue Financials'!$P$4:$BF$4,0)),"N/A ")</f>
        <v>542.04200000000003</v>
      </c>
      <c r="AO61" s="232">
        <f>IFERROR(INDEX('FY25 By Venue Financials'!$P$10:$BF$274,MATCH($C61,'FY25 By Venue Financials'!$H$10:$H$274,0),MATCH(AO$8,'FY25 By Venue Financials'!$P$4:$BF$4,0)),"N/A ")</f>
        <v>1380.14975</v>
      </c>
      <c r="AP61" s="232">
        <f>IFERROR(INDEX('FY25 By Venue Financials'!$P$10:$BF$274,MATCH($C61,'FY25 By Venue Financials'!$H$10:$H$274,0),MATCH(AP$8,'FY25 By Venue Financials'!$P$4:$BF$4,0)),"N/A ")</f>
        <v>120.37170999999999</v>
      </c>
      <c r="AQ61" s="232">
        <f>IFERROR(INDEX('FY25 By Venue Financials'!$P$10:$BF$274,MATCH($C61,'FY25 By Venue Financials'!$H$10:$H$274,0),MATCH(AQ$8,'FY25 By Venue Financials'!$P$4:$BF$4,0)),"N/A ")</f>
        <v>1731.7743499999999</v>
      </c>
      <c r="AR61" s="232">
        <f>IFERROR(INDEX('FY25 By Venue Financials'!$P$10:$BF$274,MATCH($C61,'FY25 By Venue Financials'!$H$10:$H$274,0),MATCH(AR$8,'FY25 By Venue Financials'!$P$4:$BF$4,0)),"N/A ")</f>
        <v>14.751989999999999</v>
      </c>
    </row>
    <row r="62" spans="3:44">
      <c r="C62" t="s">
        <v>16</v>
      </c>
      <c r="D62" s="47">
        <f t="shared" si="55"/>
        <v>15620.393320000001</v>
      </c>
      <c r="E62" s="111"/>
      <c r="F62" s="47">
        <f t="shared" si="56"/>
        <v>8322.8813499999997</v>
      </c>
      <c r="G62" s="47">
        <f t="shared" si="53"/>
        <v>6113.2754100000002</v>
      </c>
      <c r="H62" s="47">
        <f t="shared" si="54"/>
        <v>1639.83223</v>
      </c>
      <c r="I62" s="47">
        <f t="shared" si="54"/>
        <v>4011.0936999999999</v>
      </c>
      <c r="J62" s="47">
        <f t="shared" si="54"/>
        <v>1646.5860399999999</v>
      </c>
      <c r="K62" s="111"/>
      <c r="L62" s="232">
        <f>IFERROR(INDEX('FY25 By Venue Financials'!$P$10:$BF$274,MATCH($C62,'FY25 By Venue Financials'!$H$10:$H$274,0),MATCH(L$8,'FY25 By Venue Financials'!$P$4:$BF$4,0)),"N/A ")</f>
        <v>155.47582</v>
      </c>
      <c r="M62" s="232">
        <f>IFERROR(INDEX('FY25 By Venue Financials'!$P$10:$BF$274,MATCH($C62,'FY25 By Venue Financials'!$H$10:$H$274,0),MATCH(M$8,'FY25 By Venue Financials'!$P$4:$BF$4,0)),"N/A ")</f>
        <v>377.21284000000003</v>
      </c>
      <c r="N62" s="232">
        <f>IFERROR(INDEX('FY25 By Venue Financials'!$P$10:$BF$274,MATCH($C62,'FY25 By Venue Financials'!$H$10:$H$274,0),MATCH(N$8,'FY25 By Venue Financials'!$P$4:$BF$4,0)),"N/A ")</f>
        <v>460.82497999999998</v>
      </c>
      <c r="O62" s="232">
        <f>IFERROR(INDEX('FY25 By Venue Financials'!$P$10:$BF$274,MATCH($C62,'FY25 By Venue Financials'!$H$10:$H$274,0),MATCH(O$8,'FY25 By Venue Financials'!$P$4:$BF$4,0)),"N/A ")</f>
        <v>488.53496999999993</v>
      </c>
      <c r="P62" s="232">
        <f>IFERROR(INDEX('FY25 By Venue Financials'!$P$10:$BF$274,MATCH($C62,'FY25 By Venue Financials'!$H$10:$H$274,0),MATCH(P$8,'FY25 By Venue Financials'!$P$4:$BF$4,0)),"N/A ")</f>
        <v>230.3</v>
      </c>
      <c r="Q62" s="232">
        <f>IFERROR(INDEX('FY25 By Venue Financials'!$P$10:$BF$274,MATCH($C62,'FY25 By Venue Financials'!$H$10:$H$274,0),MATCH(Q$8,'FY25 By Venue Financials'!$P$4:$BF$4,0)),"N/A ")</f>
        <v>749.74798999999996</v>
      </c>
      <c r="R62" s="232">
        <f>IFERROR(INDEX('FY25 By Venue Financials'!$P$10:$BF$274,MATCH($C62,'FY25 By Venue Financials'!$H$10:$H$274,0),MATCH(R$8,'FY25 By Venue Financials'!$P$4:$BF$4,0)),"N/A ")</f>
        <v>202.63500000000002</v>
      </c>
      <c r="S62" s="232">
        <f>IFERROR(INDEX('FY25 By Venue Financials'!$P$10:$BF$274,MATCH($C62,'FY25 By Venue Financials'!$H$10:$H$274,0),MATCH(S$8,'FY25 By Venue Financials'!$P$4:$BF$4,0)),"N/A ")</f>
        <v>457.82721999999995</v>
      </c>
      <c r="T62" s="232">
        <f>IFERROR(INDEX('FY25 By Venue Financials'!$P$10:$BF$274,MATCH($C62,'FY25 By Venue Financials'!$H$10:$H$274,0),MATCH(T$8,'FY25 By Venue Financials'!$P$4:$BF$4,0)),"N/A ")</f>
        <v>387.90058000000005</v>
      </c>
      <c r="U62" s="232">
        <f>IFERROR(INDEX('FY25 By Venue Financials'!$P$10:$BF$274,MATCH($C62,'FY25 By Venue Financials'!$H$10:$H$274,0),MATCH(U$8,'FY25 By Venue Financials'!$P$4:$BF$4,0)),"N/A ")</f>
        <v>2077.1059300000002</v>
      </c>
      <c r="V62" s="232">
        <f>IFERROR(INDEX('FY25 By Venue Financials'!$P$10:$BF$274,MATCH($C62,'FY25 By Venue Financials'!$H$10:$H$274,0),MATCH(V$8,'FY25 By Venue Financials'!$P$4:$BF$4,0)),"N/A ")</f>
        <v>132.50001</v>
      </c>
      <c r="W62" s="232">
        <f>IFERROR(INDEX('FY25 By Venue Financials'!$P$10:$BF$274,MATCH($C62,'FY25 By Venue Financials'!$H$10:$H$274,0),MATCH(W$8,'FY25 By Venue Financials'!$P$4:$BF$4,0)),"N/A ")</f>
        <v>134.08884</v>
      </c>
      <c r="X62" s="232">
        <f>IFERROR(INDEX('FY25 By Venue Financials'!$P$10:$BF$274,MATCH($C62,'FY25 By Venue Financials'!$H$10:$H$274,0),MATCH(X$8,'FY25 By Venue Financials'!$P$4:$BF$4,0)),"N/A ")</f>
        <v>409.69193999999999</v>
      </c>
      <c r="Y62" s="232">
        <f>IFERROR(INDEX('FY25 By Venue Financials'!$P$10:$BF$274,MATCH($C62,'FY25 By Venue Financials'!$H$10:$H$274,0),MATCH(Y$8,'FY25 By Venue Financials'!$P$4:$BF$4,0)),"N/A ")</f>
        <v>360.63313999999997</v>
      </c>
      <c r="Z62" s="232">
        <f>IFERROR(INDEX('FY25 By Venue Financials'!$P$10:$BF$274,MATCH($C62,'FY25 By Venue Financials'!$H$10:$H$274,0),MATCH(Z$8,'FY25 By Venue Financials'!$P$4:$BF$4,0)),"N/A ")</f>
        <v>711.31210999999996</v>
      </c>
      <c r="AA62" s="232">
        <f>IFERROR(INDEX('FY25 By Venue Financials'!$P$10:$BF$274,MATCH($C62,'FY25 By Venue Financials'!$H$10:$H$274,0),MATCH(AA$8,'FY25 By Venue Financials'!$P$4:$BF$4,0)),"N/A ")</f>
        <v>213.20997</v>
      </c>
      <c r="AB62" s="232">
        <f>IFERROR(INDEX('FY25 By Venue Financials'!$P$10:$BF$274,MATCH($C62,'FY25 By Venue Financials'!$H$10:$H$274,0),MATCH(AB$8,'FY25 By Venue Financials'!$P$4:$BF$4,0)),"N/A ")</f>
        <v>172.02997000000002</v>
      </c>
      <c r="AC62" s="232">
        <f>IFERROR(INDEX('FY25 By Venue Financials'!$P$10:$BF$274,MATCH($C62,'FY25 By Venue Financials'!$H$10:$H$274,0),MATCH(AC$8,'FY25 By Venue Financials'!$P$4:$BF$4,0)),"N/A ")</f>
        <v>665.2601699999999</v>
      </c>
      <c r="AD62" s="232" t="str">
        <f>IFERROR(INDEX('FY25 By Venue Financials'!$P$10:$BF$274,MATCH($C62,'FY25 By Venue Financials'!$H$10:$H$274,0),MATCH(AD$8,'FY25 By Venue Financials'!$P$4:$BF$4,0)),"N/A ")</f>
        <v xml:space="preserve">N/A </v>
      </c>
      <c r="AE62" s="232">
        <f>IFERROR(INDEX('FY25 By Venue Financials'!$P$10:$BF$274,MATCH($C62,'FY25 By Venue Financials'!$H$10:$H$274,0),MATCH(AE$8,'FY25 By Venue Financials'!$P$4:$BF$4,0)),"N/A ")</f>
        <v>-1.6411300000000002</v>
      </c>
      <c r="AF62" s="232">
        <f>IFERROR(INDEX('FY25 By Venue Financials'!$P$10:$BF$274,MATCH($C62,'FY25 By Venue Financials'!$H$10:$H$274,0),MATCH(AF$8,'FY25 By Venue Financials'!$P$4:$BF$4,0)),"N/A ")</f>
        <v>131.74673999999999</v>
      </c>
      <c r="AG62" s="232">
        <f>IFERROR(INDEX('FY25 By Venue Financials'!$P$10:$BF$274,MATCH($C62,'FY25 By Venue Financials'!$H$10:$H$274,0),MATCH(AG$8,'FY25 By Venue Financials'!$P$4:$BF$4,0)),"N/A ")</f>
        <v>402.84021999999999</v>
      </c>
      <c r="AH62" s="232">
        <f>IFERROR(INDEX('FY25 By Venue Financials'!$P$10:$BF$274,MATCH($C62,'FY25 By Venue Financials'!$H$10:$H$274,0),MATCH(AH$8,'FY25 By Venue Financials'!$P$4:$BF$4,0)),"N/A ")</f>
        <v>333.20089000000002</v>
      </c>
      <c r="AI62" s="232">
        <f>IFERROR(INDEX('FY25 By Venue Financials'!$P$10:$BF$274,MATCH($C62,'FY25 By Venue Financials'!$H$10:$H$274,0),MATCH(AI$8,'FY25 By Venue Financials'!$P$4:$BF$4,0)),"N/A ")</f>
        <v>108.42534000000001</v>
      </c>
      <c r="AJ62" s="232">
        <f>IFERROR(INDEX('FY25 By Venue Financials'!$P$10:$BF$274,MATCH($C62,'FY25 By Venue Financials'!$H$10:$H$274,0),MATCH(AJ$8,'FY25 By Venue Financials'!$P$4:$BF$4,0)),"N/A ")</f>
        <v>514.92737999999997</v>
      </c>
      <c r="AK62" s="232">
        <f>IFERROR(INDEX('FY25 By Venue Financials'!$P$10:$BF$274,MATCH($C62,'FY25 By Venue Financials'!$H$10:$H$274,0),MATCH(AK$8,'FY25 By Venue Financials'!$P$4:$BF$4,0)),"N/A ")</f>
        <v>399.42066</v>
      </c>
      <c r="AL62" s="232">
        <f>IFERROR(INDEX('FY25 By Venue Financials'!$P$10:$BF$274,MATCH($C62,'FY25 By Venue Financials'!$H$10:$H$274,0),MATCH(AL$8,'FY25 By Venue Financials'!$P$4:$BF$4,0)),"N/A ")</f>
        <v>321.33199000000002</v>
      </c>
      <c r="AM62" s="232">
        <f>IFERROR(INDEX('FY25 By Venue Financials'!$P$10:$BF$274,MATCH($C62,'FY25 By Venue Financials'!$H$10:$H$274,0),MATCH(AM$8,'FY25 By Venue Financials'!$P$4:$BF$4,0)),"N/A ")</f>
        <v>332.90098</v>
      </c>
      <c r="AN62" s="232">
        <f>IFERROR(INDEX('FY25 By Venue Financials'!$P$10:$BF$274,MATCH($C62,'FY25 By Venue Financials'!$H$10:$H$274,0),MATCH(AN$8,'FY25 By Venue Financials'!$P$4:$BF$4,0)),"N/A ")</f>
        <v>618.95150999999998</v>
      </c>
      <c r="AO62" s="232">
        <f>IFERROR(INDEX('FY25 By Venue Financials'!$P$10:$BF$274,MATCH($C62,'FY25 By Venue Financials'!$H$10:$H$274,0),MATCH(AO$8,'FY25 By Venue Financials'!$P$4:$BF$4,0)),"N/A ")</f>
        <v>1448.45712</v>
      </c>
      <c r="AP62" s="232">
        <f>IFERROR(INDEX('FY25 By Venue Financials'!$P$10:$BF$274,MATCH($C62,'FY25 By Venue Financials'!$H$10:$H$274,0),MATCH(AP$8,'FY25 By Venue Financials'!$P$4:$BF$4,0)),"N/A ")</f>
        <v>375.10405999999995</v>
      </c>
      <c r="AQ62" s="232">
        <f>IFERROR(INDEX('FY25 By Venue Financials'!$P$10:$BF$274,MATCH($C62,'FY25 By Venue Financials'!$H$10:$H$274,0),MATCH(AQ$8,'FY25 By Venue Financials'!$P$4:$BF$4,0)),"N/A ")</f>
        <v>1646.5860399999999</v>
      </c>
      <c r="AR62" s="232">
        <f>IFERROR(INDEX('FY25 By Venue Financials'!$P$10:$BF$274,MATCH($C62,'FY25 By Venue Financials'!$H$10:$H$274,0),MATCH(AR$8,'FY25 By Venue Financials'!$P$4:$BF$4,0)),"N/A ")</f>
        <v>601.85004000000004</v>
      </c>
    </row>
    <row r="63" spans="3:44">
      <c r="C63" t="s">
        <v>17</v>
      </c>
      <c r="D63" s="47">
        <f t="shared" si="55"/>
        <v>11457.565299999997</v>
      </c>
      <c r="E63" s="111"/>
      <c r="F63" s="47">
        <f t="shared" si="56"/>
        <v>6093.3021399999998</v>
      </c>
      <c r="G63" s="47">
        <f t="shared" si="53"/>
        <v>4641.1149099999993</v>
      </c>
      <c r="H63" s="47">
        <f t="shared" si="54"/>
        <v>1323.3471999999999</v>
      </c>
      <c r="I63" s="47">
        <f t="shared" si="54"/>
        <v>2831.7085699999998</v>
      </c>
      <c r="J63" s="47">
        <f t="shared" si="54"/>
        <v>1209.20739</v>
      </c>
      <c r="K63" s="111"/>
      <c r="L63" s="232">
        <f>IFERROR(INDEX('FY25 By Venue Financials'!$P$10:$BF$274,MATCH($C63,'FY25 By Venue Financials'!$H$10:$H$274,0),MATCH(L$8,'FY25 By Venue Financials'!$P$4:$BF$4,0)),"N/A ")</f>
        <v>135.50274999999999</v>
      </c>
      <c r="M63" s="232">
        <f>IFERROR(INDEX('FY25 By Venue Financials'!$P$10:$BF$274,MATCH($C63,'FY25 By Venue Financials'!$H$10:$H$274,0),MATCH(M$8,'FY25 By Venue Financials'!$P$4:$BF$4,0)),"N/A ")</f>
        <v>307.39944000000003</v>
      </c>
      <c r="N63" s="232">
        <f>IFERROR(INDEX('FY25 By Venue Financials'!$P$10:$BF$274,MATCH($C63,'FY25 By Venue Financials'!$H$10:$H$274,0),MATCH(N$8,'FY25 By Venue Financials'!$P$4:$BF$4,0)),"N/A ")</f>
        <v>354.28603000000004</v>
      </c>
      <c r="O63" s="232">
        <f>IFERROR(INDEX('FY25 By Venue Financials'!$P$10:$BF$274,MATCH($C63,'FY25 By Venue Financials'!$H$10:$H$274,0),MATCH(O$8,'FY25 By Venue Financials'!$P$4:$BF$4,0)),"N/A ")</f>
        <v>393.09843000000001</v>
      </c>
      <c r="P63" s="232">
        <f>IFERROR(INDEX('FY25 By Venue Financials'!$P$10:$BF$274,MATCH($C63,'FY25 By Venue Financials'!$H$10:$H$274,0),MATCH(P$8,'FY25 By Venue Financials'!$P$4:$BF$4,0)),"N/A ")</f>
        <v>168.11709999999997</v>
      </c>
      <c r="Q63" s="232">
        <f>IFERROR(INDEX('FY25 By Venue Financials'!$P$10:$BF$274,MATCH($C63,'FY25 By Venue Financials'!$H$10:$H$274,0),MATCH(Q$8,'FY25 By Venue Financials'!$P$4:$BF$4,0)),"N/A ")</f>
        <v>613.36821999999984</v>
      </c>
      <c r="R63" s="232">
        <f>IFERROR(INDEX('FY25 By Venue Financials'!$P$10:$BF$274,MATCH($C63,'FY25 By Venue Financials'!$H$10:$H$274,0),MATCH(R$8,'FY25 By Venue Financials'!$P$4:$BF$4,0)),"N/A ")</f>
        <v>200.98913000000002</v>
      </c>
      <c r="S63" s="232">
        <f>IFERROR(INDEX('FY25 By Venue Financials'!$P$10:$BF$274,MATCH($C63,'FY25 By Venue Financials'!$H$10:$H$274,0),MATCH(S$8,'FY25 By Venue Financials'!$P$4:$BF$4,0)),"N/A ")</f>
        <v>424.23638</v>
      </c>
      <c r="T63" s="232">
        <f>IFERROR(INDEX('FY25 By Venue Financials'!$P$10:$BF$274,MATCH($C63,'FY25 By Venue Financials'!$H$10:$H$274,0),MATCH(T$8,'FY25 By Venue Financials'!$P$4:$BF$4,0)),"N/A ")</f>
        <v>369.35558000000003</v>
      </c>
      <c r="U63" s="232">
        <f>IFERROR(INDEX('FY25 By Venue Financials'!$P$10:$BF$274,MATCH($C63,'FY25 By Venue Financials'!$H$10:$H$274,0),MATCH(U$8,'FY25 By Venue Financials'!$P$4:$BF$4,0)),"N/A ")</f>
        <v>1322.1938299999999</v>
      </c>
      <c r="V63" s="232">
        <f>IFERROR(INDEX('FY25 By Venue Financials'!$P$10:$BF$274,MATCH($C63,'FY25 By Venue Financials'!$H$10:$H$274,0),MATCH(V$8,'FY25 By Venue Financials'!$P$4:$BF$4,0)),"N/A ")</f>
        <v>129.99340000000001</v>
      </c>
      <c r="W63" s="232">
        <f>IFERROR(INDEX('FY25 By Venue Financials'!$P$10:$BF$274,MATCH($C63,'FY25 By Venue Financials'!$H$10:$H$274,0),MATCH(W$8,'FY25 By Venue Financials'!$P$4:$BF$4,0)),"N/A ")</f>
        <v>125.31823000000001</v>
      </c>
      <c r="X63" s="232">
        <f>IFERROR(INDEX('FY25 By Venue Financials'!$P$10:$BF$274,MATCH($C63,'FY25 By Venue Financials'!$H$10:$H$274,0),MATCH(X$8,'FY25 By Venue Financials'!$P$4:$BF$4,0)),"N/A ")</f>
        <v>342.89283</v>
      </c>
      <c r="Y63" s="232">
        <f>IFERROR(INDEX('FY25 By Venue Financials'!$P$10:$BF$274,MATCH($C63,'FY25 By Venue Financials'!$H$10:$H$274,0),MATCH(Y$8,'FY25 By Venue Financials'!$P$4:$BF$4,0)),"N/A ")</f>
        <v>280.27501000000001</v>
      </c>
      <c r="Z63" s="232">
        <f>IFERROR(INDEX('FY25 By Venue Financials'!$P$10:$BF$274,MATCH($C63,'FY25 By Venue Financials'!$H$10:$H$274,0),MATCH(Z$8,'FY25 By Venue Financials'!$P$4:$BF$4,0)),"N/A ")</f>
        <v>610.58587000000011</v>
      </c>
      <c r="AA63" s="232">
        <f>IFERROR(INDEX('FY25 By Venue Financials'!$P$10:$BF$274,MATCH($C63,'FY25 By Venue Financials'!$H$10:$H$274,0),MATCH(AA$8,'FY25 By Venue Financials'!$P$4:$BF$4,0)),"N/A ")</f>
        <v>167.96350000000004</v>
      </c>
      <c r="AB63" s="232">
        <f>IFERROR(INDEX('FY25 By Venue Financials'!$P$10:$BF$274,MATCH($C63,'FY25 By Venue Financials'!$H$10:$H$274,0),MATCH(AB$8,'FY25 By Venue Financials'!$P$4:$BF$4,0)),"N/A ")</f>
        <v>129.04499999999999</v>
      </c>
      <c r="AC63" s="232">
        <f>IFERROR(INDEX('FY25 By Venue Financials'!$P$10:$BF$274,MATCH($C63,'FY25 By Venue Financials'!$H$10:$H$274,0),MATCH(AC$8,'FY25 By Venue Financials'!$P$4:$BF$4,0)),"N/A ")</f>
        <v>506.27087999999992</v>
      </c>
      <c r="AD63" s="232" t="str">
        <f>IFERROR(INDEX('FY25 By Venue Financials'!$P$10:$BF$274,MATCH($C63,'FY25 By Venue Financials'!$H$10:$H$274,0),MATCH(AD$8,'FY25 By Venue Financials'!$P$4:$BF$4,0)),"N/A ")</f>
        <v xml:space="preserve">N/A </v>
      </c>
      <c r="AE63" s="232">
        <f>IFERROR(INDEX('FY25 By Venue Financials'!$P$10:$BF$274,MATCH($C63,'FY25 By Venue Financials'!$H$10:$H$274,0),MATCH(AE$8,'FY25 By Venue Financials'!$P$4:$BF$4,0)),"N/A ")</f>
        <v>0</v>
      </c>
      <c r="AF63" s="232">
        <f>IFERROR(INDEX('FY25 By Venue Financials'!$P$10:$BF$274,MATCH($C63,'FY25 By Venue Financials'!$H$10:$H$274,0),MATCH(AF$8,'FY25 By Venue Financials'!$P$4:$BF$4,0)),"N/A ")</f>
        <v>132.16511</v>
      </c>
      <c r="AG63" s="232">
        <f>IFERROR(INDEX('FY25 By Venue Financials'!$P$10:$BF$274,MATCH($C63,'FY25 By Venue Financials'!$H$10:$H$274,0),MATCH(AG$8,'FY25 By Venue Financials'!$P$4:$BF$4,0)),"N/A ")</f>
        <v>299.57390999999996</v>
      </c>
      <c r="AH63" s="232">
        <f>IFERROR(INDEX('FY25 By Venue Financials'!$P$10:$BF$274,MATCH($C63,'FY25 By Venue Financials'!$H$10:$H$274,0),MATCH(AH$8,'FY25 By Venue Financials'!$P$4:$BF$4,0)),"N/A ")</f>
        <v>286.13069000000002</v>
      </c>
      <c r="AI63" s="232">
        <f>IFERROR(INDEX('FY25 By Venue Financials'!$P$10:$BF$274,MATCH($C63,'FY25 By Venue Financials'!$H$10:$H$274,0),MATCH(AI$8,'FY25 By Venue Financials'!$P$4:$BF$4,0)),"N/A ")</f>
        <v>99.206609999999984</v>
      </c>
      <c r="AJ63" s="232">
        <f>IFERROR(INDEX('FY25 By Venue Financials'!$P$10:$BF$274,MATCH($C63,'FY25 By Venue Financials'!$H$10:$H$274,0),MATCH(AJ$8,'FY25 By Venue Financials'!$P$4:$BF$4,0)),"N/A ")</f>
        <v>412.23424</v>
      </c>
      <c r="AK63" s="232">
        <f>IFERROR(INDEX('FY25 By Venue Financials'!$P$10:$BF$274,MATCH($C63,'FY25 By Venue Financials'!$H$10:$H$274,0),MATCH(AK$8,'FY25 By Venue Financials'!$P$4:$BF$4,0)),"N/A ")</f>
        <v>331.69979999999998</v>
      </c>
      <c r="AL63" s="232">
        <f>IFERROR(INDEX('FY25 By Venue Financials'!$P$10:$BF$274,MATCH($C63,'FY25 By Venue Financials'!$H$10:$H$274,0),MATCH(AL$8,'FY25 By Venue Financials'!$P$4:$BF$4,0)),"N/A ")</f>
        <v>236.98616000000001</v>
      </c>
      <c r="AM63" s="232">
        <f>IFERROR(INDEX('FY25 By Venue Financials'!$P$10:$BF$274,MATCH($C63,'FY25 By Venue Financials'!$H$10:$H$274,0),MATCH(AM$8,'FY25 By Venue Financials'!$P$4:$BF$4,0)),"N/A ")</f>
        <v>296.76039999999995</v>
      </c>
      <c r="AN63" s="232">
        <f>IFERROR(INDEX('FY25 By Venue Financials'!$P$10:$BF$274,MATCH($C63,'FY25 By Venue Financials'!$H$10:$H$274,0),MATCH(AN$8,'FY25 By Venue Financials'!$P$4:$BF$4,0)),"N/A ")</f>
        <v>419.18364999999994</v>
      </c>
      <c r="AO63" s="232">
        <f>IFERROR(INDEX('FY25 By Venue Financials'!$P$10:$BF$274,MATCH($C63,'FY25 By Venue Financials'!$H$10:$H$274,0),MATCH(AO$8,'FY25 By Venue Financials'!$P$4:$BF$4,0)),"N/A ")</f>
        <v>1076.8578</v>
      </c>
      <c r="AP63" s="232">
        <f>IFERROR(INDEX('FY25 By Venue Financials'!$P$10:$BF$274,MATCH($C63,'FY25 By Venue Financials'!$H$10:$H$274,0),MATCH(AP$8,'FY25 By Venue Financials'!$P$4:$BF$4,0)),"N/A ")</f>
        <v>57.986520000000006</v>
      </c>
      <c r="AQ63" s="232">
        <f>IFERROR(INDEX('FY25 By Venue Financials'!$P$10:$BF$274,MATCH($C63,'FY25 By Venue Financials'!$H$10:$H$274,0),MATCH(AQ$8,'FY25 By Venue Financials'!$P$4:$BF$4,0)),"N/A ")</f>
        <v>1209.20739</v>
      </c>
      <c r="AR63" s="232">
        <f>IFERROR(INDEX('FY25 By Venue Financials'!$P$10:$BF$274,MATCH($C63,'FY25 By Venue Financials'!$H$10:$H$274,0),MATCH(AR$8,'FY25 By Venue Financials'!$P$4:$BF$4,0)),"N/A ")</f>
        <v>18.68141</v>
      </c>
    </row>
    <row r="64" spans="3:44">
      <c r="C64" t="s">
        <v>21</v>
      </c>
      <c r="D64" s="47">
        <f t="shared" si="55"/>
        <v>9357.1115599999976</v>
      </c>
      <c r="E64" s="111"/>
      <c r="F64" s="47">
        <f t="shared" si="56"/>
        <v>4751.2068899999995</v>
      </c>
      <c r="G64" s="47">
        <f t="shared" si="53"/>
        <v>3855.9614499999998</v>
      </c>
      <c r="H64" s="47">
        <f t="shared" si="54"/>
        <v>1128.3318299999999</v>
      </c>
      <c r="I64" s="47">
        <f t="shared" si="54"/>
        <v>2497.0833400000001</v>
      </c>
      <c r="J64" s="47">
        <f t="shared" si="54"/>
        <v>980.48950000000002</v>
      </c>
      <c r="K64" s="111"/>
      <c r="L64" s="232">
        <f>IFERROR(INDEX('FY25 By Venue Financials'!$P$10:$BF$274,MATCH($C64,'FY25 By Venue Financials'!$H$10:$H$274,0),MATCH(L$8,'FY25 By Venue Financials'!$P$4:$BF$4,0)),"N/A ")</f>
        <v>94.448499999999996</v>
      </c>
      <c r="M64" s="232">
        <f>IFERROR(INDEX('FY25 By Venue Financials'!$P$10:$BF$274,MATCH($C64,'FY25 By Venue Financials'!$H$10:$H$274,0),MATCH(M$8,'FY25 By Venue Financials'!$P$4:$BF$4,0)),"N/A ")</f>
        <v>263.88504999999998</v>
      </c>
      <c r="N64" s="232">
        <f>IFERROR(INDEX('FY25 By Venue Financials'!$P$10:$BF$274,MATCH($C64,'FY25 By Venue Financials'!$H$10:$H$274,0),MATCH(N$8,'FY25 By Venue Financials'!$P$4:$BF$4,0)),"N/A ")</f>
        <v>283.70999999999998</v>
      </c>
      <c r="O64" s="232">
        <f>IFERROR(INDEX('FY25 By Venue Financials'!$P$10:$BF$274,MATCH($C64,'FY25 By Venue Financials'!$H$10:$H$274,0),MATCH(O$8,'FY25 By Venue Financials'!$P$4:$BF$4,0)),"N/A ")</f>
        <v>281.71982000000003</v>
      </c>
      <c r="P64" s="232">
        <f>IFERROR(INDEX('FY25 By Venue Financials'!$P$10:$BF$274,MATCH($C64,'FY25 By Venue Financials'!$H$10:$H$274,0),MATCH(P$8,'FY25 By Venue Financials'!$P$4:$BF$4,0)),"N/A ")</f>
        <v>160.952</v>
      </c>
      <c r="Q64" s="232">
        <f>IFERROR(INDEX('FY25 By Venue Financials'!$P$10:$BF$274,MATCH($C64,'FY25 By Venue Financials'!$H$10:$H$274,0),MATCH(Q$8,'FY25 By Venue Financials'!$P$4:$BF$4,0)),"N/A ")</f>
        <v>443.70499999999998</v>
      </c>
      <c r="R64" s="232">
        <f>IFERROR(INDEX('FY25 By Venue Financials'!$P$10:$BF$274,MATCH($C64,'FY25 By Venue Financials'!$H$10:$H$274,0),MATCH(R$8,'FY25 By Venue Financials'!$P$4:$BF$4,0)),"N/A ")</f>
        <v>201.012</v>
      </c>
      <c r="S64" s="232">
        <f>IFERROR(INDEX('FY25 By Venue Financials'!$P$10:$BF$274,MATCH($C64,'FY25 By Venue Financials'!$H$10:$H$274,0),MATCH(S$8,'FY25 By Venue Financials'!$P$4:$BF$4,0)),"N/A ")</f>
        <v>359.2063</v>
      </c>
      <c r="T64" s="232">
        <f>IFERROR(INDEX('FY25 By Venue Financials'!$P$10:$BF$274,MATCH($C64,'FY25 By Venue Financials'!$H$10:$H$274,0),MATCH(T$8,'FY25 By Venue Financials'!$P$4:$BF$4,0)),"N/A ")</f>
        <v>314.32890000000003</v>
      </c>
      <c r="U64" s="232">
        <f>IFERROR(INDEX('FY25 By Venue Financials'!$P$10:$BF$274,MATCH($C64,'FY25 By Venue Financials'!$H$10:$H$274,0),MATCH(U$8,'FY25 By Venue Financials'!$P$4:$BF$4,0)),"N/A ")</f>
        <v>783.58493999999996</v>
      </c>
      <c r="V64" s="232">
        <f>IFERROR(INDEX('FY25 By Venue Financials'!$P$10:$BF$274,MATCH($C64,'FY25 By Venue Financials'!$H$10:$H$274,0),MATCH(V$8,'FY25 By Venue Financials'!$P$4:$BF$4,0)),"N/A ")</f>
        <v>111.66049999999998</v>
      </c>
      <c r="W64" s="232">
        <f>IFERROR(INDEX('FY25 By Venue Financials'!$P$10:$BF$274,MATCH($C64,'FY25 By Venue Financials'!$H$10:$H$274,0),MATCH(W$8,'FY25 By Venue Financials'!$P$4:$BF$4,0)),"N/A ")</f>
        <v>98.330500000000001</v>
      </c>
      <c r="X64" s="232">
        <f>IFERROR(INDEX('FY25 By Venue Financials'!$P$10:$BF$274,MATCH($C64,'FY25 By Venue Financials'!$H$10:$H$274,0),MATCH(X$8,'FY25 By Venue Financials'!$P$4:$BF$4,0)),"N/A ")</f>
        <v>281.23</v>
      </c>
      <c r="Y64" s="232">
        <f>IFERROR(INDEX('FY25 By Venue Financials'!$P$10:$BF$274,MATCH($C64,'FY25 By Venue Financials'!$H$10:$H$274,0),MATCH(Y$8,'FY25 By Venue Financials'!$P$4:$BF$4,0)),"N/A ")</f>
        <v>241.1105</v>
      </c>
      <c r="Z64" s="232">
        <f>IFERROR(INDEX('FY25 By Venue Financials'!$P$10:$BF$274,MATCH($C64,'FY25 By Venue Financials'!$H$10:$H$274,0),MATCH(Z$8,'FY25 By Venue Financials'!$P$4:$BF$4,0)),"N/A ")</f>
        <v>490.57749999999999</v>
      </c>
      <c r="AA64" s="232">
        <f>IFERROR(INDEX('FY25 By Venue Financials'!$P$10:$BF$274,MATCH($C64,'FY25 By Venue Financials'!$H$10:$H$274,0),MATCH(AA$8,'FY25 By Venue Financials'!$P$4:$BF$4,0)),"N/A ")</f>
        <v>144.017</v>
      </c>
      <c r="AB64" s="232">
        <f>IFERROR(INDEX('FY25 By Venue Financials'!$P$10:$BF$274,MATCH($C64,'FY25 By Venue Financials'!$H$10:$H$274,0),MATCH(AB$8,'FY25 By Venue Financials'!$P$4:$BF$4,0)),"N/A ")</f>
        <v>106.529</v>
      </c>
      <c r="AC64" s="232">
        <f>IFERROR(INDEX('FY25 By Venue Financials'!$P$10:$BF$274,MATCH($C64,'FY25 By Venue Financials'!$H$10:$H$274,0),MATCH(AC$8,'FY25 By Venue Financials'!$P$4:$BF$4,0)),"N/A ")</f>
        <v>414.46793999999994</v>
      </c>
      <c r="AD64" s="232" t="str">
        <f>IFERROR(INDEX('FY25 By Venue Financials'!$P$10:$BF$274,MATCH($C64,'FY25 By Venue Financials'!$H$10:$H$274,0),MATCH(AD$8,'FY25 By Venue Financials'!$P$4:$BF$4,0)),"N/A ")</f>
        <v xml:space="preserve">N/A </v>
      </c>
      <c r="AE64" s="232">
        <f>IFERROR(INDEX('FY25 By Venue Financials'!$P$10:$BF$274,MATCH($C64,'FY25 By Venue Financials'!$H$10:$H$274,0),MATCH(AE$8,'FY25 By Venue Financials'!$P$4:$BF$4,0)),"N/A ")</f>
        <v>0</v>
      </c>
      <c r="AF64" s="232">
        <f>IFERROR(INDEX('FY25 By Venue Financials'!$P$10:$BF$274,MATCH($C64,'FY25 By Venue Financials'!$H$10:$H$274,0),MATCH(AF$8,'FY25 By Venue Financials'!$P$4:$BF$4,0)),"N/A ")</f>
        <v>121.54622000000001</v>
      </c>
      <c r="AG64" s="232">
        <f>IFERROR(INDEX('FY25 By Venue Financials'!$P$10:$BF$274,MATCH($C64,'FY25 By Venue Financials'!$H$10:$H$274,0),MATCH(AG$8,'FY25 By Venue Financials'!$P$4:$BF$4,0)),"N/A ")</f>
        <v>257.21800000000002</v>
      </c>
      <c r="AH64" s="232">
        <f>IFERROR(INDEX('FY25 By Venue Financials'!$P$10:$BF$274,MATCH($C64,'FY25 By Venue Financials'!$H$10:$H$274,0),MATCH(AH$8,'FY25 By Venue Financials'!$P$4:$BF$4,0)),"N/A ")</f>
        <v>256.25867</v>
      </c>
      <c r="AI64" s="232">
        <f>IFERROR(INDEX('FY25 By Venue Financials'!$P$10:$BF$274,MATCH($C64,'FY25 By Venue Financials'!$H$10:$H$274,0),MATCH(AI$8,'FY25 By Venue Financials'!$P$4:$BF$4,0)),"N/A ")</f>
        <v>78.840999999999994</v>
      </c>
      <c r="AJ64" s="232">
        <f>IFERROR(INDEX('FY25 By Venue Financials'!$P$10:$BF$274,MATCH($C64,'FY25 By Venue Financials'!$H$10:$H$274,0),MATCH(AJ$8,'FY25 By Venue Financials'!$P$4:$BF$4,0)),"N/A ")</f>
        <v>350.33350000000002</v>
      </c>
      <c r="AK64" s="232">
        <f>IFERROR(INDEX('FY25 By Venue Financials'!$P$10:$BF$274,MATCH($C64,'FY25 By Venue Financials'!$H$10:$H$274,0),MATCH(AK$8,'FY25 By Venue Financials'!$P$4:$BF$4,0)),"N/A ")</f>
        <v>322.44749999999999</v>
      </c>
      <c r="AL64" s="232">
        <f>IFERROR(INDEX('FY25 By Venue Financials'!$P$10:$BF$274,MATCH($C64,'FY25 By Venue Financials'!$H$10:$H$274,0),MATCH(AL$8,'FY25 By Venue Financials'!$P$4:$BF$4,0)),"N/A ")</f>
        <v>222.41199</v>
      </c>
      <c r="AM64" s="232">
        <f>IFERROR(INDEX('FY25 By Venue Financials'!$P$10:$BF$274,MATCH($C64,'FY25 By Venue Financials'!$H$10:$H$274,0),MATCH(AM$8,'FY25 By Venue Financials'!$P$4:$BF$4,0)),"N/A ")</f>
        <v>264.66550000000001</v>
      </c>
      <c r="AN64" s="232">
        <f>IFERROR(INDEX('FY25 By Venue Financials'!$P$10:$BF$274,MATCH($C64,'FY25 By Venue Financials'!$H$10:$H$274,0),MATCH(AN$8,'FY25 By Venue Financials'!$P$4:$BF$4,0)),"N/A ")</f>
        <v>362.61499999999995</v>
      </c>
      <c r="AO64" s="232">
        <f>IFERROR(INDEX('FY25 By Venue Financials'!$P$10:$BF$274,MATCH($C64,'FY25 By Venue Financials'!$H$10:$H$274,0),MATCH(AO$8,'FY25 By Venue Financials'!$P$4:$BF$4,0)),"N/A ")</f>
        <v>862.78213000000005</v>
      </c>
      <c r="AP64" s="232">
        <f>IFERROR(INDEX('FY25 By Venue Financials'!$P$10:$BF$274,MATCH($C64,'FY25 By Venue Financials'!$H$10:$H$274,0),MATCH(AP$8,'FY25 By Venue Financials'!$P$4:$BF$4,0)),"N/A ")</f>
        <v>111.82772</v>
      </c>
      <c r="AQ64" s="232">
        <f>IFERROR(INDEX('FY25 By Venue Financials'!$P$10:$BF$274,MATCH($C64,'FY25 By Venue Financials'!$H$10:$H$274,0),MATCH(AQ$8,'FY25 By Venue Financials'!$P$4:$BF$4,0)),"N/A ")</f>
        <v>980.48950000000002</v>
      </c>
      <c r="AR64" s="232">
        <f>IFERROR(INDEX('FY25 By Venue Financials'!$P$10:$BF$274,MATCH($C64,'FY25 By Venue Financials'!$H$10:$H$274,0),MATCH(AR$8,'FY25 By Venue Financials'!$P$4:$BF$4,0)),"N/A ")</f>
        <v>91.199380000000005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8112-C4D7-4494-AC98-07DB8CCD8790}">
  <sheetPr>
    <tabColor theme="2"/>
  </sheetPr>
  <dimension ref="A1:BA236"/>
  <sheetViews>
    <sheetView showGridLines="0" zoomScale="85" zoomScaleNormal="85" workbookViewId="0">
      <pane xSplit="8" ySplit="4" topLeftCell="I5" activePane="bottomRight" state="frozen"/>
      <selection pane="topRight" activeCell="D1" sqref="D1"/>
      <selection pane="bottomLeft" activeCell="A5" sqref="A5"/>
      <selection pane="bottomRight" activeCell="I5" sqref="I5"/>
    </sheetView>
  </sheetViews>
  <sheetFormatPr defaultRowHeight="14.5" outlineLevelRow="1"/>
  <cols>
    <col min="1" max="1" width="11.81640625" bestFit="1" customWidth="1"/>
    <col min="2" max="7" width="5.453125" customWidth="1"/>
    <col min="8" max="8" width="44.54296875" bestFit="1" customWidth="1"/>
    <col min="9" max="9" width="1.7265625" customWidth="1"/>
    <col min="10" max="14" width="12.54296875" customWidth="1"/>
    <col min="15" max="15" width="1.7265625" customWidth="1"/>
    <col min="16" max="49" width="12.54296875" customWidth="1"/>
  </cols>
  <sheetData>
    <row r="1" spans="8:53">
      <c r="J1" s="192" t="s">
        <v>412</v>
      </c>
      <c r="K1" s="192" t="s">
        <v>413</v>
      </c>
      <c r="L1" s="192" t="s">
        <v>414</v>
      </c>
      <c r="M1" s="192" t="s">
        <v>415</v>
      </c>
      <c r="N1" s="192" t="s">
        <v>1169</v>
      </c>
      <c r="O1" s="192"/>
      <c r="P1" s="192" t="s">
        <v>416</v>
      </c>
      <c r="Q1" s="192" t="s">
        <v>417</v>
      </c>
      <c r="R1" s="192" t="s">
        <v>418</v>
      </c>
      <c r="S1" s="192" t="s">
        <v>419</v>
      </c>
      <c r="T1" s="192" t="s">
        <v>420</v>
      </c>
      <c r="U1" s="192" t="s">
        <v>421</v>
      </c>
      <c r="V1" s="192" t="s">
        <v>422</v>
      </c>
      <c r="W1" s="192" t="s">
        <v>423</v>
      </c>
      <c r="X1" s="192" t="s">
        <v>424</v>
      </c>
      <c r="Y1" s="192" t="s">
        <v>425</v>
      </c>
      <c r="Z1" s="192" t="s">
        <v>426</v>
      </c>
      <c r="AA1" s="192" t="s">
        <v>427</v>
      </c>
      <c r="AB1" s="192" t="s">
        <v>428</v>
      </c>
      <c r="AC1" s="192" t="s">
        <v>429</v>
      </c>
      <c r="AD1" s="192" t="s">
        <v>430</v>
      </c>
      <c r="AE1" s="192" t="s">
        <v>431</v>
      </c>
      <c r="AF1" s="192" t="s">
        <v>432</v>
      </c>
      <c r="AG1" s="192" t="s">
        <v>433</v>
      </c>
      <c r="AH1" s="192" t="s">
        <v>434</v>
      </c>
      <c r="AI1" s="192" t="s">
        <v>435</v>
      </c>
      <c r="AJ1" s="192" t="s">
        <v>436</v>
      </c>
      <c r="AK1" s="192" t="s">
        <v>449</v>
      </c>
      <c r="AL1" s="192" t="s">
        <v>437</v>
      </c>
      <c r="AM1" s="192" t="s">
        <v>438</v>
      </c>
      <c r="AN1" s="192" t="s">
        <v>439</v>
      </c>
      <c r="AO1" s="192" t="s">
        <v>440</v>
      </c>
      <c r="AP1" s="192" t="s">
        <v>458</v>
      </c>
      <c r="AQ1" s="192" t="s">
        <v>459</v>
      </c>
      <c r="AR1" s="192" t="s">
        <v>460</v>
      </c>
      <c r="AS1" s="192" t="s">
        <v>461</v>
      </c>
      <c r="AT1" s="192" t="s">
        <v>462</v>
      </c>
      <c r="AU1" s="192" t="s">
        <v>464</v>
      </c>
      <c r="AV1" s="192" t="s">
        <v>463</v>
      </c>
      <c r="AW1" s="192" t="s">
        <v>466</v>
      </c>
      <c r="AX1" s="117"/>
      <c r="AY1" s="117"/>
      <c r="AZ1" s="117"/>
      <c r="BA1" s="117"/>
    </row>
    <row r="3" spans="8:53">
      <c r="P3" t="str">
        <f>INDEX('WH Rev &amp; Events Data'!$6:$6,MATCH(P$4,'WH Rev &amp; Events Data'!$8:$8,0))</f>
        <v>DFW</v>
      </c>
      <c r="Q3" t="str">
        <f>INDEX('WH Rev &amp; Events Data'!$6:$6,MATCH(Q$4,'WH Rev &amp; Events Data'!$8:$8,0))</f>
        <v>DFW</v>
      </c>
      <c r="R3" t="str">
        <f>INDEX('WH Rev &amp; Events Data'!$6:$6,MATCH(R$4,'WH Rev &amp; Events Data'!$8:$8,0))</f>
        <v>DFW</v>
      </c>
      <c r="S3" t="str">
        <f>INDEX('WH Rev &amp; Events Data'!$6:$6,MATCH(S$4,'WH Rev &amp; Events Data'!$8:$8,0))</f>
        <v>DFW</v>
      </c>
      <c r="T3" t="str">
        <f>INDEX('WH Rev &amp; Events Data'!$6:$6,MATCH(T$4,'WH Rev &amp; Events Data'!$8:$8,0))</f>
        <v>DFW</v>
      </c>
      <c r="U3" t="str">
        <f>INDEX('WH Rev &amp; Events Data'!$6:$6,MATCH(U$4,'WH Rev &amp; Events Data'!$8:$8,0))</f>
        <v>DFW</v>
      </c>
      <c r="V3" t="str">
        <f>INDEX('WH Rev &amp; Events Data'!$6:$6,MATCH(V$4,'WH Rev &amp; Events Data'!$8:$8,0))</f>
        <v>DFW</v>
      </c>
      <c r="W3" t="str">
        <f>INDEX('WH Rev &amp; Events Data'!$6:$6,MATCH(W$4,'WH Rev &amp; Events Data'!$8:$8,0))</f>
        <v>DFW</v>
      </c>
      <c r="X3" t="str">
        <f>INDEX('WH Rev &amp; Events Data'!$6:$6,MATCH(X$4,'WH Rev &amp; Events Data'!$8:$8,0))</f>
        <v>DFW</v>
      </c>
      <c r="Y3" t="str">
        <f>INDEX('WH Rev &amp; Events Data'!$6:$6,MATCH(Y$4,'WH Rev &amp; Events Data'!$8:$8,0))</f>
        <v>DFW</v>
      </c>
      <c r="Z3" t="str">
        <f>INDEX('WH Rev &amp; Events Data'!$6:$6,MATCH(Z$4,'WH Rev &amp; Events Data'!$8:$8,0))</f>
        <v>DFW</v>
      </c>
      <c r="AA3" t="str">
        <f>INDEX('WH Rev &amp; Events Data'!$6:$6,MATCH(AA$4,'WH Rev &amp; Events Data'!$8:$8,0))</f>
        <v>DFW</v>
      </c>
      <c r="AB3" t="str">
        <f>INDEX('WH Rev &amp; Events Data'!$6:$6,MATCH(AB$4,'WH Rev &amp; Events Data'!$8:$8,0))</f>
        <v>DFW</v>
      </c>
      <c r="AC3" t="str">
        <f>INDEX('WH Rev &amp; Events Data'!$6:$6,MATCH(AC$4,'WH Rev &amp; Events Data'!$8:$8,0))</f>
        <v>DFW</v>
      </c>
      <c r="AD3" t="str">
        <f>INDEX('WH Rev &amp; Events Data'!$6:$6,MATCH(AD$4,'WH Rev &amp; Events Data'!$8:$8,0))</f>
        <v>DFW</v>
      </c>
      <c r="AE3" t="str">
        <f>INDEX('WH Rev &amp; Events Data'!$6:$6,MATCH(AE$4,'WH Rev &amp; Events Data'!$8:$8,0))</f>
        <v>DFW</v>
      </c>
      <c r="AF3" t="str">
        <f>INDEX('WH Rev &amp; Events Data'!$6:$6,MATCH(AF$4,'WH Rev &amp; Events Data'!$8:$8,0))</f>
        <v>DFW</v>
      </c>
      <c r="AG3" t="str">
        <f>INDEX('WH Rev &amp; Events Data'!$6:$6,MATCH(AG$4,'WH Rev &amp; Events Data'!$8:$8,0))</f>
        <v>DFW</v>
      </c>
      <c r="AH3" t="str">
        <f>INDEX('WH Rev &amp; Events Data'!$6:$6,MATCH(AH$4,'WH Rev &amp; Events Data'!$8:$8,0))</f>
        <v>HC</v>
      </c>
      <c r="AI3" t="e">
        <f>INDEX('WH Rev &amp; Events Data'!$6:$6,MATCH(AI$4,'WH Rev &amp; Events Data'!$8:$8,0))</f>
        <v>#N/A</v>
      </c>
      <c r="AJ3" t="str">
        <f>INDEX('WH Rev &amp; Events Data'!$6:$6,MATCH(AJ$4,'WH Rev &amp; Events Data'!$8:$8,0))</f>
        <v>HC</v>
      </c>
      <c r="AK3" t="str">
        <f>INDEX('WH Rev &amp; Events Data'!$6:$6,MATCH(AK$4,'WH Rev &amp; Events Data'!$8:$8,0))</f>
        <v>HC</v>
      </c>
      <c r="AL3" t="str">
        <f>INDEX('WH Rev &amp; Events Data'!$6:$6,MATCH(AL$4,'WH Rev &amp; Events Data'!$8:$8,0))</f>
        <v>HC</v>
      </c>
      <c r="AM3" t="str">
        <f>INDEX('WH Rev &amp; Events Data'!$6:$6,MATCH(AM$4,'WH Rev &amp; Events Data'!$8:$8,0))</f>
        <v>HC</v>
      </c>
      <c r="AN3" t="str">
        <f>INDEX('WH Rev &amp; Events Data'!$6:$6,MATCH(AN$4,'WH Rev &amp; Events Data'!$8:$8,0))</f>
        <v>HC</v>
      </c>
      <c r="AO3" t="str">
        <f>INDEX('WH Rev &amp; Events Data'!$6:$6,MATCH(AO$4,'WH Rev &amp; Events Data'!$8:$8,0))</f>
        <v>HTX</v>
      </c>
      <c r="AP3" t="str">
        <f>INDEX('WH Rev &amp; Events Data'!$6:$6,MATCH(AP$4,'WH Rev &amp; Events Data'!$8:$8,0))</f>
        <v>HTX</v>
      </c>
      <c r="AQ3" t="e">
        <f>INDEX('WH Rev &amp; Events Data'!$6:$6,MATCH(AQ$4,'WH Rev &amp; Events Data'!$8:$8,0))</f>
        <v>#N/A</v>
      </c>
      <c r="AR3" t="str">
        <f>INDEX('WH Rev &amp; Events Data'!$6:$6,MATCH(AR$4,'WH Rev &amp; Events Data'!$8:$8,0))</f>
        <v>HTX</v>
      </c>
      <c r="AS3" t="str">
        <f>INDEX('WH Rev &amp; Events Data'!$6:$6,MATCH(AS$4,'WH Rev &amp; Events Data'!$8:$8,0))</f>
        <v>HTX</v>
      </c>
      <c r="AT3" t="str">
        <f>INDEX('WH Rev &amp; Events Data'!$6:$6,MATCH(AT$4,'WH Rev &amp; Events Data'!$8:$8,0))</f>
        <v>HTX</v>
      </c>
      <c r="AU3" t="str">
        <f>INDEX('WH Rev &amp; Events Data'!$6:$6,MATCH(AU$4,'WH Rev &amp; Events Data'!$8:$8,0))</f>
        <v>HTX</v>
      </c>
      <c r="AV3" t="str">
        <f>INDEX('WH Rev &amp; Events Data'!$6:$6,MATCH(AV$4,'WH Rev &amp; Events Data'!$8:$8,0))</f>
        <v>HTX</v>
      </c>
      <c r="AW3" t="str">
        <f>INDEX('WH Rev &amp; Events Data'!$6:$6,MATCH(AW$4,'WH Rev &amp; Events Data'!$8:$8,0))</f>
        <v>ATL</v>
      </c>
    </row>
    <row r="4" spans="8:53" ht="58">
      <c r="J4" s="201" t="s">
        <v>348</v>
      </c>
      <c r="K4" s="201" t="s">
        <v>465</v>
      </c>
      <c r="L4" s="201" t="s">
        <v>377</v>
      </c>
      <c r="M4" s="201" t="s">
        <v>369</v>
      </c>
      <c r="N4" s="201" t="s">
        <v>385</v>
      </c>
      <c r="O4" s="201"/>
      <c r="P4" s="201" t="s">
        <v>362</v>
      </c>
      <c r="Q4" s="201" t="s">
        <v>347</v>
      </c>
      <c r="R4" s="201" t="s">
        <v>364</v>
      </c>
      <c r="S4" s="201" t="s">
        <v>350</v>
      </c>
      <c r="T4" s="201" t="s">
        <v>354</v>
      </c>
      <c r="U4" s="201" t="s">
        <v>351</v>
      </c>
      <c r="V4" s="201" t="s">
        <v>365</v>
      </c>
      <c r="W4" s="201" t="s">
        <v>352</v>
      </c>
      <c r="X4" s="201" t="s">
        <v>386</v>
      </c>
      <c r="Y4" s="201" t="s">
        <v>366</v>
      </c>
      <c r="Z4" s="201" t="s">
        <v>353</v>
      </c>
      <c r="AA4" s="201" t="s">
        <v>367</v>
      </c>
      <c r="AB4" s="201" t="s">
        <v>356</v>
      </c>
      <c r="AC4" s="201" t="s">
        <v>357</v>
      </c>
      <c r="AD4" s="201" t="s">
        <v>358</v>
      </c>
      <c r="AE4" s="201" t="s">
        <v>359</v>
      </c>
      <c r="AF4" s="201" t="s">
        <v>360</v>
      </c>
      <c r="AG4" s="201" t="s">
        <v>361</v>
      </c>
      <c r="AH4" s="201" t="s">
        <v>368</v>
      </c>
      <c r="AI4" s="201" t="s">
        <v>451</v>
      </c>
      <c r="AJ4" s="201" t="s">
        <v>371</v>
      </c>
      <c r="AK4" s="201" t="s">
        <v>372</v>
      </c>
      <c r="AL4" s="201" t="s">
        <v>373</v>
      </c>
      <c r="AM4" s="201" t="s">
        <v>374</v>
      </c>
      <c r="AN4" s="201" t="s">
        <v>375</v>
      </c>
      <c r="AO4" s="201" t="s">
        <v>376</v>
      </c>
      <c r="AP4" s="201" t="s">
        <v>378</v>
      </c>
      <c r="AQ4" s="201" t="s">
        <v>452</v>
      </c>
      <c r="AR4" s="201" t="s">
        <v>379</v>
      </c>
      <c r="AS4" s="201" t="s">
        <v>383</v>
      </c>
      <c r="AT4" s="201" t="s">
        <v>380</v>
      </c>
      <c r="AU4" s="201" t="s">
        <v>381</v>
      </c>
      <c r="AV4" s="201" t="s">
        <v>382</v>
      </c>
      <c r="AW4" s="201" t="s">
        <v>384</v>
      </c>
    </row>
    <row r="9" spans="8:53">
      <c r="H9" s="202" t="s">
        <v>0</v>
      </c>
      <c r="I9" s="202"/>
    </row>
    <row r="10" spans="8:53">
      <c r="H10" s="202"/>
      <c r="I10" s="202"/>
    </row>
    <row r="11" spans="8:53" hidden="1" outlineLevel="1">
      <c r="H11" s="203" t="s">
        <v>1</v>
      </c>
      <c r="I11" s="203"/>
      <c r="J11" s="204"/>
      <c r="K11" s="204"/>
      <c r="L11" s="204"/>
      <c r="M11" s="205"/>
      <c r="N11" s="205"/>
      <c r="O11" s="205"/>
      <c r="P11" s="204">
        <v>134.822</v>
      </c>
      <c r="Q11" s="204">
        <v>62.969960000000007</v>
      </c>
      <c r="R11" s="205">
        <v>84.463499999999996</v>
      </c>
      <c r="S11" s="205">
        <v>85.5535</v>
      </c>
      <c r="T11" s="205">
        <v>296.25963999999999</v>
      </c>
      <c r="U11" s="205">
        <v>137.14228</v>
      </c>
      <c r="V11" s="205">
        <v>276.02907999999996</v>
      </c>
      <c r="W11" s="205">
        <v>171.34361000000001</v>
      </c>
      <c r="X11" s="205">
        <v>8.61632</v>
      </c>
      <c r="Y11" s="205">
        <v>63.5075</v>
      </c>
      <c r="Z11" s="205">
        <v>35.265999999999998</v>
      </c>
      <c r="AA11" s="205">
        <v>36.613</v>
      </c>
      <c r="AB11" s="205">
        <v>58.344999999999999</v>
      </c>
      <c r="AC11" s="205">
        <v>182.28066000000001</v>
      </c>
      <c r="AD11" s="205">
        <v>181.61859999999999</v>
      </c>
      <c r="AE11" s="205">
        <v>910.72083000000009</v>
      </c>
      <c r="AF11" s="205">
        <v>57.49192</v>
      </c>
      <c r="AG11" s="205">
        <v>42.600830000000002</v>
      </c>
      <c r="AH11" s="205">
        <v>220.21938</v>
      </c>
      <c r="AI11" s="205">
        <v>173.50302000000002</v>
      </c>
      <c r="AJ11" s="205">
        <v>0</v>
      </c>
      <c r="AK11" s="205">
        <v>55.051839999999999</v>
      </c>
      <c r="AL11" s="205">
        <v>117.39552</v>
      </c>
      <c r="AM11" s="205">
        <v>137.74101000000002</v>
      </c>
      <c r="AN11" s="205">
        <v>53.811250000000001</v>
      </c>
      <c r="AO11" s="205">
        <v>222.03352000000001</v>
      </c>
      <c r="AP11" s="205">
        <v>124.20366</v>
      </c>
      <c r="AQ11" s="205">
        <v>0</v>
      </c>
      <c r="AR11" s="205">
        <v>120.93387000000001</v>
      </c>
      <c r="AS11" s="205">
        <v>18.524000000000001</v>
      </c>
      <c r="AT11" s="205">
        <v>156.75524000000001</v>
      </c>
      <c r="AU11" s="205">
        <v>205.40674999999999</v>
      </c>
      <c r="AV11" s="205">
        <v>712.42084999999997</v>
      </c>
      <c r="AW11" s="205">
        <v>360.47206</v>
      </c>
    </row>
    <row r="12" spans="8:53" hidden="1" outlineLevel="1">
      <c r="H12" s="203" t="s">
        <v>2</v>
      </c>
      <c r="I12" s="203"/>
      <c r="J12" s="204"/>
      <c r="K12" s="204"/>
      <c r="L12" s="204"/>
      <c r="M12" s="205"/>
      <c r="N12" s="205"/>
      <c r="O12" s="205"/>
      <c r="P12" s="204">
        <v>123.45</v>
      </c>
      <c r="Q12" s="204">
        <v>49</v>
      </c>
      <c r="R12" s="205">
        <v>59.174999999999997</v>
      </c>
      <c r="S12" s="205">
        <v>68.5</v>
      </c>
      <c r="T12" s="205">
        <v>211.85</v>
      </c>
      <c r="U12" s="205">
        <v>117.8</v>
      </c>
      <c r="V12" s="205">
        <v>247.45</v>
      </c>
      <c r="W12" s="205">
        <v>152.05000000000001</v>
      </c>
      <c r="X12" s="205">
        <v>0</v>
      </c>
      <c r="Y12" s="205">
        <v>48.95</v>
      </c>
      <c r="Z12" s="205">
        <v>49.15</v>
      </c>
      <c r="AA12" s="205">
        <v>36.200000000000003</v>
      </c>
      <c r="AB12" s="205">
        <v>58.25</v>
      </c>
      <c r="AC12" s="205">
        <v>143.4</v>
      </c>
      <c r="AD12" s="205">
        <v>146.85</v>
      </c>
      <c r="AE12" s="205">
        <v>610.65</v>
      </c>
      <c r="AF12" s="205">
        <v>46.55</v>
      </c>
      <c r="AG12" s="205">
        <v>41</v>
      </c>
      <c r="AH12" s="205">
        <v>208.99509</v>
      </c>
      <c r="AI12" s="205">
        <v>174.97503</v>
      </c>
      <c r="AJ12" s="205">
        <v>0</v>
      </c>
      <c r="AK12" s="205">
        <v>60.9</v>
      </c>
      <c r="AL12" s="205">
        <v>116.2</v>
      </c>
      <c r="AM12" s="205">
        <v>113.65</v>
      </c>
      <c r="AN12" s="205">
        <v>30.95</v>
      </c>
      <c r="AO12" s="205">
        <v>138.47499999999999</v>
      </c>
      <c r="AP12" s="205">
        <v>91.25</v>
      </c>
      <c r="AQ12" s="205">
        <v>0</v>
      </c>
      <c r="AR12" s="205">
        <v>59.95</v>
      </c>
      <c r="AS12" s="205">
        <v>15.7</v>
      </c>
      <c r="AT12" s="205">
        <v>115.15</v>
      </c>
      <c r="AU12" s="205">
        <v>130.9</v>
      </c>
      <c r="AV12" s="205">
        <v>382.82499999999999</v>
      </c>
      <c r="AW12" s="205">
        <v>314.89999999999998</v>
      </c>
    </row>
    <row r="13" spans="8:53" hidden="1" outlineLevel="1">
      <c r="H13" s="203" t="s">
        <v>3</v>
      </c>
      <c r="I13" s="203"/>
      <c r="J13" s="204"/>
      <c r="K13" s="204"/>
      <c r="L13" s="204"/>
      <c r="M13" s="205"/>
      <c r="N13" s="205"/>
      <c r="O13" s="205"/>
      <c r="P13" s="204">
        <v>115.55</v>
      </c>
      <c r="Q13" s="204">
        <v>47.7</v>
      </c>
      <c r="R13" s="205">
        <v>87.724999999999994</v>
      </c>
      <c r="S13" s="205">
        <v>92.7</v>
      </c>
      <c r="T13" s="205">
        <v>178.75</v>
      </c>
      <c r="U13" s="205">
        <v>112.45</v>
      </c>
      <c r="V13" s="205">
        <v>183.47499999999999</v>
      </c>
      <c r="W13" s="205">
        <v>151.05000000000001</v>
      </c>
      <c r="X13" s="205">
        <v>1.1000000000000001</v>
      </c>
      <c r="Y13" s="205">
        <v>44.424999999999997</v>
      </c>
      <c r="Z13" s="205">
        <v>43.75</v>
      </c>
      <c r="AA13" s="205">
        <v>35.975000000000001</v>
      </c>
      <c r="AB13" s="205">
        <v>63.2</v>
      </c>
      <c r="AC13" s="205">
        <v>135.47499999999999</v>
      </c>
      <c r="AD13" s="205">
        <v>160.1</v>
      </c>
      <c r="AE13" s="205">
        <v>301.89999999999998</v>
      </c>
      <c r="AF13" s="205">
        <v>34.549999999999997</v>
      </c>
      <c r="AG13" s="205">
        <v>39.85</v>
      </c>
      <c r="AH13" s="205">
        <v>173.92500000000001</v>
      </c>
      <c r="AI13" s="205">
        <v>126.55</v>
      </c>
      <c r="AJ13" s="205">
        <v>0</v>
      </c>
      <c r="AK13" s="205">
        <v>52.1</v>
      </c>
      <c r="AL13" s="205">
        <v>101.825</v>
      </c>
      <c r="AM13" s="205">
        <v>103.175</v>
      </c>
      <c r="AN13" s="205">
        <v>26.125</v>
      </c>
      <c r="AO13" s="205">
        <v>125.6</v>
      </c>
      <c r="AP13" s="205">
        <v>90.500009999999989</v>
      </c>
      <c r="AQ13" s="205">
        <v>0</v>
      </c>
      <c r="AR13" s="205">
        <v>65.650000000000006</v>
      </c>
      <c r="AS13" s="205">
        <v>9.4499999999999993</v>
      </c>
      <c r="AT13" s="205">
        <v>104.15</v>
      </c>
      <c r="AU13" s="205">
        <v>97.35</v>
      </c>
      <c r="AV13" s="205">
        <v>280.17500000000001</v>
      </c>
      <c r="AW13" s="205">
        <v>473.625</v>
      </c>
    </row>
    <row r="14" spans="8:53" hidden="1" outlineLevel="1">
      <c r="H14" s="203" t="s">
        <v>4</v>
      </c>
      <c r="I14" s="203"/>
      <c r="J14" s="204"/>
      <c r="K14" s="204"/>
      <c r="L14" s="204"/>
      <c r="M14" s="205"/>
      <c r="N14" s="205"/>
      <c r="O14" s="205"/>
      <c r="P14" s="204">
        <v>48.307499999999997</v>
      </c>
      <c r="Q14" s="204">
        <v>25.541250000000002</v>
      </c>
      <c r="R14" s="205">
        <v>34.481250000000003</v>
      </c>
      <c r="S14" s="205">
        <v>29.127500000000001</v>
      </c>
      <c r="T14" s="205">
        <v>78.586250000000007</v>
      </c>
      <c r="U14" s="205">
        <v>42.123750000000001</v>
      </c>
      <c r="V14" s="205">
        <v>78.042500000000004</v>
      </c>
      <c r="W14" s="205">
        <v>70.421250000000001</v>
      </c>
      <c r="X14" s="205">
        <v>0</v>
      </c>
      <c r="Y14" s="205">
        <v>25.585249999999998</v>
      </c>
      <c r="Z14" s="205">
        <v>14.55625</v>
      </c>
      <c r="AA14" s="205">
        <v>19.085000000000001</v>
      </c>
      <c r="AB14" s="205">
        <v>20.15625</v>
      </c>
      <c r="AC14" s="205">
        <v>52.731250000000003</v>
      </c>
      <c r="AD14" s="205">
        <v>59.659750000000003</v>
      </c>
      <c r="AE14" s="205">
        <v>136.77956</v>
      </c>
      <c r="AF14" s="205">
        <v>16.112500000000001</v>
      </c>
      <c r="AG14" s="205">
        <v>24.754999999999999</v>
      </c>
      <c r="AH14" s="205">
        <v>61.914250000000003</v>
      </c>
      <c r="AI14" s="205">
        <v>52.116250000000001</v>
      </c>
      <c r="AJ14" s="205">
        <v>0</v>
      </c>
      <c r="AK14" s="205">
        <v>20.524249999999999</v>
      </c>
      <c r="AL14" s="205">
        <v>37.572499999999998</v>
      </c>
      <c r="AM14" s="205">
        <v>34.70675</v>
      </c>
      <c r="AN14" s="205">
        <v>14.369</v>
      </c>
      <c r="AO14" s="205">
        <v>57.973750000000003</v>
      </c>
      <c r="AP14" s="205">
        <v>35.404000000000003</v>
      </c>
      <c r="AQ14" s="205">
        <v>0</v>
      </c>
      <c r="AR14" s="205">
        <v>27.572749999999999</v>
      </c>
      <c r="AS14" s="205">
        <v>3.7625000000000002</v>
      </c>
      <c r="AT14" s="205">
        <v>40.72625</v>
      </c>
      <c r="AU14" s="205">
        <v>45.204749999999997</v>
      </c>
      <c r="AV14" s="205">
        <v>114.52525</v>
      </c>
      <c r="AW14" s="205">
        <v>155.20075</v>
      </c>
    </row>
    <row r="15" spans="8:53" hidden="1" outlineLevel="1">
      <c r="H15" s="203" t="s">
        <v>5</v>
      </c>
      <c r="I15" s="203"/>
      <c r="J15" s="204"/>
      <c r="K15" s="204"/>
      <c r="L15" s="204"/>
      <c r="M15" s="205"/>
      <c r="N15" s="205"/>
      <c r="O15" s="205"/>
      <c r="P15" s="204">
        <v>51.505000000000003</v>
      </c>
      <c r="Q15" s="204">
        <v>22.907</v>
      </c>
      <c r="R15" s="205">
        <v>35.420999999999999</v>
      </c>
      <c r="S15" s="205">
        <v>31.036999999999999</v>
      </c>
      <c r="T15" s="205">
        <v>94.67</v>
      </c>
      <c r="U15" s="205">
        <v>58.691000000000003</v>
      </c>
      <c r="V15" s="205">
        <v>92.009</v>
      </c>
      <c r="W15" s="205">
        <v>57.848459999999996</v>
      </c>
      <c r="X15" s="205">
        <v>0</v>
      </c>
      <c r="Y15" s="205">
        <v>18.260000000000002</v>
      </c>
      <c r="Z15" s="205">
        <v>22.67</v>
      </c>
      <c r="AA15" s="205">
        <v>16.585000000000001</v>
      </c>
      <c r="AB15" s="205">
        <v>23.2</v>
      </c>
      <c r="AC15" s="205">
        <v>64.063000000000002</v>
      </c>
      <c r="AD15" s="205">
        <v>62.755000000000003</v>
      </c>
      <c r="AE15" s="205">
        <v>155.512</v>
      </c>
      <c r="AF15" s="205">
        <v>17.067</v>
      </c>
      <c r="AG15" s="205">
        <v>18.28</v>
      </c>
      <c r="AH15" s="205">
        <v>72.641000000000005</v>
      </c>
      <c r="AI15" s="205">
        <v>61.15</v>
      </c>
      <c r="AJ15" s="205">
        <v>0</v>
      </c>
      <c r="AK15" s="205">
        <v>19.675000000000001</v>
      </c>
      <c r="AL15" s="205">
        <v>40.35</v>
      </c>
      <c r="AM15" s="205">
        <v>44.994</v>
      </c>
      <c r="AN15" s="205">
        <v>14.486000000000001</v>
      </c>
      <c r="AO15" s="205">
        <v>62.82</v>
      </c>
      <c r="AP15" s="205">
        <v>37.46</v>
      </c>
      <c r="AQ15" s="205">
        <v>0</v>
      </c>
      <c r="AR15" s="205">
        <v>37.481000000000002</v>
      </c>
      <c r="AS15" s="205">
        <v>3.6</v>
      </c>
      <c r="AT15" s="205">
        <v>50.261000000000003</v>
      </c>
      <c r="AU15" s="205">
        <v>51.13</v>
      </c>
      <c r="AV15" s="205">
        <v>139.59399999999999</v>
      </c>
      <c r="AW15" s="205">
        <v>98.951999999999998</v>
      </c>
    </row>
    <row r="16" spans="8:53" hidden="1" outlineLevel="1">
      <c r="H16" s="203" t="s">
        <v>6</v>
      </c>
      <c r="I16" s="203"/>
      <c r="J16" s="204"/>
      <c r="K16" s="204"/>
      <c r="L16" s="204"/>
      <c r="M16" s="205"/>
      <c r="N16" s="205"/>
      <c r="O16" s="205"/>
      <c r="P16" s="204">
        <v>8.25</v>
      </c>
      <c r="Q16" s="204">
        <v>3.25</v>
      </c>
      <c r="R16" s="205">
        <v>8.5</v>
      </c>
      <c r="S16" s="205">
        <v>4.09</v>
      </c>
      <c r="T16" s="205">
        <v>15.317500000000001</v>
      </c>
      <c r="U16" s="205">
        <v>9</v>
      </c>
      <c r="V16" s="205">
        <v>79.875</v>
      </c>
      <c r="W16" s="205">
        <v>9.8699999999999992</v>
      </c>
      <c r="X16" s="205">
        <v>0</v>
      </c>
      <c r="Y16" s="205">
        <v>4</v>
      </c>
      <c r="Z16" s="205">
        <v>3.75</v>
      </c>
      <c r="AA16" s="205">
        <v>2.25</v>
      </c>
      <c r="AB16" s="205">
        <v>4.5</v>
      </c>
      <c r="AC16" s="205">
        <v>14.5</v>
      </c>
      <c r="AD16" s="205">
        <v>9.7899999999999991</v>
      </c>
      <c r="AE16" s="205">
        <v>126.75</v>
      </c>
      <c r="AF16" s="205">
        <v>2.25</v>
      </c>
      <c r="AG16" s="205">
        <v>1.75</v>
      </c>
      <c r="AH16" s="205">
        <v>8.8825000000000003</v>
      </c>
      <c r="AI16" s="205">
        <v>12.25</v>
      </c>
      <c r="AJ16" s="205">
        <v>0</v>
      </c>
      <c r="AK16" s="205">
        <v>3.75</v>
      </c>
      <c r="AL16" s="205">
        <v>7</v>
      </c>
      <c r="AM16" s="205">
        <v>5.5250000000000004</v>
      </c>
      <c r="AN16" s="205">
        <v>0</v>
      </c>
      <c r="AO16" s="205">
        <v>7.75</v>
      </c>
      <c r="AP16" s="205">
        <v>4.5</v>
      </c>
      <c r="AQ16" s="205">
        <v>0</v>
      </c>
      <c r="AR16" s="205">
        <v>2.25</v>
      </c>
      <c r="AS16" s="205">
        <v>0.75</v>
      </c>
      <c r="AT16" s="205">
        <v>5.5</v>
      </c>
      <c r="AU16" s="205">
        <v>5.5</v>
      </c>
      <c r="AV16" s="205">
        <v>33.625</v>
      </c>
      <c r="AW16" s="205">
        <v>54.5</v>
      </c>
    </row>
    <row r="17" spans="1:49" hidden="1" outlineLevel="1">
      <c r="H17" s="203" t="s">
        <v>7</v>
      </c>
      <c r="I17" s="203"/>
      <c r="J17" s="204"/>
      <c r="K17" s="204"/>
      <c r="L17" s="204"/>
      <c r="M17" s="205"/>
      <c r="N17" s="205"/>
      <c r="O17" s="205"/>
      <c r="P17" s="204">
        <v>46.033000000000001</v>
      </c>
      <c r="Q17" s="204">
        <v>21.785</v>
      </c>
      <c r="R17" s="205">
        <v>45.631</v>
      </c>
      <c r="S17" s="205">
        <v>48.802999999999997</v>
      </c>
      <c r="T17" s="205">
        <v>80.61</v>
      </c>
      <c r="U17" s="205">
        <v>31.169</v>
      </c>
      <c r="V17" s="205">
        <v>70.944999999999993</v>
      </c>
      <c r="W17" s="205">
        <v>57.262999999999998</v>
      </c>
      <c r="X17" s="205">
        <v>9.7569999999999997</v>
      </c>
      <c r="Y17" s="205">
        <v>23.4</v>
      </c>
      <c r="Z17" s="205">
        <v>22.593</v>
      </c>
      <c r="AA17" s="205">
        <v>27.212</v>
      </c>
      <c r="AB17" s="205">
        <v>27.1</v>
      </c>
      <c r="AC17" s="205">
        <v>53.067</v>
      </c>
      <c r="AD17" s="205">
        <v>51.177</v>
      </c>
      <c r="AE17" s="205">
        <v>66.962000000000003</v>
      </c>
      <c r="AF17" s="205">
        <v>16.350000000000001</v>
      </c>
      <c r="AG17" s="205">
        <v>24.74</v>
      </c>
      <c r="AH17" s="205">
        <v>64.704999999999998</v>
      </c>
      <c r="AI17" s="205">
        <v>15.669</v>
      </c>
      <c r="AJ17" s="205">
        <v>0</v>
      </c>
      <c r="AK17" s="205">
        <v>19.292999999999999</v>
      </c>
      <c r="AL17" s="205">
        <v>22.460999999999999</v>
      </c>
      <c r="AM17" s="205">
        <v>38.167000000000002</v>
      </c>
      <c r="AN17" s="205">
        <v>10.032</v>
      </c>
      <c r="AO17" s="205">
        <v>41.113999999999997</v>
      </c>
      <c r="AP17" s="205">
        <v>36.164000000000001</v>
      </c>
      <c r="AQ17" s="205">
        <v>3.6046499999999999</v>
      </c>
      <c r="AR17" s="205">
        <v>25.093</v>
      </c>
      <c r="AS17" s="205">
        <v>6.1</v>
      </c>
      <c r="AT17" s="205">
        <v>39.728999999999999</v>
      </c>
      <c r="AU17" s="205">
        <v>30.654</v>
      </c>
      <c r="AV17" s="205">
        <v>71.531999999999996</v>
      </c>
      <c r="AW17" s="205">
        <v>97.114000000000004</v>
      </c>
    </row>
    <row r="18" spans="1:49" hidden="1" outlineLevel="1">
      <c r="H18" s="203" t="s">
        <v>8</v>
      </c>
      <c r="I18" s="203"/>
      <c r="J18" s="204"/>
      <c r="K18" s="204"/>
      <c r="L18" s="204"/>
      <c r="M18" s="205"/>
      <c r="N18" s="205"/>
      <c r="O18" s="205"/>
      <c r="P18" s="204">
        <v>0</v>
      </c>
      <c r="Q18" s="204">
        <v>0</v>
      </c>
      <c r="R18" s="205">
        <v>0</v>
      </c>
      <c r="S18" s="205">
        <v>0</v>
      </c>
      <c r="T18" s="205">
        <v>2.2000000000000002</v>
      </c>
      <c r="U18" s="205">
        <v>0</v>
      </c>
      <c r="V18" s="205">
        <v>4.4000000000000004</v>
      </c>
      <c r="W18" s="205">
        <v>3.96</v>
      </c>
      <c r="X18" s="205">
        <v>0</v>
      </c>
      <c r="Y18" s="205">
        <v>2.64</v>
      </c>
      <c r="Z18" s="205">
        <v>2.2000000000000002</v>
      </c>
      <c r="AA18" s="205">
        <v>0</v>
      </c>
      <c r="AB18" s="205">
        <v>0</v>
      </c>
      <c r="AC18" s="205">
        <v>0</v>
      </c>
      <c r="AD18" s="205">
        <v>2.2000000000000002</v>
      </c>
      <c r="AE18" s="205">
        <v>-3.3</v>
      </c>
      <c r="AF18" s="205">
        <v>0</v>
      </c>
      <c r="AG18" s="205">
        <v>0</v>
      </c>
      <c r="AH18" s="205">
        <v>0</v>
      </c>
      <c r="AI18" s="205">
        <v>0</v>
      </c>
      <c r="AJ18" s="205">
        <v>0</v>
      </c>
      <c r="AK18" s="205">
        <v>2.2000000000000002</v>
      </c>
      <c r="AL18" s="205">
        <v>0</v>
      </c>
      <c r="AM18" s="205">
        <v>0</v>
      </c>
      <c r="AN18" s="205">
        <v>0</v>
      </c>
      <c r="AO18" s="205">
        <v>0</v>
      </c>
      <c r="AP18" s="205">
        <v>0</v>
      </c>
      <c r="AQ18" s="205">
        <v>0</v>
      </c>
      <c r="AR18" s="205">
        <v>0</v>
      </c>
      <c r="AS18" s="205">
        <v>0</v>
      </c>
      <c r="AT18" s="205">
        <v>0</v>
      </c>
      <c r="AU18" s="205">
        <v>0</v>
      </c>
      <c r="AV18" s="205">
        <v>0</v>
      </c>
      <c r="AW18" s="205">
        <v>0</v>
      </c>
    </row>
    <row r="19" spans="1:49" hidden="1" outlineLevel="1">
      <c r="H19" s="203" t="s">
        <v>9</v>
      </c>
      <c r="I19" s="203"/>
      <c r="J19" s="204"/>
      <c r="K19" s="204"/>
      <c r="L19" s="204"/>
      <c r="M19" s="205"/>
      <c r="N19" s="205"/>
      <c r="O19" s="205"/>
      <c r="P19" s="204">
        <v>0</v>
      </c>
      <c r="Q19" s="204">
        <v>0</v>
      </c>
      <c r="R19" s="205">
        <v>0</v>
      </c>
      <c r="S19" s="205">
        <v>0.5</v>
      </c>
      <c r="T19" s="205">
        <v>0.5</v>
      </c>
      <c r="U19" s="205">
        <v>0.5</v>
      </c>
      <c r="V19" s="205">
        <v>0.5</v>
      </c>
      <c r="W19" s="205">
        <v>0</v>
      </c>
      <c r="X19" s="205">
        <v>0</v>
      </c>
      <c r="Y19" s="205">
        <v>0.5</v>
      </c>
      <c r="Z19" s="205">
        <v>0</v>
      </c>
      <c r="AA19" s="205">
        <v>0</v>
      </c>
      <c r="AB19" s="205">
        <v>0</v>
      </c>
      <c r="AC19" s="205">
        <v>0.5</v>
      </c>
      <c r="AD19" s="205">
        <v>0.5</v>
      </c>
      <c r="AE19" s="205">
        <v>0</v>
      </c>
      <c r="AF19" s="205">
        <v>0</v>
      </c>
      <c r="AG19" s="205">
        <v>0</v>
      </c>
      <c r="AH19" s="205">
        <v>0</v>
      </c>
      <c r="AI19" s="205">
        <v>0</v>
      </c>
      <c r="AJ19" s="205">
        <v>0</v>
      </c>
      <c r="AK19" s="205">
        <v>0</v>
      </c>
      <c r="AL19" s="205">
        <v>0</v>
      </c>
      <c r="AM19" s="205">
        <v>0</v>
      </c>
      <c r="AN19" s="205">
        <v>0</v>
      </c>
      <c r="AO19" s="205">
        <v>0</v>
      </c>
      <c r="AP19" s="205">
        <v>0</v>
      </c>
      <c r="AQ19" s="205">
        <v>0</v>
      </c>
      <c r="AR19" s="205">
        <v>0</v>
      </c>
      <c r="AS19" s="205">
        <v>0</v>
      </c>
      <c r="AT19" s="205">
        <v>0</v>
      </c>
      <c r="AU19" s="205">
        <v>0</v>
      </c>
      <c r="AV19" s="205">
        <v>0</v>
      </c>
      <c r="AW19" s="205">
        <v>0</v>
      </c>
    </row>
    <row r="20" spans="1:49" hidden="1" outlineLevel="1">
      <c r="H20" s="203" t="s">
        <v>10</v>
      </c>
      <c r="I20" s="203"/>
      <c r="J20" s="204"/>
      <c r="K20" s="204"/>
      <c r="L20" s="204"/>
      <c r="M20" s="205"/>
      <c r="N20" s="205"/>
      <c r="O20" s="205"/>
      <c r="P20" s="204">
        <v>16.386500000000002</v>
      </c>
      <c r="Q20" s="204">
        <v>9.2349999999999994</v>
      </c>
      <c r="R20" s="205">
        <v>7.6234999999999999</v>
      </c>
      <c r="S20" s="205">
        <v>3.9035000000000002</v>
      </c>
      <c r="T20" s="205">
        <v>12.012600000000001</v>
      </c>
      <c r="U20" s="205">
        <v>18.408999999999999</v>
      </c>
      <c r="V20" s="205">
        <v>-14.492000000000001</v>
      </c>
      <c r="W20" s="205">
        <v>33.135309999999997</v>
      </c>
      <c r="X20" s="205">
        <v>-12.84</v>
      </c>
      <c r="Y20" s="205">
        <v>14.0535</v>
      </c>
      <c r="Z20" s="205">
        <v>8.6255000000000006</v>
      </c>
      <c r="AA20" s="205">
        <v>6.6650100000000005</v>
      </c>
      <c r="AB20" s="205">
        <v>6.6855000000000002</v>
      </c>
      <c r="AC20" s="205">
        <v>16.012499999999999</v>
      </c>
      <c r="AD20" s="205">
        <v>16.523</v>
      </c>
      <c r="AE20" s="205">
        <v>3.0482399999999998</v>
      </c>
      <c r="AF20" s="205">
        <v>20.343</v>
      </c>
      <c r="AG20" s="205">
        <v>8.8800000000000008</v>
      </c>
      <c r="AH20" s="205">
        <v>22.036550000000002</v>
      </c>
      <c r="AI20" s="205">
        <v>54.640999999999998</v>
      </c>
      <c r="AJ20" s="205">
        <v>0</v>
      </c>
      <c r="AK20" s="205">
        <v>9.5909999999999993</v>
      </c>
      <c r="AL20" s="205">
        <v>31.768000000000001</v>
      </c>
      <c r="AM20" s="205">
        <v>6.1310000000000002</v>
      </c>
      <c r="AN20" s="205">
        <v>24.434000000000001</v>
      </c>
      <c r="AO20" s="205">
        <v>9.4369800000000001</v>
      </c>
      <c r="AP20" s="205">
        <v>11.29499</v>
      </c>
      <c r="AQ20" s="205">
        <v>8.3672500000000003</v>
      </c>
      <c r="AR20" s="205">
        <v>15.653499999999999</v>
      </c>
      <c r="AS20" s="205">
        <v>-2.14</v>
      </c>
      <c r="AT20" s="205">
        <v>0.3499899999999998</v>
      </c>
      <c r="AU20" s="205">
        <v>11.337</v>
      </c>
      <c r="AV20" s="205">
        <v>-12.51613</v>
      </c>
      <c r="AW20" s="205">
        <v>-42.015999999999998</v>
      </c>
    </row>
    <row r="21" spans="1:49" hidden="1" outlineLevel="1">
      <c r="H21" s="203" t="s">
        <v>11</v>
      </c>
      <c r="I21" s="203"/>
      <c r="J21" s="204"/>
      <c r="K21" s="204"/>
      <c r="L21" s="204"/>
      <c r="M21" s="205"/>
      <c r="N21" s="205"/>
      <c r="O21" s="205"/>
      <c r="P21" s="204">
        <v>0.75</v>
      </c>
      <c r="Q21" s="204">
        <v>0.75</v>
      </c>
      <c r="R21" s="205">
        <v>1</v>
      </c>
      <c r="S21" s="205">
        <v>1.5</v>
      </c>
      <c r="T21" s="205">
        <v>4.5</v>
      </c>
      <c r="U21" s="205">
        <v>3.25</v>
      </c>
      <c r="V21" s="205">
        <v>6.75</v>
      </c>
      <c r="W21" s="205">
        <v>6.5</v>
      </c>
      <c r="X21" s="205">
        <v>0</v>
      </c>
      <c r="Y21" s="205">
        <v>0.75</v>
      </c>
      <c r="Z21" s="205">
        <v>0.75</v>
      </c>
      <c r="AA21" s="205">
        <v>1</v>
      </c>
      <c r="AB21" s="205">
        <v>1</v>
      </c>
      <c r="AC21" s="205">
        <v>2.25</v>
      </c>
      <c r="AD21" s="205">
        <v>2</v>
      </c>
      <c r="AE21" s="205">
        <v>5</v>
      </c>
      <c r="AF21" s="205">
        <v>0.5</v>
      </c>
      <c r="AG21" s="205">
        <v>0.75</v>
      </c>
      <c r="AH21" s="205">
        <v>4.5</v>
      </c>
      <c r="AI21" s="205">
        <v>4</v>
      </c>
      <c r="AJ21" s="205">
        <v>0</v>
      </c>
      <c r="AK21" s="205">
        <v>1.75</v>
      </c>
      <c r="AL21" s="205">
        <v>2.25</v>
      </c>
      <c r="AM21" s="205">
        <v>2.25</v>
      </c>
      <c r="AN21" s="205">
        <v>1.5</v>
      </c>
      <c r="AO21" s="205">
        <v>3</v>
      </c>
      <c r="AP21" s="205">
        <v>1.5</v>
      </c>
      <c r="AQ21" s="205">
        <v>0</v>
      </c>
      <c r="AR21" s="205">
        <v>1</v>
      </c>
      <c r="AS21" s="205">
        <v>0.5</v>
      </c>
      <c r="AT21" s="205">
        <v>1.25</v>
      </c>
      <c r="AU21" s="205">
        <v>2</v>
      </c>
      <c r="AV21" s="205">
        <v>3.5</v>
      </c>
      <c r="AW21" s="205">
        <v>5</v>
      </c>
    </row>
    <row r="22" spans="1:49" collapsed="1">
      <c r="A22" s="145" t="s">
        <v>12</v>
      </c>
      <c r="H22" s="206" t="s">
        <v>12</v>
      </c>
      <c r="I22" s="206"/>
      <c r="J22" s="207">
        <f>SUMIFS($P22:$AW22,$P$3:$AW$3,J$4)</f>
        <v>9747.4759099999992</v>
      </c>
      <c r="K22" s="207">
        <f>J22-AE22-AF22</f>
        <v>7222.2388599999995</v>
      </c>
      <c r="L22" s="207">
        <f t="shared" ref="L22:N23" si="0">SUMIFS($P22:$AW22,$P$3:$AW$3,L$4)</f>
        <v>4331.34548</v>
      </c>
      <c r="M22" s="207">
        <f t="shared" si="0"/>
        <v>2221.5228900000002</v>
      </c>
      <c r="N22" s="207">
        <f t="shared" si="0"/>
        <v>1517.7478099999998</v>
      </c>
      <c r="O22" s="207"/>
      <c r="P22" s="207">
        <f>SUBTOTAL(9,P11:P21)</f>
        <v>545.05399999999997</v>
      </c>
      <c r="Q22" s="207">
        <f t="shared" ref="Q22:AW22" si="1">SUBTOTAL(9,Q11:Q21)</f>
        <v>243.13821000000002</v>
      </c>
      <c r="R22" s="208">
        <f t="shared" si="1"/>
        <v>364.02024999999998</v>
      </c>
      <c r="S22" s="208">
        <f t="shared" si="1"/>
        <v>365.71449999999993</v>
      </c>
      <c r="T22" s="208">
        <f t="shared" si="1"/>
        <v>975.25599</v>
      </c>
      <c r="U22" s="208">
        <f t="shared" si="1"/>
        <v>530.53503000000001</v>
      </c>
      <c r="V22" s="208">
        <f t="shared" si="1"/>
        <v>1024.9835800000001</v>
      </c>
      <c r="W22" s="208">
        <f t="shared" si="1"/>
        <v>713.44163000000015</v>
      </c>
      <c r="X22" s="208">
        <f t="shared" si="1"/>
        <v>6.6333200000000012</v>
      </c>
      <c r="Y22" s="208">
        <f t="shared" si="1"/>
        <v>246.07124999999996</v>
      </c>
      <c r="Z22" s="208">
        <f t="shared" si="1"/>
        <v>203.31074999999996</v>
      </c>
      <c r="AA22" s="208">
        <f t="shared" si="1"/>
        <v>181.58501000000001</v>
      </c>
      <c r="AB22" s="208">
        <f t="shared" si="1"/>
        <v>262.43675000000002</v>
      </c>
      <c r="AC22" s="208">
        <f t="shared" si="1"/>
        <v>664.2794100000001</v>
      </c>
      <c r="AD22" s="208">
        <f t="shared" si="1"/>
        <v>693.17335000000003</v>
      </c>
      <c r="AE22" s="208">
        <f t="shared" si="1"/>
        <v>2314.0226299999999</v>
      </c>
      <c r="AF22" s="208">
        <f t="shared" si="1"/>
        <v>211.21442000000002</v>
      </c>
      <c r="AG22" s="208">
        <f t="shared" si="1"/>
        <v>202.60583</v>
      </c>
      <c r="AH22" s="208">
        <f t="shared" si="1"/>
        <v>837.8187700000002</v>
      </c>
      <c r="AI22" s="208">
        <f t="shared" si="1"/>
        <v>674.85429999999997</v>
      </c>
      <c r="AJ22" s="208">
        <f t="shared" si="1"/>
        <v>0</v>
      </c>
      <c r="AK22" s="208">
        <f t="shared" si="1"/>
        <v>244.83509000000001</v>
      </c>
      <c r="AL22" s="208">
        <f t="shared" si="1"/>
        <v>476.82202000000007</v>
      </c>
      <c r="AM22" s="208">
        <f t="shared" si="1"/>
        <v>486.33975999999996</v>
      </c>
      <c r="AN22" s="208">
        <f t="shared" si="1"/>
        <v>175.70725000000002</v>
      </c>
      <c r="AO22" s="208">
        <f t="shared" si="1"/>
        <v>668.20325000000003</v>
      </c>
      <c r="AP22" s="208">
        <f t="shared" si="1"/>
        <v>432.27665999999994</v>
      </c>
      <c r="AQ22" s="208">
        <f t="shared" si="1"/>
        <v>11.9719</v>
      </c>
      <c r="AR22" s="208">
        <f t="shared" si="1"/>
        <v>355.58412000000004</v>
      </c>
      <c r="AS22" s="208">
        <f t="shared" si="1"/>
        <v>56.246500000000012</v>
      </c>
      <c r="AT22" s="208">
        <f t="shared" si="1"/>
        <v>513.87148000000013</v>
      </c>
      <c r="AU22" s="208">
        <f t="shared" si="1"/>
        <v>579.48249999999996</v>
      </c>
      <c r="AV22" s="208">
        <f t="shared" si="1"/>
        <v>1725.6809699999999</v>
      </c>
      <c r="AW22" s="208">
        <f t="shared" si="1"/>
        <v>1517.7478099999998</v>
      </c>
    </row>
    <row r="23" spans="1:49">
      <c r="A23" s="121" t="s">
        <v>13</v>
      </c>
      <c r="H23" s="206" t="s">
        <v>13</v>
      </c>
      <c r="I23" s="206"/>
      <c r="J23" s="207">
        <f>SUMIFS($P23:$AW23,$P$3:$AW$3,J$4)</f>
        <v>7969.7325499999997</v>
      </c>
      <c r="K23" s="207">
        <f>J23-AE23-AF23</f>
        <v>6460.8638000000001</v>
      </c>
      <c r="L23" s="207">
        <f t="shared" si="0"/>
        <v>3898.1614199999999</v>
      </c>
      <c r="M23" s="207">
        <f t="shared" si="0"/>
        <v>1734.16157</v>
      </c>
      <c r="N23" s="207">
        <f t="shared" si="0"/>
        <v>1731.7743499999999</v>
      </c>
      <c r="O23" s="208"/>
      <c r="P23" s="207">
        <v>481.74878999999999</v>
      </c>
      <c r="Q23" s="207">
        <v>169.83</v>
      </c>
      <c r="R23" s="208">
        <v>433.35861999999997</v>
      </c>
      <c r="S23" s="208">
        <v>499.34897999999998</v>
      </c>
      <c r="T23" s="208">
        <v>862.06998999999996</v>
      </c>
      <c r="U23" s="208">
        <v>462.54599999999999</v>
      </c>
      <c r="V23" s="208">
        <v>782.70398999999998</v>
      </c>
      <c r="W23" s="208">
        <v>504.88668000000001</v>
      </c>
      <c r="X23" s="208">
        <v>14.751989999999999</v>
      </c>
      <c r="Y23" s="208">
        <v>231.41800000000001</v>
      </c>
      <c r="Z23" s="208">
        <v>239.42082000000002</v>
      </c>
      <c r="AA23" s="208">
        <v>191.72398000000001</v>
      </c>
      <c r="AB23" s="208">
        <v>328.44400000000002</v>
      </c>
      <c r="AC23" s="208">
        <v>608.61398999999994</v>
      </c>
      <c r="AD23" s="208">
        <v>461.95398</v>
      </c>
      <c r="AE23" s="208">
        <v>1290.3354099999999</v>
      </c>
      <c r="AF23" s="208">
        <v>218.53334000000001</v>
      </c>
      <c r="AG23" s="208">
        <v>188.04398999999998</v>
      </c>
      <c r="AH23" s="208">
        <v>661.63763999999992</v>
      </c>
      <c r="AI23" s="208">
        <v>466.53798</v>
      </c>
      <c r="AJ23" s="208">
        <v>0</v>
      </c>
      <c r="AK23" s="208">
        <v>193.60397</v>
      </c>
      <c r="AL23" s="208">
        <v>360.55998</v>
      </c>
      <c r="AM23" s="208">
        <v>390.92498000000001</v>
      </c>
      <c r="AN23" s="208">
        <v>127.435</v>
      </c>
      <c r="AO23" s="208">
        <v>562.31601000000001</v>
      </c>
      <c r="AP23" s="208">
        <v>550.30494999999996</v>
      </c>
      <c r="AQ23" s="208">
        <v>1.518</v>
      </c>
      <c r="AR23" s="208">
        <v>341.06299999999999</v>
      </c>
      <c r="AS23" s="208">
        <v>120.37170999999999</v>
      </c>
      <c r="AT23" s="208">
        <v>401.91399999999999</v>
      </c>
      <c r="AU23" s="208">
        <v>542.04200000000003</v>
      </c>
      <c r="AV23" s="208">
        <v>1380.14975</v>
      </c>
      <c r="AW23" s="208">
        <v>1731.7743499999999</v>
      </c>
    </row>
    <row r="24" spans="1:49" hidden="1" outlineLevel="1">
      <c r="H24" s="203" t="s">
        <v>14</v>
      </c>
      <c r="I24" s="203"/>
      <c r="J24" s="204"/>
      <c r="K24" s="204"/>
      <c r="L24" s="204"/>
      <c r="M24" s="205"/>
      <c r="N24" s="205"/>
      <c r="O24" s="205"/>
      <c r="P24" s="204">
        <v>410.8</v>
      </c>
      <c r="Q24" s="204">
        <v>159.07498999999999</v>
      </c>
      <c r="R24" s="205">
        <v>361.59997999999996</v>
      </c>
      <c r="S24" s="205">
        <v>395.94801000000001</v>
      </c>
      <c r="T24" s="205">
        <v>757.26999000000001</v>
      </c>
      <c r="U24" s="205">
        <v>462.82497999999998</v>
      </c>
      <c r="V24" s="205">
        <v>718.72494999999992</v>
      </c>
      <c r="W24" s="205">
        <v>489.59995999999995</v>
      </c>
      <c r="X24" s="205">
        <v>603.10941000000003</v>
      </c>
      <c r="Y24" s="205">
        <v>218.62496999999999</v>
      </c>
      <c r="Z24" s="205">
        <v>230.3</v>
      </c>
      <c r="AA24" s="205">
        <v>172.72997000000001</v>
      </c>
      <c r="AB24" s="205">
        <v>202.83500000000001</v>
      </c>
      <c r="AC24" s="205">
        <v>464.11095999999998</v>
      </c>
      <c r="AD24" s="205">
        <v>390.10058000000004</v>
      </c>
      <c r="AE24" s="205">
        <v>2089.7498900000001</v>
      </c>
      <c r="AF24" s="205">
        <v>134.50001</v>
      </c>
      <c r="AG24" s="205">
        <v>137.99999</v>
      </c>
      <c r="AH24" s="205">
        <v>679.23840999999993</v>
      </c>
      <c r="AI24" s="205">
        <v>435.63997999999998</v>
      </c>
      <c r="AJ24" s="205">
        <v>0</v>
      </c>
      <c r="AK24" s="205">
        <v>131.89999</v>
      </c>
      <c r="AL24" s="205">
        <v>413.62908999999996</v>
      </c>
      <c r="AM24" s="205">
        <v>338.35699</v>
      </c>
      <c r="AN24" s="205">
        <v>121.44499</v>
      </c>
      <c r="AO24" s="205">
        <v>518.38301999999999</v>
      </c>
      <c r="AP24" s="205">
        <v>400.94999000000001</v>
      </c>
      <c r="AQ24" s="205">
        <v>302.71429999999998</v>
      </c>
      <c r="AR24" s="205">
        <v>324.47498999999999</v>
      </c>
      <c r="AS24" s="205">
        <v>375.70405999999997</v>
      </c>
      <c r="AT24" s="205">
        <v>335.40098</v>
      </c>
      <c r="AU24" s="205">
        <v>644.70001000000002</v>
      </c>
      <c r="AV24" s="205">
        <v>1480.37491</v>
      </c>
      <c r="AW24" s="205">
        <v>1675.95002</v>
      </c>
    </row>
    <row r="25" spans="1:49" hidden="1" outlineLevel="1">
      <c r="H25" s="203" t="s">
        <v>15</v>
      </c>
      <c r="I25" s="203"/>
      <c r="J25" s="204"/>
      <c r="K25" s="204"/>
      <c r="L25" s="204"/>
      <c r="M25" s="205"/>
      <c r="N25" s="205"/>
      <c r="O25" s="205"/>
      <c r="P25" s="204">
        <v>-1.10806</v>
      </c>
      <c r="Q25" s="204">
        <v>-3.59917</v>
      </c>
      <c r="R25" s="205">
        <v>-0.96684000000000003</v>
      </c>
      <c r="S25" s="205">
        <v>-18.735170000000004</v>
      </c>
      <c r="T25" s="205">
        <v>-7.5220000000000011</v>
      </c>
      <c r="U25" s="205">
        <v>-2</v>
      </c>
      <c r="V25" s="205">
        <v>-7.4128400000000001</v>
      </c>
      <c r="W25" s="205">
        <v>-1.0649900000000001</v>
      </c>
      <c r="X25" s="205">
        <v>-1.2593699999999999</v>
      </c>
      <c r="Y25" s="205">
        <v>-5.415</v>
      </c>
      <c r="Z25" s="205">
        <v>0</v>
      </c>
      <c r="AA25" s="205">
        <v>-0.7</v>
      </c>
      <c r="AB25" s="205">
        <v>-0.2</v>
      </c>
      <c r="AC25" s="205">
        <v>-6.2837399999999999</v>
      </c>
      <c r="AD25" s="205">
        <v>-2.2000000000000002</v>
      </c>
      <c r="AE25" s="205">
        <v>-12.64396</v>
      </c>
      <c r="AF25" s="205">
        <v>-2</v>
      </c>
      <c r="AG25" s="205">
        <v>-3.9111500000000001</v>
      </c>
      <c r="AH25" s="205">
        <v>-13.97824</v>
      </c>
      <c r="AI25" s="205">
        <v>-3.3420700000000001</v>
      </c>
      <c r="AJ25" s="205">
        <v>-1.6411300000000002</v>
      </c>
      <c r="AK25" s="205">
        <v>-0.15325</v>
      </c>
      <c r="AL25" s="205">
        <v>-10.788869999999999</v>
      </c>
      <c r="AM25" s="205">
        <v>-5.1561000000000003</v>
      </c>
      <c r="AN25" s="205">
        <v>-13.01965</v>
      </c>
      <c r="AO25" s="205">
        <v>-3.4556399999999998</v>
      </c>
      <c r="AP25" s="205">
        <v>-1.5293299999999999</v>
      </c>
      <c r="AQ25" s="205">
        <v>-4.9306800000000006</v>
      </c>
      <c r="AR25" s="205">
        <v>-3.1429999999999998</v>
      </c>
      <c r="AS25" s="205">
        <v>-0.6</v>
      </c>
      <c r="AT25" s="205">
        <v>-2.5</v>
      </c>
      <c r="AU25" s="205">
        <v>-25.7485</v>
      </c>
      <c r="AV25" s="205">
        <v>-31.91779</v>
      </c>
      <c r="AW25" s="205">
        <v>-29.363979999999998</v>
      </c>
    </row>
    <row r="26" spans="1:49" collapsed="1">
      <c r="A26" s="121" t="s">
        <v>16</v>
      </c>
      <c r="H26" s="206" t="s">
        <v>16</v>
      </c>
      <c r="I26" s="206"/>
      <c r="J26" s="207">
        <f>SUMIFS($P26:$AW26,$P$3:$AW$3,J$4)</f>
        <v>8322.8813499999997</v>
      </c>
      <c r="K26" s="207">
        <f>J26-AE26-AF26</f>
        <v>6113.2754100000002</v>
      </c>
      <c r="L26" s="207">
        <f t="shared" ref="L26:N27" si="2">SUMIFS($P26:$AW26,$P$3:$AW$3,L$4)</f>
        <v>4011.0936999999999</v>
      </c>
      <c r="M26" s="207">
        <f t="shared" si="2"/>
        <v>1639.83223</v>
      </c>
      <c r="N26" s="207">
        <f t="shared" si="2"/>
        <v>1646.5860399999999</v>
      </c>
      <c r="O26" s="208"/>
      <c r="P26" s="207">
        <f>SUBTOTAL(9,P24:P25)</f>
        <v>409.69193999999999</v>
      </c>
      <c r="Q26" s="207">
        <f t="shared" ref="Q26:AW26" si="3">SUBTOTAL(9,Q24:Q25)</f>
        <v>155.47582</v>
      </c>
      <c r="R26" s="208">
        <f t="shared" si="3"/>
        <v>360.63313999999997</v>
      </c>
      <c r="S26" s="208">
        <f t="shared" si="3"/>
        <v>377.21284000000003</v>
      </c>
      <c r="T26" s="208">
        <f t="shared" si="3"/>
        <v>749.74798999999996</v>
      </c>
      <c r="U26" s="208">
        <f t="shared" si="3"/>
        <v>460.82497999999998</v>
      </c>
      <c r="V26" s="208">
        <f t="shared" si="3"/>
        <v>711.31210999999996</v>
      </c>
      <c r="W26" s="208">
        <f t="shared" si="3"/>
        <v>488.53496999999993</v>
      </c>
      <c r="X26" s="208">
        <f t="shared" si="3"/>
        <v>601.85004000000004</v>
      </c>
      <c r="Y26" s="208">
        <f t="shared" si="3"/>
        <v>213.20997</v>
      </c>
      <c r="Z26" s="208">
        <f t="shared" si="3"/>
        <v>230.3</v>
      </c>
      <c r="AA26" s="208">
        <f t="shared" si="3"/>
        <v>172.02997000000002</v>
      </c>
      <c r="AB26" s="208">
        <f t="shared" si="3"/>
        <v>202.63500000000002</v>
      </c>
      <c r="AC26" s="208">
        <f t="shared" si="3"/>
        <v>457.82721999999995</v>
      </c>
      <c r="AD26" s="208">
        <f t="shared" si="3"/>
        <v>387.90058000000005</v>
      </c>
      <c r="AE26" s="208">
        <f t="shared" si="3"/>
        <v>2077.1059300000002</v>
      </c>
      <c r="AF26" s="208">
        <f t="shared" si="3"/>
        <v>132.50001</v>
      </c>
      <c r="AG26" s="208">
        <f t="shared" si="3"/>
        <v>134.08884</v>
      </c>
      <c r="AH26" s="208">
        <f t="shared" si="3"/>
        <v>665.2601699999999</v>
      </c>
      <c r="AI26" s="208">
        <f t="shared" si="3"/>
        <v>432.29791</v>
      </c>
      <c r="AJ26" s="208">
        <f t="shared" si="3"/>
        <v>-1.6411300000000002</v>
      </c>
      <c r="AK26" s="208">
        <f t="shared" si="3"/>
        <v>131.74673999999999</v>
      </c>
      <c r="AL26" s="208">
        <f t="shared" si="3"/>
        <v>402.84021999999999</v>
      </c>
      <c r="AM26" s="208">
        <f t="shared" si="3"/>
        <v>333.20089000000002</v>
      </c>
      <c r="AN26" s="208">
        <f t="shared" si="3"/>
        <v>108.42534000000001</v>
      </c>
      <c r="AO26" s="208">
        <f t="shared" si="3"/>
        <v>514.92737999999997</v>
      </c>
      <c r="AP26" s="208">
        <f t="shared" si="3"/>
        <v>399.42066</v>
      </c>
      <c r="AQ26" s="208">
        <f t="shared" si="3"/>
        <v>297.78361999999998</v>
      </c>
      <c r="AR26" s="208">
        <f t="shared" si="3"/>
        <v>321.33199000000002</v>
      </c>
      <c r="AS26" s="208">
        <f t="shared" si="3"/>
        <v>375.10405999999995</v>
      </c>
      <c r="AT26" s="208">
        <f t="shared" si="3"/>
        <v>332.90098</v>
      </c>
      <c r="AU26" s="208">
        <f t="shared" si="3"/>
        <v>618.95150999999998</v>
      </c>
      <c r="AV26" s="208">
        <f t="shared" si="3"/>
        <v>1448.45712</v>
      </c>
      <c r="AW26" s="208">
        <f t="shared" si="3"/>
        <v>1646.5860399999999</v>
      </c>
    </row>
    <row r="27" spans="1:49">
      <c r="A27" s="121" t="s">
        <v>17</v>
      </c>
      <c r="H27" s="206" t="s">
        <v>17</v>
      </c>
      <c r="I27" s="206"/>
      <c r="J27" s="207">
        <f>SUMIFS($P27:$AW27,$P$3:$AW$3,J$4)</f>
        <v>6093.3021400000007</v>
      </c>
      <c r="K27" s="207">
        <f>J27-AE27-AF27</f>
        <v>4641.1149100000002</v>
      </c>
      <c r="L27" s="207">
        <f t="shared" si="2"/>
        <v>2831.7085699999998</v>
      </c>
      <c r="M27" s="207">
        <f t="shared" si="2"/>
        <v>1323.3471999999999</v>
      </c>
      <c r="N27" s="207">
        <f t="shared" si="2"/>
        <v>1209.20739</v>
      </c>
      <c r="O27" s="208"/>
      <c r="P27" s="207">
        <v>342.89283</v>
      </c>
      <c r="Q27" s="207">
        <v>135.50274999999999</v>
      </c>
      <c r="R27" s="208">
        <v>280.27501000000001</v>
      </c>
      <c r="S27" s="208">
        <v>307.39944000000003</v>
      </c>
      <c r="T27" s="208">
        <v>613.36821999999984</v>
      </c>
      <c r="U27" s="208">
        <v>354.28603000000004</v>
      </c>
      <c r="V27" s="208">
        <v>610.58587000000011</v>
      </c>
      <c r="W27" s="208">
        <v>393.09843000000001</v>
      </c>
      <c r="X27" s="208">
        <v>18.68141</v>
      </c>
      <c r="Y27" s="208">
        <v>167.96350000000004</v>
      </c>
      <c r="Z27" s="208">
        <v>168.11709999999997</v>
      </c>
      <c r="AA27" s="208">
        <v>129.04499999999999</v>
      </c>
      <c r="AB27" s="208">
        <v>200.98913000000002</v>
      </c>
      <c r="AC27" s="208">
        <v>424.23638</v>
      </c>
      <c r="AD27" s="208">
        <v>369.35558000000003</v>
      </c>
      <c r="AE27" s="208">
        <v>1322.1938299999999</v>
      </c>
      <c r="AF27" s="208">
        <v>129.99340000000001</v>
      </c>
      <c r="AG27" s="208">
        <v>125.31823000000001</v>
      </c>
      <c r="AH27" s="208">
        <v>506.27087999999992</v>
      </c>
      <c r="AI27" s="208">
        <v>367.36018999999993</v>
      </c>
      <c r="AJ27" s="208">
        <v>0</v>
      </c>
      <c r="AK27" s="208">
        <v>132.16511</v>
      </c>
      <c r="AL27" s="208">
        <v>299.57390999999996</v>
      </c>
      <c r="AM27" s="208">
        <v>286.13069000000002</v>
      </c>
      <c r="AN27" s="208">
        <v>99.206609999999984</v>
      </c>
      <c r="AO27" s="208">
        <v>412.23424</v>
      </c>
      <c r="AP27" s="208">
        <v>331.69979999999998</v>
      </c>
      <c r="AQ27" s="208">
        <v>0.23701</v>
      </c>
      <c r="AR27" s="208">
        <v>236.98616000000001</v>
      </c>
      <c r="AS27" s="208">
        <v>57.986520000000006</v>
      </c>
      <c r="AT27" s="208">
        <v>296.76039999999995</v>
      </c>
      <c r="AU27" s="208">
        <v>419.18364999999994</v>
      </c>
      <c r="AV27" s="208">
        <v>1076.8578</v>
      </c>
      <c r="AW27" s="208">
        <v>1209.20739</v>
      </c>
    </row>
    <row r="28" spans="1:49" hidden="1" outlineLevel="1">
      <c r="H28" s="203" t="s">
        <v>18</v>
      </c>
      <c r="I28" s="203"/>
      <c r="J28" s="204"/>
      <c r="K28" s="204"/>
      <c r="L28" s="204"/>
      <c r="M28" s="205"/>
      <c r="N28" s="205"/>
      <c r="O28" s="205"/>
      <c r="P28" s="204">
        <v>260.375</v>
      </c>
      <c r="Q28" s="204">
        <v>84.451499999999996</v>
      </c>
      <c r="R28" s="205">
        <v>223.24549999999999</v>
      </c>
      <c r="S28" s="205">
        <v>219.96204999999998</v>
      </c>
      <c r="T28" s="205">
        <v>398.38400000000001</v>
      </c>
      <c r="U28" s="205">
        <v>269.25099999999998</v>
      </c>
      <c r="V28" s="205">
        <v>465.23250000000002</v>
      </c>
      <c r="W28" s="205">
        <v>258.87900000000002</v>
      </c>
      <c r="X28" s="205">
        <v>83.574380000000005</v>
      </c>
      <c r="Y28" s="205">
        <v>136.46700000000001</v>
      </c>
      <c r="Z28" s="205">
        <v>132.7955</v>
      </c>
      <c r="AA28" s="205">
        <v>92</v>
      </c>
      <c r="AB28" s="205">
        <v>193.386</v>
      </c>
      <c r="AC28" s="205">
        <v>328.79730000000001</v>
      </c>
      <c r="AD28" s="205">
        <v>299.29940000000005</v>
      </c>
      <c r="AE28" s="205">
        <v>747.72493999999995</v>
      </c>
      <c r="AF28" s="205">
        <v>105.669</v>
      </c>
      <c r="AG28" s="205">
        <v>94.031499999999994</v>
      </c>
      <c r="AH28" s="205">
        <v>400.10993999999994</v>
      </c>
      <c r="AI28" s="205">
        <v>260.45605</v>
      </c>
      <c r="AJ28" s="205">
        <v>0</v>
      </c>
      <c r="AK28" s="205">
        <v>117.38122</v>
      </c>
      <c r="AL28" s="205">
        <v>240.05199999999999</v>
      </c>
      <c r="AM28" s="205">
        <v>242.83867000000001</v>
      </c>
      <c r="AN28" s="205">
        <v>74.116</v>
      </c>
      <c r="AO28" s="205">
        <v>326.41750000000002</v>
      </c>
      <c r="AP28" s="205">
        <v>293.85750000000002</v>
      </c>
      <c r="AQ28" s="205">
        <v>176.15948</v>
      </c>
      <c r="AR28" s="205">
        <v>205.27499</v>
      </c>
      <c r="AS28" s="205">
        <v>105.69172</v>
      </c>
      <c r="AT28" s="205">
        <v>249.91550000000001</v>
      </c>
      <c r="AU28" s="205">
        <v>342.65499999999997</v>
      </c>
      <c r="AV28" s="205">
        <v>805.04863</v>
      </c>
      <c r="AW28" s="205">
        <v>919.68150000000003</v>
      </c>
    </row>
    <row r="29" spans="1:49" hidden="1" outlineLevel="1">
      <c r="H29" s="203" t="s">
        <v>19</v>
      </c>
      <c r="I29" s="203"/>
      <c r="J29" s="204"/>
      <c r="K29" s="204"/>
      <c r="L29" s="204"/>
      <c r="M29" s="205"/>
      <c r="N29" s="205"/>
      <c r="O29" s="205"/>
      <c r="P29" s="204">
        <v>0.8</v>
      </c>
      <c r="Q29" s="204">
        <v>0.15</v>
      </c>
      <c r="R29" s="205">
        <v>0.3</v>
      </c>
      <c r="S29" s="205">
        <v>0.45</v>
      </c>
      <c r="T29" s="205">
        <v>1.45</v>
      </c>
      <c r="U29" s="205">
        <v>2.7</v>
      </c>
      <c r="V29" s="205">
        <v>1.4</v>
      </c>
      <c r="W29" s="205">
        <v>1.45</v>
      </c>
      <c r="X29" s="205">
        <v>0</v>
      </c>
      <c r="Y29" s="205">
        <v>0.2</v>
      </c>
      <c r="Z29" s="205">
        <v>7.1</v>
      </c>
      <c r="AA29" s="205">
        <v>0</v>
      </c>
      <c r="AB29" s="205">
        <v>1.75</v>
      </c>
      <c r="AC29" s="205">
        <v>0.5</v>
      </c>
      <c r="AD29" s="205">
        <v>0.8</v>
      </c>
      <c r="AE29" s="205">
        <v>7.9</v>
      </c>
      <c r="AF29" s="205">
        <v>0.85</v>
      </c>
      <c r="AG29" s="205">
        <v>0.15</v>
      </c>
      <c r="AH29" s="205">
        <v>1.45</v>
      </c>
      <c r="AI29" s="205">
        <v>3.5</v>
      </c>
      <c r="AJ29" s="205">
        <v>0</v>
      </c>
      <c r="AK29" s="205">
        <v>0</v>
      </c>
      <c r="AL29" s="205">
        <v>0.9</v>
      </c>
      <c r="AM29" s="205">
        <v>0.6</v>
      </c>
      <c r="AN29" s="205">
        <v>0</v>
      </c>
      <c r="AO29" s="205">
        <v>4.5</v>
      </c>
      <c r="AP29" s="205">
        <v>0.5</v>
      </c>
      <c r="AQ29" s="205">
        <v>0</v>
      </c>
      <c r="AR29" s="205">
        <v>1.25</v>
      </c>
      <c r="AS29" s="205">
        <v>3.45</v>
      </c>
      <c r="AT29" s="205">
        <v>0.5</v>
      </c>
      <c r="AU29" s="205">
        <v>2</v>
      </c>
      <c r="AV29" s="205">
        <v>5.6135000000000002</v>
      </c>
      <c r="AW29" s="205">
        <v>0</v>
      </c>
    </row>
    <row r="30" spans="1:49" hidden="1" outlineLevel="1">
      <c r="H30" s="203" t="s">
        <v>20</v>
      </c>
      <c r="I30" s="203"/>
      <c r="J30" s="204"/>
      <c r="K30" s="204"/>
      <c r="L30" s="204"/>
      <c r="M30" s="205"/>
      <c r="N30" s="205"/>
      <c r="O30" s="205"/>
      <c r="P30" s="204">
        <v>20.055</v>
      </c>
      <c r="Q30" s="204">
        <v>9.8469999999999995</v>
      </c>
      <c r="R30" s="205">
        <v>17.565000000000001</v>
      </c>
      <c r="S30" s="205">
        <v>43.472999999999999</v>
      </c>
      <c r="T30" s="205">
        <v>43.871000000000002</v>
      </c>
      <c r="U30" s="205">
        <v>11.759</v>
      </c>
      <c r="V30" s="205">
        <v>23.945</v>
      </c>
      <c r="W30" s="205">
        <v>21.390819999999998</v>
      </c>
      <c r="X30" s="205">
        <v>7.625</v>
      </c>
      <c r="Y30" s="205">
        <v>7.35</v>
      </c>
      <c r="Z30" s="205">
        <v>21.0565</v>
      </c>
      <c r="AA30" s="205">
        <v>14.529</v>
      </c>
      <c r="AB30" s="205">
        <v>5.8760000000000003</v>
      </c>
      <c r="AC30" s="205">
        <v>29.908999999999999</v>
      </c>
      <c r="AD30" s="205">
        <v>14.2295</v>
      </c>
      <c r="AE30" s="205">
        <v>27.96</v>
      </c>
      <c r="AF30" s="205">
        <v>5.1414999999999997</v>
      </c>
      <c r="AG30" s="205">
        <v>4.149</v>
      </c>
      <c r="AH30" s="205">
        <v>12.907999999999999</v>
      </c>
      <c r="AI30" s="205">
        <v>18.143999999999998</v>
      </c>
      <c r="AJ30" s="205">
        <v>0</v>
      </c>
      <c r="AK30" s="205">
        <v>4.165</v>
      </c>
      <c r="AL30" s="205">
        <v>16.265999999999998</v>
      </c>
      <c r="AM30" s="205">
        <v>12.82</v>
      </c>
      <c r="AN30" s="205">
        <v>4.7249999999999996</v>
      </c>
      <c r="AO30" s="205">
        <v>19.416</v>
      </c>
      <c r="AP30" s="205">
        <v>28.09</v>
      </c>
      <c r="AQ30" s="205">
        <v>2.4</v>
      </c>
      <c r="AR30" s="205">
        <v>15.887</v>
      </c>
      <c r="AS30" s="205">
        <v>2.6859999999999999</v>
      </c>
      <c r="AT30" s="205">
        <v>14.25</v>
      </c>
      <c r="AU30" s="205">
        <v>17.96</v>
      </c>
      <c r="AV30" s="205">
        <v>52.12</v>
      </c>
      <c r="AW30" s="205">
        <v>60.808</v>
      </c>
    </row>
    <row r="31" spans="1:49" collapsed="1">
      <c r="A31" s="121" t="s">
        <v>21</v>
      </c>
      <c r="H31" s="206" t="s">
        <v>21</v>
      </c>
      <c r="I31" s="206"/>
      <c r="J31" s="207">
        <f>SUMIFS($P31:$AW31,$P$3:$AW$3,J$4)</f>
        <v>4751.2068900000004</v>
      </c>
      <c r="K31" s="207">
        <f>J31-AE31-AF31</f>
        <v>3855.9614500000007</v>
      </c>
      <c r="L31" s="207">
        <f t="shared" ref="L31:N34" si="4">SUMIFS($P31:$AW31,$P$3:$AW$3,L$4)</f>
        <v>2497.0833400000001</v>
      </c>
      <c r="M31" s="207">
        <f t="shared" si="4"/>
        <v>1128.3318299999999</v>
      </c>
      <c r="N31" s="207">
        <f t="shared" si="4"/>
        <v>980.48950000000002</v>
      </c>
      <c r="O31" s="208"/>
      <c r="P31" s="207">
        <f>SUBTOTAL(9,P28:P30)</f>
        <v>281.23</v>
      </c>
      <c r="Q31" s="207">
        <f t="shared" ref="Q31:AW31" si="5">SUBTOTAL(9,Q28:Q30)</f>
        <v>94.448499999999996</v>
      </c>
      <c r="R31" s="208">
        <f t="shared" si="5"/>
        <v>241.1105</v>
      </c>
      <c r="S31" s="208">
        <f t="shared" si="5"/>
        <v>263.88504999999998</v>
      </c>
      <c r="T31" s="208">
        <f t="shared" si="5"/>
        <v>443.70499999999998</v>
      </c>
      <c r="U31" s="208">
        <f t="shared" si="5"/>
        <v>283.70999999999998</v>
      </c>
      <c r="V31" s="208">
        <f t="shared" si="5"/>
        <v>490.57749999999999</v>
      </c>
      <c r="W31" s="208">
        <f t="shared" si="5"/>
        <v>281.71982000000003</v>
      </c>
      <c r="X31" s="208">
        <f t="shared" si="5"/>
        <v>91.199380000000005</v>
      </c>
      <c r="Y31" s="208">
        <f t="shared" si="5"/>
        <v>144.017</v>
      </c>
      <c r="Z31" s="208">
        <f t="shared" si="5"/>
        <v>160.952</v>
      </c>
      <c r="AA31" s="208">
        <f t="shared" si="5"/>
        <v>106.529</v>
      </c>
      <c r="AB31" s="208">
        <f t="shared" si="5"/>
        <v>201.012</v>
      </c>
      <c r="AC31" s="208">
        <f t="shared" si="5"/>
        <v>359.2063</v>
      </c>
      <c r="AD31" s="208">
        <f t="shared" si="5"/>
        <v>314.32890000000003</v>
      </c>
      <c r="AE31" s="208">
        <f t="shared" si="5"/>
        <v>783.58493999999996</v>
      </c>
      <c r="AF31" s="208">
        <f t="shared" si="5"/>
        <v>111.66049999999998</v>
      </c>
      <c r="AG31" s="208">
        <f t="shared" si="5"/>
        <v>98.330500000000001</v>
      </c>
      <c r="AH31" s="208">
        <f t="shared" si="5"/>
        <v>414.46793999999994</v>
      </c>
      <c r="AI31" s="208">
        <f t="shared" si="5"/>
        <v>282.10005000000001</v>
      </c>
      <c r="AJ31" s="208">
        <f t="shared" si="5"/>
        <v>0</v>
      </c>
      <c r="AK31" s="208">
        <f t="shared" si="5"/>
        <v>121.54622000000001</v>
      </c>
      <c r="AL31" s="208">
        <f t="shared" si="5"/>
        <v>257.21800000000002</v>
      </c>
      <c r="AM31" s="208">
        <f t="shared" si="5"/>
        <v>256.25867</v>
      </c>
      <c r="AN31" s="208">
        <f t="shared" si="5"/>
        <v>78.840999999999994</v>
      </c>
      <c r="AO31" s="208">
        <f t="shared" si="5"/>
        <v>350.33350000000002</v>
      </c>
      <c r="AP31" s="208">
        <f t="shared" si="5"/>
        <v>322.44749999999999</v>
      </c>
      <c r="AQ31" s="208">
        <f t="shared" si="5"/>
        <v>178.55948000000001</v>
      </c>
      <c r="AR31" s="208">
        <f t="shared" si="5"/>
        <v>222.41199</v>
      </c>
      <c r="AS31" s="208">
        <f t="shared" si="5"/>
        <v>111.82772</v>
      </c>
      <c r="AT31" s="208">
        <f t="shared" si="5"/>
        <v>264.66550000000001</v>
      </c>
      <c r="AU31" s="208">
        <f t="shared" si="5"/>
        <v>362.61499999999995</v>
      </c>
      <c r="AV31" s="208">
        <f t="shared" si="5"/>
        <v>862.78213000000005</v>
      </c>
      <c r="AW31" s="208">
        <f t="shared" si="5"/>
        <v>980.48950000000002</v>
      </c>
    </row>
    <row r="32" spans="1:49">
      <c r="A32" s="121" t="s">
        <v>22</v>
      </c>
      <c r="H32" s="206" t="s">
        <v>22</v>
      </c>
      <c r="I32" s="206"/>
      <c r="J32" s="207">
        <f>SUMIFS($P32:$AW32,$P$3:$AW$3,J$4)</f>
        <v>717.19877999999994</v>
      </c>
      <c r="K32" s="207">
        <f>J32-AE32-AF32</f>
        <v>590.91103999999996</v>
      </c>
      <c r="L32" s="207">
        <f t="shared" si="4"/>
        <v>757.72506999999996</v>
      </c>
      <c r="M32" s="207">
        <f t="shared" si="4"/>
        <v>127.98937999999997</v>
      </c>
      <c r="N32" s="207">
        <f t="shared" si="4"/>
        <v>122.14192000000001</v>
      </c>
      <c r="O32" s="208"/>
      <c r="P32" s="207">
        <v>70.948089999999993</v>
      </c>
      <c r="Q32" s="207">
        <v>51.099419999999995</v>
      </c>
      <c r="R32" s="208">
        <v>79.852750000000015</v>
      </c>
      <c r="S32" s="208">
        <v>8.9349599999999985</v>
      </c>
      <c r="T32" s="208">
        <v>95.476570000000009</v>
      </c>
      <c r="U32" s="208">
        <v>11.247449999999999</v>
      </c>
      <c r="V32" s="208">
        <v>76.0488</v>
      </c>
      <c r="W32" s="208">
        <v>12.84737</v>
      </c>
      <c r="X32" s="208">
        <v>29.255650000000003</v>
      </c>
      <c r="Y32" s="208">
        <v>38.32067</v>
      </c>
      <c r="Z32" s="208">
        <v>10.949380000000001</v>
      </c>
      <c r="AA32" s="208">
        <v>19.645150000000001</v>
      </c>
      <c r="AB32" s="208">
        <v>10.478569999999999</v>
      </c>
      <c r="AC32" s="208">
        <v>12.8789</v>
      </c>
      <c r="AD32" s="208">
        <v>51.191209999999998</v>
      </c>
      <c r="AE32" s="208">
        <v>115.79006999999999</v>
      </c>
      <c r="AF32" s="208">
        <v>10.497669999999999</v>
      </c>
      <c r="AG32" s="208">
        <v>11.7361</v>
      </c>
      <c r="AH32" s="208">
        <v>143.41541999999998</v>
      </c>
      <c r="AI32" s="208">
        <v>12.59904</v>
      </c>
      <c r="AJ32" s="208">
        <v>-77.408650000000023</v>
      </c>
      <c r="AK32" s="208">
        <v>16.426729999999999</v>
      </c>
      <c r="AL32" s="208">
        <v>12.936380000000002</v>
      </c>
      <c r="AM32" s="208">
        <v>32.449130000000004</v>
      </c>
      <c r="AN32" s="208">
        <v>0.17036999999999999</v>
      </c>
      <c r="AO32" s="208">
        <v>111.20444999999999</v>
      </c>
      <c r="AP32" s="208">
        <v>83.30974999999998</v>
      </c>
      <c r="AQ32" s="208">
        <v>0</v>
      </c>
      <c r="AR32" s="208">
        <v>14.830089999999998</v>
      </c>
      <c r="AS32" s="208">
        <v>9.9768099999999986</v>
      </c>
      <c r="AT32" s="208">
        <v>27.335189999999997</v>
      </c>
      <c r="AU32" s="208">
        <v>140.93707000000001</v>
      </c>
      <c r="AV32" s="208">
        <v>370.13170999999994</v>
      </c>
      <c r="AW32" s="208">
        <v>122.14192000000001</v>
      </c>
    </row>
    <row r="33" spans="1:49">
      <c r="A33" s="121" t="s">
        <v>23</v>
      </c>
      <c r="H33" s="206" t="s">
        <v>23</v>
      </c>
      <c r="I33" s="206"/>
      <c r="J33" s="207">
        <f>SUMIFS($P33:$AW33,$P$3:$AW$3,J$4)</f>
        <v>0</v>
      </c>
      <c r="K33" s="207">
        <f>J33-AE33-AF33</f>
        <v>0</v>
      </c>
      <c r="L33" s="207">
        <f t="shared" si="4"/>
        <v>0</v>
      </c>
      <c r="M33" s="207">
        <f t="shared" si="4"/>
        <v>0</v>
      </c>
      <c r="N33" s="207">
        <f t="shared" si="4"/>
        <v>0</v>
      </c>
      <c r="O33" s="208"/>
      <c r="P33" s="207">
        <v>0</v>
      </c>
      <c r="Q33" s="207">
        <v>0</v>
      </c>
      <c r="R33" s="208">
        <v>0</v>
      </c>
      <c r="S33" s="208">
        <v>0</v>
      </c>
      <c r="T33" s="208">
        <v>0</v>
      </c>
      <c r="U33" s="208">
        <v>0</v>
      </c>
      <c r="V33" s="208">
        <v>0</v>
      </c>
      <c r="W33" s="208">
        <v>0</v>
      </c>
      <c r="X33" s="208">
        <v>0</v>
      </c>
      <c r="Y33" s="208">
        <v>0</v>
      </c>
      <c r="Z33" s="208">
        <v>0</v>
      </c>
      <c r="AA33" s="208">
        <v>0</v>
      </c>
      <c r="AB33" s="208">
        <v>0</v>
      </c>
      <c r="AC33" s="208">
        <v>0</v>
      </c>
      <c r="AD33" s="208">
        <v>0</v>
      </c>
      <c r="AE33" s="208">
        <v>0</v>
      </c>
      <c r="AF33" s="208">
        <v>0</v>
      </c>
      <c r="AG33" s="208">
        <v>0</v>
      </c>
      <c r="AH33" s="208">
        <v>0</v>
      </c>
      <c r="AI33" s="208">
        <v>0</v>
      </c>
      <c r="AJ33" s="208">
        <v>0</v>
      </c>
      <c r="AK33" s="208">
        <v>0</v>
      </c>
      <c r="AL33" s="208">
        <v>0</v>
      </c>
      <c r="AM33" s="208">
        <v>0</v>
      </c>
      <c r="AN33" s="208">
        <v>0</v>
      </c>
      <c r="AO33" s="208">
        <v>0</v>
      </c>
      <c r="AP33" s="208">
        <v>0</v>
      </c>
      <c r="AQ33" s="208">
        <v>0</v>
      </c>
      <c r="AR33" s="208">
        <v>0</v>
      </c>
      <c r="AS33" s="208">
        <v>0</v>
      </c>
      <c r="AT33" s="208">
        <v>0</v>
      </c>
      <c r="AU33" s="208">
        <v>0</v>
      </c>
      <c r="AV33" s="208">
        <v>0</v>
      </c>
      <c r="AW33" s="208">
        <v>0</v>
      </c>
    </row>
    <row r="34" spans="1:49">
      <c r="A34" s="121" t="s">
        <v>24</v>
      </c>
      <c r="H34" s="206" t="s">
        <v>24</v>
      </c>
      <c r="I34" s="206"/>
      <c r="J34" s="207">
        <f>SUMIFS($P34:$AW34,$P$3:$AW$3,J$4)</f>
        <v>-1498.1671900000003</v>
      </c>
      <c r="K34" s="207">
        <f>J34-AE34-AF34</f>
        <v>-1264.8828400000002</v>
      </c>
      <c r="L34" s="207">
        <f t="shared" si="4"/>
        <v>-1015.9890699999999</v>
      </c>
      <c r="M34" s="207">
        <f t="shared" si="4"/>
        <v>-538.08597999999995</v>
      </c>
      <c r="N34" s="207">
        <f t="shared" si="4"/>
        <v>-154.51201999999998</v>
      </c>
      <c r="O34" s="208"/>
      <c r="P34" s="207">
        <v>-100.74341</v>
      </c>
      <c r="Q34" s="207">
        <v>-32.982680000000002</v>
      </c>
      <c r="R34" s="208">
        <v>-83.898549999999986</v>
      </c>
      <c r="S34" s="208">
        <v>-90.159739999999985</v>
      </c>
      <c r="T34" s="208">
        <v>-151.40605000000002</v>
      </c>
      <c r="U34" s="208">
        <v>-74.326059999999998</v>
      </c>
      <c r="V34" s="208">
        <v>-122.40750999999997</v>
      </c>
      <c r="W34" s="208">
        <v>-137.96481999999997</v>
      </c>
      <c r="X34" s="208">
        <v>-8.543709999999999</v>
      </c>
      <c r="Y34" s="208">
        <v>-52.577889999999996</v>
      </c>
      <c r="Z34" s="208">
        <v>-46.329370000000004</v>
      </c>
      <c r="AA34" s="208">
        <v>-51.780729999999991</v>
      </c>
      <c r="AB34" s="208">
        <v>-50.763909999999996</v>
      </c>
      <c r="AC34" s="208">
        <v>-106.67895</v>
      </c>
      <c r="AD34" s="208">
        <v>-115.66494</v>
      </c>
      <c r="AE34" s="208">
        <v>-197.69368000000003</v>
      </c>
      <c r="AF34" s="208">
        <v>-35.590669999999996</v>
      </c>
      <c r="AG34" s="208">
        <v>-38.654519999999998</v>
      </c>
      <c r="AH34" s="208">
        <v>-224.71293999999997</v>
      </c>
      <c r="AI34" s="208">
        <v>-117.12351</v>
      </c>
      <c r="AJ34" s="208">
        <v>0</v>
      </c>
      <c r="AK34" s="208">
        <v>-60.759260000000005</v>
      </c>
      <c r="AL34" s="208">
        <v>-94.895539999999997</v>
      </c>
      <c r="AM34" s="208">
        <v>-121.11846</v>
      </c>
      <c r="AN34" s="208">
        <v>-36.599779999999996</v>
      </c>
      <c r="AO34" s="208">
        <v>-149.79230000000001</v>
      </c>
      <c r="AP34" s="208">
        <v>-136.28488999999999</v>
      </c>
      <c r="AQ34" s="208">
        <v>-1.6893199999999999</v>
      </c>
      <c r="AR34" s="208">
        <v>-121.58470999999999</v>
      </c>
      <c r="AS34" s="208">
        <v>-13.582950000000002</v>
      </c>
      <c r="AT34" s="208">
        <v>-110.57004999999999</v>
      </c>
      <c r="AU34" s="208">
        <v>-127.35488000000001</v>
      </c>
      <c r="AV34" s="208">
        <v>-356.81928999999997</v>
      </c>
      <c r="AW34" s="208">
        <v>-154.51201999999998</v>
      </c>
    </row>
    <row r="35" spans="1:49" hidden="1" outlineLevel="1">
      <c r="H35" s="203" t="s">
        <v>25</v>
      </c>
      <c r="I35" s="203"/>
      <c r="J35" s="204"/>
      <c r="K35" s="204"/>
      <c r="L35" s="204"/>
      <c r="M35" s="205"/>
      <c r="N35" s="205"/>
      <c r="O35" s="205"/>
      <c r="P35" s="204">
        <v>0</v>
      </c>
      <c r="Q35" s="204">
        <v>0</v>
      </c>
      <c r="R35" s="205">
        <v>0</v>
      </c>
      <c r="S35" s="205">
        <v>0</v>
      </c>
      <c r="T35" s="205">
        <v>0</v>
      </c>
      <c r="U35" s="205">
        <v>0</v>
      </c>
      <c r="V35" s="205">
        <v>0</v>
      </c>
      <c r="W35" s="205">
        <v>0</v>
      </c>
      <c r="X35" s="205">
        <v>0</v>
      </c>
      <c r="Y35" s="205">
        <v>0</v>
      </c>
      <c r="Z35" s="205">
        <v>0</v>
      </c>
      <c r="AA35" s="205">
        <v>0</v>
      </c>
      <c r="AB35" s="205">
        <v>0</v>
      </c>
      <c r="AC35" s="205">
        <v>0</v>
      </c>
      <c r="AD35" s="205">
        <v>0</v>
      </c>
      <c r="AE35" s="205">
        <v>0</v>
      </c>
      <c r="AF35" s="205">
        <v>0</v>
      </c>
      <c r="AG35" s="205">
        <v>0</v>
      </c>
      <c r="AH35" s="205">
        <v>0</v>
      </c>
      <c r="AI35" s="205">
        <v>0</v>
      </c>
      <c r="AJ35" s="205">
        <v>0</v>
      </c>
      <c r="AK35" s="205">
        <v>0</v>
      </c>
      <c r="AL35" s="205">
        <v>0</v>
      </c>
      <c r="AM35" s="205">
        <v>0</v>
      </c>
      <c r="AN35" s="205">
        <v>0</v>
      </c>
      <c r="AO35" s="205">
        <v>0</v>
      </c>
      <c r="AP35" s="205">
        <v>0</v>
      </c>
      <c r="AQ35" s="205">
        <v>0</v>
      </c>
      <c r="AR35" s="205">
        <v>0</v>
      </c>
      <c r="AS35" s="205">
        <v>0</v>
      </c>
      <c r="AT35" s="205">
        <v>0</v>
      </c>
      <c r="AU35" s="205">
        <v>0</v>
      </c>
      <c r="AV35" s="205">
        <v>0</v>
      </c>
      <c r="AW35" s="205">
        <v>0</v>
      </c>
    </row>
    <row r="36" spans="1:49" hidden="1" outlineLevel="1">
      <c r="H36" s="203" t="s">
        <v>26</v>
      </c>
      <c r="I36" s="203"/>
      <c r="J36" s="204"/>
      <c r="K36" s="204"/>
      <c r="L36" s="204"/>
      <c r="M36" s="205"/>
      <c r="N36" s="205"/>
      <c r="O36" s="205"/>
      <c r="P36" s="204">
        <v>0</v>
      </c>
      <c r="Q36" s="204">
        <v>0</v>
      </c>
      <c r="R36" s="205">
        <v>0</v>
      </c>
      <c r="S36" s="205">
        <v>0</v>
      </c>
      <c r="T36" s="205">
        <v>0</v>
      </c>
      <c r="U36" s="205">
        <v>0</v>
      </c>
      <c r="V36" s="205">
        <v>0</v>
      </c>
      <c r="W36" s="205">
        <v>0</v>
      </c>
      <c r="X36" s="205">
        <v>0</v>
      </c>
      <c r="Y36" s="205">
        <v>0</v>
      </c>
      <c r="Z36" s="205">
        <v>0</v>
      </c>
      <c r="AA36" s="205">
        <v>0</v>
      </c>
      <c r="AB36" s="205">
        <v>0</v>
      </c>
      <c r="AC36" s="205">
        <v>0</v>
      </c>
      <c r="AD36" s="205">
        <v>0</v>
      </c>
      <c r="AE36" s="205">
        <v>0</v>
      </c>
      <c r="AF36" s="205">
        <v>0</v>
      </c>
      <c r="AG36" s="205">
        <v>146.209</v>
      </c>
      <c r="AH36" s="205">
        <v>198.55250000000001</v>
      </c>
      <c r="AI36" s="205">
        <v>0</v>
      </c>
      <c r="AJ36" s="205">
        <v>0</v>
      </c>
      <c r="AK36" s="205">
        <v>0</v>
      </c>
      <c r="AL36" s="205">
        <v>0</v>
      </c>
      <c r="AM36" s="205">
        <v>0</v>
      </c>
      <c r="AN36" s="205">
        <v>0</v>
      </c>
      <c r="AO36" s="205">
        <v>0</v>
      </c>
      <c r="AP36" s="205">
        <v>0</v>
      </c>
      <c r="AQ36" s="205">
        <v>0</v>
      </c>
      <c r="AR36" s="205">
        <v>0</v>
      </c>
      <c r="AS36" s="205">
        <v>2.8</v>
      </c>
      <c r="AT36" s="205">
        <v>0</v>
      </c>
      <c r="AU36" s="205">
        <v>107.925</v>
      </c>
      <c r="AV36" s="205">
        <v>17.350000000000001</v>
      </c>
      <c r="AW36" s="205">
        <v>0</v>
      </c>
    </row>
    <row r="37" spans="1:49" hidden="1" outlineLevel="1">
      <c r="H37" s="203" t="s">
        <v>27</v>
      </c>
      <c r="I37" s="203"/>
      <c r="J37" s="204"/>
      <c r="K37" s="204"/>
      <c r="L37" s="204"/>
      <c r="M37" s="205"/>
      <c r="N37" s="205"/>
      <c r="O37" s="205"/>
      <c r="P37" s="204">
        <v>0</v>
      </c>
      <c r="Q37" s="204">
        <v>0</v>
      </c>
      <c r="R37" s="205">
        <v>0</v>
      </c>
      <c r="S37" s="205">
        <v>0</v>
      </c>
      <c r="T37" s="205">
        <v>0</v>
      </c>
      <c r="U37" s="205">
        <v>0</v>
      </c>
      <c r="V37" s="205">
        <v>0</v>
      </c>
      <c r="W37" s="205">
        <v>0</v>
      </c>
      <c r="X37" s="205">
        <v>0</v>
      </c>
      <c r="Y37" s="205">
        <v>0</v>
      </c>
      <c r="Z37" s="205">
        <v>0</v>
      </c>
      <c r="AA37" s="205">
        <v>0</v>
      </c>
      <c r="AB37" s="205">
        <v>0</v>
      </c>
      <c r="AC37" s="205">
        <v>0</v>
      </c>
      <c r="AD37" s="205">
        <v>0</v>
      </c>
      <c r="AE37" s="205">
        <v>0</v>
      </c>
      <c r="AF37" s="205">
        <v>0</v>
      </c>
      <c r="AG37" s="205">
        <v>0</v>
      </c>
      <c r="AH37" s="205">
        <v>0</v>
      </c>
      <c r="AI37" s="205">
        <v>0</v>
      </c>
      <c r="AJ37" s="205">
        <v>0</v>
      </c>
      <c r="AK37" s="205">
        <v>0</v>
      </c>
      <c r="AL37" s="205">
        <v>0</v>
      </c>
      <c r="AM37" s="205">
        <v>0</v>
      </c>
      <c r="AN37" s="205">
        <v>0</v>
      </c>
      <c r="AO37" s="205">
        <v>0</v>
      </c>
      <c r="AP37" s="205">
        <v>0</v>
      </c>
      <c r="AQ37" s="205">
        <v>0</v>
      </c>
      <c r="AR37" s="205">
        <v>0</v>
      </c>
      <c r="AS37" s="205">
        <v>0</v>
      </c>
      <c r="AT37" s="205">
        <v>0</v>
      </c>
      <c r="AU37" s="205">
        <v>0</v>
      </c>
      <c r="AV37" s="205">
        <v>0</v>
      </c>
      <c r="AW37" s="205">
        <v>0</v>
      </c>
    </row>
    <row r="38" spans="1:49" hidden="1" outlineLevel="1">
      <c r="H38" s="203" t="s">
        <v>28</v>
      </c>
      <c r="I38" s="203"/>
      <c r="J38" s="204"/>
      <c r="K38" s="204"/>
      <c r="L38" s="204"/>
      <c r="M38" s="205"/>
      <c r="N38" s="205"/>
      <c r="O38" s="205"/>
      <c r="P38" s="204">
        <v>0</v>
      </c>
      <c r="Q38" s="204">
        <v>0</v>
      </c>
      <c r="R38" s="205">
        <v>0</v>
      </c>
      <c r="S38" s="205">
        <v>0</v>
      </c>
      <c r="T38" s="205">
        <v>0</v>
      </c>
      <c r="U38" s="205">
        <v>0</v>
      </c>
      <c r="V38" s="205">
        <v>0</v>
      </c>
      <c r="W38" s="205">
        <v>0</v>
      </c>
      <c r="X38" s="205">
        <v>0</v>
      </c>
      <c r="Y38" s="205">
        <v>0</v>
      </c>
      <c r="Z38" s="205">
        <v>0</v>
      </c>
      <c r="AA38" s="205">
        <v>0</v>
      </c>
      <c r="AB38" s="205">
        <v>0</v>
      </c>
      <c r="AC38" s="205">
        <v>0</v>
      </c>
      <c r="AD38" s="205">
        <v>0</v>
      </c>
      <c r="AE38" s="205">
        <v>0</v>
      </c>
      <c r="AF38" s="205">
        <v>0</v>
      </c>
      <c r="AG38" s="205">
        <v>0</v>
      </c>
      <c r="AH38" s="205">
        <v>0</v>
      </c>
      <c r="AI38" s="205">
        <v>0</v>
      </c>
      <c r="AJ38" s="205">
        <v>0</v>
      </c>
      <c r="AK38" s="205">
        <v>0</v>
      </c>
      <c r="AL38" s="205">
        <v>0</v>
      </c>
      <c r="AM38" s="205">
        <v>0</v>
      </c>
      <c r="AN38" s="205">
        <v>0</v>
      </c>
      <c r="AO38" s="205">
        <v>0</v>
      </c>
      <c r="AP38" s="205">
        <v>0</v>
      </c>
      <c r="AQ38" s="205">
        <v>0</v>
      </c>
      <c r="AR38" s="205">
        <v>0</v>
      </c>
      <c r="AS38" s="205">
        <v>0</v>
      </c>
      <c r="AT38" s="205">
        <v>0</v>
      </c>
      <c r="AU38" s="205">
        <v>0</v>
      </c>
      <c r="AV38" s="205">
        <v>0</v>
      </c>
      <c r="AW38" s="205">
        <v>0</v>
      </c>
    </row>
    <row r="39" spans="1:49" hidden="1" outlineLevel="1">
      <c r="H39" s="203" t="s">
        <v>29</v>
      </c>
      <c r="I39" s="203"/>
      <c r="J39" s="204"/>
      <c r="K39" s="204"/>
      <c r="L39" s="204"/>
      <c r="M39" s="205"/>
      <c r="N39" s="205"/>
      <c r="O39" s="205"/>
      <c r="P39" s="204">
        <v>0</v>
      </c>
      <c r="Q39" s="204">
        <v>0</v>
      </c>
      <c r="R39" s="205">
        <v>0</v>
      </c>
      <c r="S39" s="205">
        <v>0</v>
      </c>
      <c r="T39" s="205">
        <v>0</v>
      </c>
      <c r="U39" s="205">
        <v>0</v>
      </c>
      <c r="V39" s="205">
        <v>0</v>
      </c>
      <c r="W39" s="205">
        <v>0</v>
      </c>
      <c r="X39" s="205">
        <v>0</v>
      </c>
      <c r="Y39" s="205">
        <v>0</v>
      </c>
      <c r="Z39" s="205">
        <v>0</v>
      </c>
      <c r="AA39" s="205">
        <v>0</v>
      </c>
      <c r="AB39" s="205">
        <v>0</v>
      </c>
      <c r="AC39" s="205">
        <v>0</v>
      </c>
      <c r="AD39" s="205">
        <v>0</v>
      </c>
      <c r="AE39" s="205">
        <v>0</v>
      </c>
      <c r="AF39" s="205">
        <v>0</v>
      </c>
      <c r="AG39" s="205">
        <v>0</v>
      </c>
      <c r="AH39" s="205">
        <v>0</v>
      </c>
      <c r="AI39" s="205">
        <v>0</v>
      </c>
      <c r="AJ39" s="205">
        <v>0</v>
      </c>
      <c r="AK39" s="205">
        <v>0</v>
      </c>
      <c r="AL39" s="205">
        <v>0</v>
      </c>
      <c r="AM39" s="205">
        <v>0</v>
      </c>
      <c r="AN39" s="205">
        <v>0</v>
      </c>
      <c r="AO39" s="205">
        <v>0</v>
      </c>
      <c r="AP39" s="205">
        <v>0</v>
      </c>
      <c r="AQ39" s="205">
        <v>0</v>
      </c>
      <c r="AR39" s="205">
        <v>0</v>
      </c>
      <c r="AS39" s="205">
        <v>0</v>
      </c>
      <c r="AT39" s="205">
        <v>0</v>
      </c>
      <c r="AU39" s="205">
        <v>0</v>
      </c>
      <c r="AV39" s="205">
        <v>0</v>
      </c>
      <c r="AW39" s="205">
        <v>0</v>
      </c>
    </row>
    <row r="40" spans="1:49" hidden="1" outlineLevel="1">
      <c r="H40" s="203" t="s">
        <v>30</v>
      </c>
      <c r="I40" s="203"/>
      <c r="J40" s="204"/>
      <c r="K40" s="204"/>
      <c r="L40" s="204"/>
      <c r="M40" s="205"/>
      <c r="N40" s="205"/>
      <c r="O40" s="205"/>
      <c r="P40" s="204">
        <v>0</v>
      </c>
      <c r="Q40" s="204">
        <v>0</v>
      </c>
      <c r="R40" s="205">
        <v>0</v>
      </c>
      <c r="S40" s="205">
        <v>0</v>
      </c>
      <c r="T40" s="205">
        <v>0</v>
      </c>
      <c r="U40" s="205">
        <v>0</v>
      </c>
      <c r="V40" s="205">
        <v>0</v>
      </c>
      <c r="W40" s="205">
        <v>0</v>
      </c>
      <c r="X40" s="205">
        <v>0</v>
      </c>
      <c r="Y40" s="205">
        <v>0</v>
      </c>
      <c r="Z40" s="205">
        <v>0</v>
      </c>
      <c r="AA40" s="205">
        <v>0</v>
      </c>
      <c r="AB40" s="205">
        <v>0</v>
      </c>
      <c r="AC40" s="205">
        <v>0</v>
      </c>
      <c r="AD40" s="205">
        <v>0</v>
      </c>
      <c r="AE40" s="205">
        <v>0</v>
      </c>
      <c r="AF40" s="205">
        <v>0</v>
      </c>
      <c r="AG40" s="205">
        <v>0</v>
      </c>
      <c r="AH40" s="205">
        <v>0</v>
      </c>
      <c r="AI40" s="205">
        <v>0</v>
      </c>
      <c r="AJ40" s="205">
        <v>0</v>
      </c>
      <c r="AK40" s="205">
        <v>0</v>
      </c>
      <c r="AL40" s="205">
        <v>0</v>
      </c>
      <c r="AM40" s="205">
        <v>0</v>
      </c>
      <c r="AN40" s="205">
        <v>0</v>
      </c>
      <c r="AO40" s="205">
        <v>0</v>
      </c>
      <c r="AP40" s="205">
        <v>0</v>
      </c>
      <c r="AQ40" s="205">
        <v>0</v>
      </c>
      <c r="AR40" s="205">
        <v>0</v>
      </c>
      <c r="AS40" s="205">
        <v>0</v>
      </c>
      <c r="AT40" s="205">
        <v>0</v>
      </c>
      <c r="AU40" s="205">
        <v>0</v>
      </c>
      <c r="AV40" s="205">
        <v>0</v>
      </c>
      <c r="AW40" s="205">
        <v>0</v>
      </c>
    </row>
    <row r="41" spans="1:49" hidden="1" outlineLevel="1">
      <c r="H41" s="203" t="s">
        <v>31</v>
      </c>
      <c r="I41" s="203"/>
      <c r="J41" s="204"/>
      <c r="K41" s="204"/>
      <c r="L41" s="204"/>
      <c r="M41" s="205"/>
      <c r="N41" s="205"/>
      <c r="O41" s="205"/>
      <c r="P41" s="204">
        <v>0</v>
      </c>
      <c r="Q41" s="204">
        <v>0</v>
      </c>
      <c r="R41" s="205">
        <v>0</v>
      </c>
      <c r="S41" s="205">
        <v>0</v>
      </c>
      <c r="T41" s="205">
        <v>0</v>
      </c>
      <c r="U41" s="205">
        <v>0</v>
      </c>
      <c r="V41" s="205">
        <v>0</v>
      </c>
      <c r="W41" s="205">
        <v>0</v>
      </c>
      <c r="X41" s="205">
        <v>0</v>
      </c>
      <c r="Y41" s="205">
        <v>0</v>
      </c>
      <c r="Z41" s="205">
        <v>0</v>
      </c>
      <c r="AA41" s="205">
        <v>0</v>
      </c>
      <c r="AB41" s="205">
        <v>0</v>
      </c>
      <c r="AC41" s="205">
        <v>0</v>
      </c>
      <c r="AD41" s="205">
        <v>0</v>
      </c>
      <c r="AE41" s="205">
        <v>0</v>
      </c>
      <c r="AF41" s="205">
        <v>0</v>
      </c>
      <c r="AG41" s="205">
        <v>0</v>
      </c>
      <c r="AH41" s="205">
        <v>0</v>
      </c>
      <c r="AI41" s="205">
        <v>0</v>
      </c>
      <c r="AJ41" s="205">
        <v>0</v>
      </c>
      <c r="AK41" s="205">
        <v>0</v>
      </c>
      <c r="AL41" s="205">
        <v>0</v>
      </c>
      <c r="AM41" s="205">
        <v>0</v>
      </c>
      <c r="AN41" s="205">
        <v>0</v>
      </c>
      <c r="AO41" s="205">
        <v>0</v>
      </c>
      <c r="AP41" s="205">
        <v>0</v>
      </c>
      <c r="AQ41" s="205">
        <v>0</v>
      </c>
      <c r="AR41" s="205">
        <v>0</v>
      </c>
      <c r="AS41" s="205">
        <v>0</v>
      </c>
      <c r="AT41" s="205">
        <v>0</v>
      </c>
      <c r="AU41" s="205">
        <v>0</v>
      </c>
      <c r="AV41" s="205">
        <v>0</v>
      </c>
      <c r="AW41" s="205">
        <v>0</v>
      </c>
    </row>
    <row r="42" spans="1:49" collapsed="1">
      <c r="A42" s="121" t="s">
        <v>32</v>
      </c>
      <c r="H42" s="206" t="s">
        <v>32</v>
      </c>
      <c r="I42" s="206"/>
      <c r="J42" s="207">
        <f>SUMIFS($P42:$AW42,$P$3:$AW$3,J$4)</f>
        <v>146.209</v>
      </c>
      <c r="K42" s="207">
        <f>J42-AE42-AF42</f>
        <v>146.209</v>
      </c>
      <c r="L42" s="207">
        <f t="shared" ref="L42:N42" si="6">SUMIFS($P42:$AW42,$P$3:$AW$3,L$4)</f>
        <v>128.07499999999999</v>
      </c>
      <c r="M42" s="207">
        <f t="shared" si="6"/>
        <v>198.55250000000001</v>
      </c>
      <c r="N42" s="207">
        <f t="shared" si="6"/>
        <v>0</v>
      </c>
      <c r="O42" s="208"/>
      <c r="P42" s="207">
        <f>SUBTOTAL(9,P35:P41)</f>
        <v>0</v>
      </c>
      <c r="Q42" s="207">
        <f t="shared" ref="Q42:AW42" si="7">SUBTOTAL(9,Q35:Q41)</f>
        <v>0</v>
      </c>
      <c r="R42" s="208">
        <f t="shared" si="7"/>
        <v>0</v>
      </c>
      <c r="S42" s="208">
        <f t="shared" si="7"/>
        <v>0</v>
      </c>
      <c r="T42" s="208">
        <f t="shared" si="7"/>
        <v>0</v>
      </c>
      <c r="U42" s="208">
        <f t="shared" si="7"/>
        <v>0</v>
      </c>
      <c r="V42" s="208">
        <f t="shared" si="7"/>
        <v>0</v>
      </c>
      <c r="W42" s="208">
        <f t="shared" si="7"/>
        <v>0</v>
      </c>
      <c r="X42" s="208">
        <f t="shared" si="7"/>
        <v>0</v>
      </c>
      <c r="Y42" s="208">
        <f t="shared" si="7"/>
        <v>0</v>
      </c>
      <c r="Z42" s="208">
        <f t="shared" si="7"/>
        <v>0</v>
      </c>
      <c r="AA42" s="208">
        <f t="shared" si="7"/>
        <v>0</v>
      </c>
      <c r="AB42" s="208">
        <f t="shared" si="7"/>
        <v>0</v>
      </c>
      <c r="AC42" s="208">
        <f t="shared" si="7"/>
        <v>0</v>
      </c>
      <c r="AD42" s="208">
        <f t="shared" si="7"/>
        <v>0</v>
      </c>
      <c r="AE42" s="208">
        <f t="shared" si="7"/>
        <v>0</v>
      </c>
      <c r="AF42" s="208">
        <f t="shared" si="7"/>
        <v>0</v>
      </c>
      <c r="AG42" s="208">
        <f t="shared" si="7"/>
        <v>146.209</v>
      </c>
      <c r="AH42" s="208">
        <f t="shared" si="7"/>
        <v>198.55250000000001</v>
      </c>
      <c r="AI42" s="208">
        <f t="shared" si="7"/>
        <v>0</v>
      </c>
      <c r="AJ42" s="208">
        <f t="shared" si="7"/>
        <v>0</v>
      </c>
      <c r="AK42" s="208">
        <f t="shared" si="7"/>
        <v>0</v>
      </c>
      <c r="AL42" s="208">
        <f t="shared" si="7"/>
        <v>0</v>
      </c>
      <c r="AM42" s="208">
        <f t="shared" si="7"/>
        <v>0</v>
      </c>
      <c r="AN42" s="208">
        <f t="shared" si="7"/>
        <v>0</v>
      </c>
      <c r="AO42" s="208">
        <f t="shared" si="7"/>
        <v>0</v>
      </c>
      <c r="AP42" s="208">
        <f t="shared" si="7"/>
        <v>0</v>
      </c>
      <c r="AQ42" s="208">
        <f t="shared" si="7"/>
        <v>0</v>
      </c>
      <c r="AR42" s="208">
        <f t="shared" si="7"/>
        <v>0</v>
      </c>
      <c r="AS42" s="208">
        <f t="shared" si="7"/>
        <v>2.8</v>
      </c>
      <c r="AT42" s="208">
        <f t="shared" si="7"/>
        <v>0</v>
      </c>
      <c r="AU42" s="208">
        <f t="shared" si="7"/>
        <v>107.925</v>
      </c>
      <c r="AV42" s="208">
        <f t="shared" si="7"/>
        <v>17.350000000000001</v>
      </c>
      <c r="AW42" s="208">
        <f t="shared" si="7"/>
        <v>0</v>
      </c>
    </row>
    <row r="43" spans="1:49" hidden="1" outlineLevel="1">
      <c r="H43" s="203" t="s">
        <v>33</v>
      </c>
      <c r="I43" s="203"/>
      <c r="J43" s="204"/>
      <c r="K43" s="204"/>
      <c r="L43" s="204"/>
      <c r="M43" s="205"/>
      <c r="N43" s="205"/>
      <c r="O43" s="205"/>
      <c r="P43" s="204">
        <v>0</v>
      </c>
      <c r="Q43" s="204">
        <v>0</v>
      </c>
      <c r="R43" s="205">
        <v>0</v>
      </c>
      <c r="S43" s="205">
        <v>0</v>
      </c>
      <c r="T43" s="205">
        <v>0</v>
      </c>
      <c r="U43" s="205">
        <v>0</v>
      </c>
      <c r="V43" s="205">
        <v>0</v>
      </c>
      <c r="W43" s="205">
        <v>0</v>
      </c>
      <c r="X43" s="205">
        <v>0</v>
      </c>
      <c r="Y43" s="205">
        <v>0</v>
      </c>
      <c r="Z43" s="205">
        <v>0</v>
      </c>
      <c r="AA43" s="205">
        <v>0</v>
      </c>
      <c r="AB43" s="205">
        <v>0</v>
      </c>
      <c r="AC43" s="205">
        <v>0</v>
      </c>
      <c r="AD43" s="205">
        <v>0</v>
      </c>
      <c r="AE43" s="205">
        <v>0</v>
      </c>
      <c r="AF43" s="205">
        <v>0</v>
      </c>
      <c r="AG43" s="205">
        <v>0</v>
      </c>
      <c r="AH43" s="205">
        <v>0</v>
      </c>
      <c r="AI43" s="205">
        <v>0</v>
      </c>
      <c r="AJ43" s="205">
        <v>0</v>
      </c>
      <c r="AK43" s="205">
        <v>0</v>
      </c>
      <c r="AL43" s="205">
        <v>0</v>
      </c>
      <c r="AM43" s="205">
        <v>0</v>
      </c>
      <c r="AN43" s="205">
        <v>0</v>
      </c>
      <c r="AO43" s="205">
        <v>0</v>
      </c>
      <c r="AP43" s="205">
        <v>0</v>
      </c>
      <c r="AQ43" s="205">
        <v>0</v>
      </c>
      <c r="AR43" s="205">
        <v>0</v>
      </c>
      <c r="AS43" s="205">
        <v>0</v>
      </c>
      <c r="AT43" s="205">
        <v>0</v>
      </c>
      <c r="AU43" s="205">
        <v>0</v>
      </c>
      <c r="AV43" s="205">
        <v>0</v>
      </c>
      <c r="AW43" s="205">
        <v>0</v>
      </c>
    </row>
    <row r="44" spans="1:49" hidden="1" outlineLevel="1">
      <c r="H44" s="203" t="s">
        <v>34</v>
      </c>
      <c r="I44" s="203"/>
      <c r="J44" s="204"/>
      <c r="K44" s="204"/>
      <c r="L44" s="204"/>
      <c r="M44" s="205"/>
      <c r="N44" s="205"/>
      <c r="O44" s="205"/>
      <c r="P44" s="204">
        <v>0</v>
      </c>
      <c r="Q44" s="204">
        <v>0</v>
      </c>
      <c r="R44" s="205">
        <v>0</v>
      </c>
      <c r="S44" s="205">
        <v>0</v>
      </c>
      <c r="T44" s="205">
        <v>0</v>
      </c>
      <c r="U44" s="205">
        <v>0</v>
      </c>
      <c r="V44" s="205">
        <v>0</v>
      </c>
      <c r="W44" s="205">
        <v>0</v>
      </c>
      <c r="X44" s="205">
        <v>0</v>
      </c>
      <c r="Y44" s="205">
        <v>0</v>
      </c>
      <c r="Z44" s="205">
        <v>0</v>
      </c>
      <c r="AA44" s="205">
        <v>0</v>
      </c>
      <c r="AB44" s="205">
        <v>0</v>
      </c>
      <c r="AC44" s="205">
        <v>0</v>
      </c>
      <c r="AD44" s="205">
        <v>0</v>
      </c>
      <c r="AE44" s="205">
        <v>0</v>
      </c>
      <c r="AF44" s="205">
        <v>0</v>
      </c>
      <c r="AG44" s="205">
        <v>0</v>
      </c>
      <c r="AH44" s="205">
        <v>0</v>
      </c>
      <c r="AI44" s="205">
        <v>0</v>
      </c>
      <c r="AJ44" s="205">
        <v>0</v>
      </c>
      <c r="AK44" s="205">
        <v>0</v>
      </c>
      <c r="AL44" s="205">
        <v>0</v>
      </c>
      <c r="AM44" s="205">
        <v>0</v>
      </c>
      <c r="AN44" s="205">
        <v>0</v>
      </c>
      <c r="AO44" s="205">
        <v>0</v>
      </c>
      <c r="AP44" s="205">
        <v>0</v>
      </c>
      <c r="AQ44" s="205">
        <v>0</v>
      </c>
      <c r="AR44" s="205">
        <v>0</v>
      </c>
      <c r="AS44" s="205">
        <v>0</v>
      </c>
      <c r="AT44" s="205">
        <v>0</v>
      </c>
      <c r="AU44" s="205">
        <v>0</v>
      </c>
      <c r="AV44" s="205">
        <v>0</v>
      </c>
      <c r="AW44" s="205">
        <v>0</v>
      </c>
    </row>
    <row r="45" spans="1:49" hidden="1" outlineLevel="1">
      <c r="H45" s="203" t="s">
        <v>35</v>
      </c>
      <c r="I45" s="203"/>
      <c r="J45" s="204"/>
      <c r="K45" s="204"/>
      <c r="L45" s="204"/>
      <c r="M45" s="205"/>
      <c r="N45" s="205"/>
      <c r="O45" s="205"/>
      <c r="P45" s="204">
        <v>0</v>
      </c>
      <c r="Q45" s="204">
        <v>0</v>
      </c>
      <c r="R45" s="205">
        <v>0</v>
      </c>
      <c r="S45" s="205">
        <v>0</v>
      </c>
      <c r="T45" s="205">
        <v>0</v>
      </c>
      <c r="U45" s="205">
        <v>0</v>
      </c>
      <c r="V45" s="205">
        <v>0</v>
      </c>
      <c r="W45" s="205">
        <v>0</v>
      </c>
      <c r="X45" s="205">
        <v>0</v>
      </c>
      <c r="Y45" s="205">
        <v>0</v>
      </c>
      <c r="Z45" s="205">
        <v>0</v>
      </c>
      <c r="AA45" s="205">
        <v>0</v>
      </c>
      <c r="AB45" s="205">
        <v>0</v>
      </c>
      <c r="AC45" s="205">
        <v>0</v>
      </c>
      <c r="AD45" s="205">
        <v>0</v>
      </c>
      <c r="AE45" s="205">
        <v>0</v>
      </c>
      <c r="AF45" s="205">
        <v>0</v>
      </c>
      <c r="AG45" s="205">
        <v>0</v>
      </c>
      <c r="AH45" s="205">
        <v>0</v>
      </c>
      <c r="AI45" s="205">
        <v>0</v>
      </c>
      <c r="AJ45" s="205">
        <v>0</v>
      </c>
      <c r="AK45" s="205">
        <v>0</v>
      </c>
      <c r="AL45" s="205">
        <v>0</v>
      </c>
      <c r="AM45" s="205">
        <v>0</v>
      </c>
      <c r="AN45" s="205">
        <v>0</v>
      </c>
      <c r="AO45" s="205">
        <v>0</v>
      </c>
      <c r="AP45" s="205">
        <v>0</v>
      </c>
      <c r="AQ45" s="205">
        <v>0</v>
      </c>
      <c r="AR45" s="205">
        <v>0</v>
      </c>
      <c r="AS45" s="205">
        <v>0</v>
      </c>
      <c r="AT45" s="205">
        <v>0</v>
      </c>
      <c r="AU45" s="205">
        <v>0</v>
      </c>
      <c r="AV45" s="205">
        <v>0</v>
      </c>
      <c r="AW45" s="205">
        <v>0</v>
      </c>
    </row>
    <row r="46" spans="1:49" hidden="1" outlineLevel="1">
      <c r="H46" s="203" t="s">
        <v>36</v>
      </c>
      <c r="I46" s="203"/>
      <c r="J46" s="204"/>
      <c r="K46" s="204"/>
      <c r="L46" s="204"/>
      <c r="M46" s="205"/>
      <c r="N46" s="205"/>
      <c r="O46" s="205"/>
      <c r="P46" s="204">
        <v>0</v>
      </c>
      <c r="Q46" s="204">
        <v>0</v>
      </c>
      <c r="R46" s="205">
        <v>0</v>
      </c>
      <c r="S46" s="205">
        <v>0</v>
      </c>
      <c r="T46" s="205">
        <v>0</v>
      </c>
      <c r="U46" s="205">
        <v>0.22</v>
      </c>
      <c r="V46" s="205">
        <v>0.22</v>
      </c>
      <c r="W46" s="205">
        <v>0</v>
      </c>
      <c r="X46" s="205">
        <v>4.1570000000000003E-2</v>
      </c>
      <c r="Y46" s="205">
        <v>0</v>
      </c>
      <c r="Z46" s="205">
        <v>0</v>
      </c>
      <c r="AA46" s="205">
        <v>0</v>
      </c>
      <c r="AB46" s="205">
        <v>0</v>
      </c>
      <c r="AC46" s="205">
        <v>0</v>
      </c>
      <c r="AD46" s="205">
        <v>0.27500000000000002</v>
      </c>
      <c r="AE46" s="205">
        <v>0.55000000000000004</v>
      </c>
      <c r="AF46" s="205">
        <v>0</v>
      </c>
      <c r="AG46" s="205">
        <v>0</v>
      </c>
      <c r="AH46" s="205">
        <v>0</v>
      </c>
      <c r="AI46" s="205">
        <v>0</v>
      </c>
      <c r="AJ46" s="205">
        <v>0</v>
      </c>
      <c r="AK46" s="205">
        <v>0</v>
      </c>
      <c r="AL46" s="205">
        <v>0</v>
      </c>
      <c r="AM46" s="205">
        <v>0</v>
      </c>
      <c r="AN46" s="205">
        <v>0</v>
      </c>
      <c r="AO46" s="205">
        <v>0</v>
      </c>
      <c r="AP46" s="205">
        <v>0</v>
      </c>
      <c r="AQ46" s="205">
        <v>0</v>
      </c>
      <c r="AR46" s="205">
        <v>0</v>
      </c>
      <c r="AS46" s="205">
        <v>0</v>
      </c>
      <c r="AT46" s="205">
        <v>0</v>
      </c>
      <c r="AU46" s="205">
        <v>0</v>
      </c>
      <c r="AV46" s="205">
        <v>0</v>
      </c>
      <c r="AW46" s="205">
        <v>0</v>
      </c>
    </row>
    <row r="47" spans="1:49" hidden="1" outlineLevel="1">
      <c r="H47" s="203" t="s">
        <v>37</v>
      </c>
      <c r="I47" s="203"/>
      <c r="J47" s="204"/>
      <c r="K47" s="204"/>
      <c r="L47" s="204"/>
      <c r="M47" s="205"/>
      <c r="N47" s="205"/>
      <c r="O47" s="205"/>
      <c r="P47" s="204">
        <v>0</v>
      </c>
      <c r="Q47" s="204">
        <v>0</v>
      </c>
      <c r="R47" s="205">
        <v>0</v>
      </c>
      <c r="S47" s="205">
        <v>0</v>
      </c>
      <c r="T47" s="205">
        <v>0</v>
      </c>
      <c r="U47" s="205">
        <v>0</v>
      </c>
      <c r="V47" s="205">
        <v>0</v>
      </c>
      <c r="W47" s="205">
        <v>0</v>
      </c>
      <c r="X47" s="205">
        <v>0</v>
      </c>
      <c r="Y47" s="205">
        <v>0</v>
      </c>
      <c r="Z47" s="205">
        <v>0</v>
      </c>
      <c r="AA47" s="205">
        <v>0</v>
      </c>
      <c r="AB47" s="205">
        <v>0</v>
      </c>
      <c r="AC47" s="205">
        <v>0</v>
      </c>
      <c r="AD47" s="205">
        <v>0</v>
      </c>
      <c r="AE47" s="205">
        <v>0</v>
      </c>
      <c r="AF47" s="205">
        <v>0</v>
      </c>
      <c r="AG47" s="205">
        <v>0</v>
      </c>
      <c r="AH47" s="205">
        <v>0</v>
      </c>
      <c r="AI47" s="205">
        <v>0</v>
      </c>
      <c r="AJ47" s="205">
        <v>0</v>
      </c>
      <c r="AK47" s="205">
        <v>0</v>
      </c>
      <c r="AL47" s="205">
        <v>0</v>
      </c>
      <c r="AM47" s="205">
        <v>0</v>
      </c>
      <c r="AN47" s="205">
        <v>0</v>
      </c>
      <c r="AO47" s="205">
        <v>0</v>
      </c>
      <c r="AP47" s="205">
        <v>0</v>
      </c>
      <c r="AQ47" s="205">
        <v>0</v>
      </c>
      <c r="AR47" s="205">
        <v>0</v>
      </c>
      <c r="AS47" s="205">
        <v>0</v>
      </c>
      <c r="AT47" s="205">
        <v>0</v>
      </c>
      <c r="AU47" s="205">
        <v>0</v>
      </c>
      <c r="AV47" s="205">
        <v>0</v>
      </c>
      <c r="AW47" s="205">
        <v>0</v>
      </c>
    </row>
    <row r="48" spans="1:49" hidden="1" outlineLevel="1">
      <c r="H48" s="203" t="s">
        <v>38</v>
      </c>
      <c r="I48" s="203"/>
      <c r="J48" s="204"/>
      <c r="K48" s="204"/>
      <c r="L48" s="204"/>
      <c r="M48" s="205"/>
      <c r="N48" s="205"/>
      <c r="O48" s="205"/>
      <c r="P48" s="204">
        <v>0</v>
      </c>
      <c r="Q48" s="204">
        <v>0</v>
      </c>
      <c r="R48" s="205">
        <v>0</v>
      </c>
      <c r="S48" s="205">
        <v>0</v>
      </c>
      <c r="T48" s="205">
        <v>0</v>
      </c>
      <c r="U48" s="205">
        <v>0</v>
      </c>
      <c r="V48" s="205">
        <v>0</v>
      </c>
      <c r="W48" s="205">
        <v>0</v>
      </c>
      <c r="X48" s="205">
        <v>0</v>
      </c>
      <c r="Y48" s="205">
        <v>0</v>
      </c>
      <c r="Z48" s="205">
        <v>0</v>
      </c>
      <c r="AA48" s="205">
        <v>0</v>
      </c>
      <c r="AB48" s="205">
        <v>0</v>
      </c>
      <c r="AC48" s="205">
        <v>0</v>
      </c>
      <c r="AD48" s="205">
        <v>0</v>
      </c>
      <c r="AE48" s="205">
        <v>0</v>
      </c>
      <c r="AF48" s="205">
        <v>0</v>
      </c>
      <c r="AG48" s="205">
        <v>0</v>
      </c>
      <c r="AH48" s="205">
        <v>0</v>
      </c>
      <c r="AI48" s="205">
        <v>0</v>
      </c>
      <c r="AJ48" s="205">
        <v>0</v>
      </c>
      <c r="AK48" s="205">
        <v>0</v>
      </c>
      <c r="AL48" s="205">
        <v>0</v>
      </c>
      <c r="AM48" s="205">
        <v>0</v>
      </c>
      <c r="AN48" s="205">
        <v>0</v>
      </c>
      <c r="AO48" s="205">
        <v>0</v>
      </c>
      <c r="AP48" s="205">
        <v>0</v>
      </c>
      <c r="AQ48" s="205">
        <v>0</v>
      </c>
      <c r="AR48" s="205">
        <v>0</v>
      </c>
      <c r="AS48" s="205">
        <v>0</v>
      </c>
      <c r="AT48" s="205">
        <v>0</v>
      </c>
      <c r="AU48" s="205">
        <v>0</v>
      </c>
      <c r="AV48" s="205">
        <v>0</v>
      </c>
      <c r="AW48" s="205">
        <v>0</v>
      </c>
    </row>
    <row r="49" spans="1:49" hidden="1" outlineLevel="1">
      <c r="H49" s="203" t="s">
        <v>39</v>
      </c>
      <c r="I49" s="203"/>
      <c r="J49" s="204"/>
      <c r="K49" s="204"/>
      <c r="L49" s="204"/>
      <c r="M49" s="205"/>
      <c r="N49" s="205"/>
      <c r="O49" s="205"/>
      <c r="P49" s="204">
        <v>0</v>
      </c>
      <c r="Q49" s="204">
        <v>0</v>
      </c>
      <c r="R49" s="205">
        <v>0</v>
      </c>
      <c r="S49" s="205">
        <v>0</v>
      </c>
      <c r="T49" s="205">
        <v>0</v>
      </c>
      <c r="U49" s="205">
        <v>0</v>
      </c>
      <c r="V49" s="205">
        <v>0</v>
      </c>
      <c r="W49" s="205">
        <v>0</v>
      </c>
      <c r="X49" s="205">
        <v>0</v>
      </c>
      <c r="Y49" s="205">
        <v>0</v>
      </c>
      <c r="Z49" s="205">
        <v>0</v>
      </c>
      <c r="AA49" s="205">
        <v>0</v>
      </c>
      <c r="AB49" s="205">
        <v>0</v>
      </c>
      <c r="AC49" s="205">
        <v>0</v>
      </c>
      <c r="AD49" s="205">
        <v>0</v>
      </c>
      <c r="AE49" s="205">
        <v>0</v>
      </c>
      <c r="AF49" s="205">
        <v>0</v>
      </c>
      <c r="AG49" s="205">
        <v>0</v>
      </c>
      <c r="AH49" s="205">
        <v>0</v>
      </c>
      <c r="AI49" s="205">
        <v>0</v>
      </c>
      <c r="AJ49" s="205">
        <v>0</v>
      </c>
      <c r="AK49" s="205">
        <v>0</v>
      </c>
      <c r="AL49" s="205">
        <v>0</v>
      </c>
      <c r="AM49" s="205">
        <v>0</v>
      </c>
      <c r="AN49" s="205">
        <v>0</v>
      </c>
      <c r="AO49" s="205">
        <v>0</v>
      </c>
      <c r="AP49" s="205">
        <v>0</v>
      </c>
      <c r="AQ49" s="205">
        <v>0</v>
      </c>
      <c r="AR49" s="205">
        <v>1.575</v>
      </c>
      <c r="AS49" s="205">
        <v>0</v>
      </c>
      <c r="AT49" s="205">
        <v>0</v>
      </c>
      <c r="AU49" s="205">
        <v>0</v>
      </c>
      <c r="AV49" s="205">
        <v>0</v>
      </c>
      <c r="AW49" s="205">
        <v>0</v>
      </c>
    </row>
    <row r="50" spans="1:49" hidden="1" outlineLevel="1">
      <c r="H50" s="203" t="s">
        <v>40</v>
      </c>
      <c r="I50" s="203"/>
      <c r="J50" s="204"/>
      <c r="K50" s="204"/>
      <c r="L50" s="204"/>
      <c r="M50" s="205"/>
      <c r="N50" s="205"/>
      <c r="O50" s="205"/>
      <c r="P50" s="204">
        <v>0</v>
      </c>
      <c r="Q50" s="204">
        <v>0</v>
      </c>
      <c r="R50" s="205">
        <v>0</v>
      </c>
      <c r="S50" s="205">
        <v>0</v>
      </c>
      <c r="T50" s="205">
        <v>0</v>
      </c>
      <c r="U50" s="205">
        <v>0</v>
      </c>
      <c r="V50" s="205">
        <v>0</v>
      </c>
      <c r="W50" s="205">
        <v>0</v>
      </c>
      <c r="X50" s="205">
        <v>0</v>
      </c>
      <c r="Y50" s="205">
        <v>0</v>
      </c>
      <c r="Z50" s="205">
        <v>0</v>
      </c>
      <c r="AA50" s="205">
        <v>0</v>
      </c>
      <c r="AB50" s="205">
        <v>0</v>
      </c>
      <c r="AC50" s="205">
        <v>0</v>
      </c>
      <c r="AD50" s="205">
        <v>0</v>
      </c>
      <c r="AE50" s="205">
        <v>0</v>
      </c>
      <c r="AF50" s="205">
        <v>0</v>
      </c>
      <c r="AG50" s="205">
        <v>0</v>
      </c>
      <c r="AH50" s="205">
        <v>0</v>
      </c>
      <c r="AI50" s="205">
        <v>0</v>
      </c>
      <c r="AJ50" s="205">
        <v>0</v>
      </c>
      <c r="AK50" s="205">
        <v>0</v>
      </c>
      <c r="AL50" s="205">
        <v>0</v>
      </c>
      <c r="AM50" s="205">
        <v>0</v>
      </c>
      <c r="AN50" s="205">
        <v>0</v>
      </c>
      <c r="AO50" s="205">
        <v>0</v>
      </c>
      <c r="AP50" s="205">
        <v>0</v>
      </c>
      <c r="AQ50" s="205">
        <v>0</v>
      </c>
      <c r="AR50" s="205">
        <v>0</v>
      </c>
      <c r="AS50" s="205">
        <v>0</v>
      </c>
      <c r="AT50" s="205">
        <v>0</v>
      </c>
      <c r="AU50" s="205">
        <v>0</v>
      </c>
      <c r="AV50" s="205">
        <v>0</v>
      </c>
      <c r="AW50" s="205">
        <v>0</v>
      </c>
    </row>
    <row r="51" spans="1:49" hidden="1" outlineLevel="1">
      <c r="H51" s="203" t="s">
        <v>41</v>
      </c>
      <c r="I51" s="203"/>
      <c r="J51" s="204"/>
      <c r="K51" s="204"/>
      <c r="L51" s="204"/>
      <c r="M51" s="205"/>
      <c r="N51" s="205"/>
      <c r="O51" s="205"/>
      <c r="P51" s="204">
        <v>0</v>
      </c>
      <c r="Q51" s="204">
        <v>0</v>
      </c>
      <c r="R51" s="205">
        <v>-0.35</v>
      </c>
      <c r="S51" s="205">
        <v>0</v>
      </c>
      <c r="T51" s="205">
        <v>0</v>
      </c>
      <c r="U51" s="205">
        <v>0</v>
      </c>
      <c r="V51" s="205">
        <v>0</v>
      </c>
      <c r="W51" s="205">
        <v>0</v>
      </c>
      <c r="X51" s="205">
        <v>0</v>
      </c>
      <c r="Y51" s="205">
        <v>0</v>
      </c>
      <c r="Z51" s="205">
        <v>0</v>
      </c>
      <c r="AA51" s="205">
        <v>0</v>
      </c>
      <c r="AB51" s="205">
        <v>0</v>
      </c>
      <c r="AC51" s="205">
        <v>0</v>
      </c>
      <c r="AD51" s="205">
        <v>0</v>
      </c>
      <c r="AE51" s="205">
        <v>0</v>
      </c>
      <c r="AF51" s="205">
        <v>0</v>
      </c>
      <c r="AG51" s="205">
        <v>0</v>
      </c>
      <c r="AH51" s="205">
        <v>0</v>
      </c>
      <c r="AI51" s="205">
        <v>0</v>
      </c>
      <c r="AJ51" s="205">
        <v>0</v>
      </c>
      <c r="AK51" s="205">
        <v>0</v>
      </c>
      <c r="AL51" s="205">
        <v>0</v>
      </c>
      <c r="AM51" s="205">
        <v>0</v>
      </c>
      <c r="AN51" s="205">
        <v>0</v>
      </c>
      <c r="AO51" s="205">
        <v>0</v>
      </c>
      <c r="AP51" s="205">
        <v>0</v>
      </c>
      <c r="AQ51" s="205">
        <v>0</v>
      </c>
      <c r="AR51" s="205">
        <v>0</v>
      </c>
      <c r="AS51" s="205">
        <v>0</v>
      </c>
      <c r="AT51" s="205">
        <v>0</v>
      </c>
      <c r="AU51" s="205">
        <v>0</v>
      </c>
      <c r="AV51" s="205">
        <v>0</v>
      </c>
      <c r="AW51" s="205">
        <v>0</v>
      </c>
    </row>
    <row r="52" spans="1:49" hidden="1" outlineLevel="1">
      <c r="H52" s="203" t="s">
        <v>42</v>
      </c>
      <c r="I52" s="203"/>
      <c r="J52" s="204"/>
      <c r="K52" s="204"/>
      <c r="L52" s="204"/>
      <c r="M52" s="205"/>
      <c r="N52" s="205"/>
      <c r="O52" s="205"/>
      <c r="P52" s="204">
        <v>0</v>
      </c>
      <c r="Q52" s="204">
        <v>0</v>
      </c>
      <c r="R52" s="205">
        <v>0</v>
      </c>
      <c r="S52" s="205">
        <v>0</v>
      </c>
      <c r="T52" s="205">
        <v>0</v>
      </c>
      <c r="U52" s="205">
        <v>0</v>
      </c>
      <c r="V52" s="205">
        <v>0</v>
      </c>
      <c r="W52" s="205">
        <v>0</v>
      </c>
      <c r="X52" s="205">
        <v>0</v>
      </c>
      <c r="Y52" s="205">
        <v>0</v>
      </c>
      <c r="Z52" s="205">
        <v>0</v>
      </c>
      <c r="AA52" s="205">
        <v>0</v>
      </c>
      <c r="AB52" s="205">
        <v>0</v>
      </c>
      <c r="AC52" s="205">
        <v>0</v>
      </c>
      <c r="AD52" s="205">
        <v>0</v>
      </c>
      <c r="AE52" s="205">
        <v>0</v>
      </c>
      <c r="AF52" s="205">
        <v>0</v>
      </c>
      <c r="AG52" s="205">
        <v>0</v>
      </c>
      <c r="AH52" s="205">
        <v>0</v>
      </c>
      <c r="AI52" s="205">
        <v>0</v>
      </c>
      <c r="AJ52" s="205">
        <v>0</v>
      </c>
      <c r="AK52" s="205">
        <v>0</v>
      </c>
      <c r="AL52" s="205">
        <v>0</v>
      </c>
      <c r="AM52" s="205">
        <v>0</v>
      </c>
      <c r="AN52" s="205">
        <v>0</v>
      </c>
      <c r="AO52" s="205">
        <v>0</v>
      </c>
      <c r="AP52" s="205">
        <v>0</v>
      </c>
      <c r="AQ52" s="205">
        <v>0</v>
      </c>
      <c r="AR52" s="205">
        <v>0</v>
      </c>
      <c r="AS52" s="205">
        <v>0</v>
      </c>
      <c r="AT52" s="205">
        <v>0</v>
      </c>
      <c r="AU52" s="205">
        <v>0</v>
      </c>
      <c r="AV52" s="205">
        <v>0</v>
      </c>
      <c r="AW52" s="205">
        <v>0</v>
      </c>
    </row>
    <row r="53" spans="1:49" hidden="1" outlineLevel="1">
      <c r="H53" s="203" t="s">
        <v>43</v>
      </c>
      <c r="I53" s="203"/>
      <c r="J53" s="204"/>
      <c r="K53" s="204"/>
      <c r="L53" s="204"/>
      <c r="M53" s="205"/>
      <c r="N53" s="205"/>
      <c r="O53" s="205"/>
      <c r="P53" s="204">
        <v>0</v>
      </c>
      <c r="Q53" s="204">
        <v>0</v>
      </c>
      <c r="R53" s="205">
        <v>0</v>
      </c>
      <c r="S53" s="205">
        <v>0</v>
      </c>
      <c r="T53" s="205">
        <v>0</v>
      </c>
      <c r="U53" s="205">
        <v>0</v>
      </c>
      <c r="V53" s="205">
        <v>0</v>
      </c>
      <c r="W53" s="205">
        <v>0</v>
      </c>
      <c r="X53" s="205">
        <v>0</v>
      </c>
      <c r="Y53" s="205">
        <v>0</v>
      </c>
      <c r="Z53" s="205">
        <v>0</v>
      </c>
      <c r="AA53" s="205">
        <v>0</v>
      </c>
      <c r="AB53" s="205">
        <v>0</v>
      </c>
      <c r="AC53" s="205">
        <v>0</v>
      </c>
      <c r="AD53" s="205">
        <v>0</v>
      </c>
      <c r="AE53" s="205">
        <v>0</v>
      </c>
      <c r="AF53" s="205">
        <v>0</v>
      </c>
      <c r="AG53" s="205">
        <v>0</v>
      </c>
      <c r="AH53" s="205">
        <v>0</v>
      </c>
      <c r="AI53" s="205">
        <v>0</v>
      </c>
      <c r="AJ53" s="205">
        <v>0</v>
      </c>
      <c r="AK53" s="205">
        <v>0</v>
      </c>
      <c r="AL53" s="205">
        <v>0</v>
      </c>
      <c r="AM53" s="205">
        <v>0</v>
      </c>
      <c r="AN53" s="205">
        <v>0</v>
      </c>
      <c r="AO53" s="205">
        <v>0</v>
      </c>
      <c r="AP53" s="205">
        <v>0</v>
      </c>
      <c r="AQ53" s="205">
        <v>0</v>
      </c>
      <c r="AR53" s="205">
        <v>0</v>
      </c>
      <c r="AS53" s="205">
        <v>0</v>
      </c>
      <c r="AT53" s="205">
        <v>0</v>
      </c>
      <c r="AU53" s="205">
        <v>0</v>
      </c>
      <c r="AV53" s="205">
        <v>0</v>
      </c>
      <c r="AW53" s="205">
        <v>0</v>
      </c>
    </row>
    <row r="54" spans="1:49" hidden="1" outlineLevel="1">
      <c r="H54" s="203" t="s">
        <v>44</v>
      </c>
      <c r="I54" s="203"/>
      <c r="J54" s="204"/>
      <c r="K54" s="204"/>
      <c r="L54" s="204"/>
      <c r="M54" s="205"/>
      <c r="N54" s="205"/>
      <c r="O54" s="205"/>
      <c r="P54" s="204">
        <v>0</v>
      </c>
      <c r="Q54" s="204">
        <v>0</v>
      </c>
      <c r="R54" s="205">
        <v>0</v>
      </c>
      <c r="S54" s="205">
        <v>0</v>
      </c>
      <c r="T54" s="205">
        <v>0</v>
      </c>
      <c r="U54" s="205">
        <v>0</v>
      </c>
      <c r="V54" s="205">
        <v>0</v>
      </c>
      <c r="W54" s="205">
        <v>0</v>
      </c>
      <c r="X54" s="205">
        <v>0</v>
      </c>
      <c r="Y54" s="205">
        <v>0</v>
      </c>
      <c r="Z54" s="205">
        <v>0</v>
      </c>
      <c r="AA54" s="205">
        <v>0</v>
      </c>
      <c r="AB54" s="205">
        <v>0</v>
      </c>
      <c r="AC54" s="205">
        <v>0</v>
      </c>
      <c r="AD54" s="205">
        <v>0</v>
      </c>
      <c r="AE54" s="205">
        <v>0.5</v>
      </c>
      <c r="AF54" s="205">
        <v>0</v>
      </c>
      <c r="AG54" s="205">
        <v>0</v>
      </c>
      <c r="AH54" s="205">
        <v>0.15</v>
      </c>
      <c r="AI54" s="205">
        <v>0</v>
      </c>
      <c r="AJ54" s="205">
        <v>0</v>
      </c>
      <c r="AK54" s="205">
        <v>0</v>
      </c>
      <c r="AL54" s="205">
        <v>0</v>
      </c>
      <c r="AM54" s="205">
        <v>0.75</v>
      </c>
      <c r="AN54" s="205">
        <v>0</v>
      </c>
      <c r="AO54" s="205">
        <v>0</v>
      </c>
      <c r="AP54" s="205">
        <v>0</v>
      </c>
      <c r="AQ54" s="205">
        <v>0</v>
      </c>
      <c r="AR54" s="205">
        <v>0</v>
      </c>
      <c r="AS54" s="205">
        <v>0</v>
      </c>
      <c r="AT54" s="205">
        <v>0</v>
      </c>
      <c r="AU54" s="205">
        <v>4.2</v>
      </c>
      <c r="AV54" s="205">
        <v>2.0499999999999998</v>
      </c>
      <c r="AW54" s="205">
        <v>0</v>
      </c>
    </row>
    <row r="55" spans="1:49" collapsed="1">
      <c r="A55" s="121" t="s">
        <v>45</v>
      </c>
      <c r="H55" s="206" t="s">
        <v>45</v>
      </c>
      <c r="I55" s="206"/>
      <c r="J55" s="207">
        <f>SUMIFS($P55:$AW55,$P$3:$AW$3,J$4)</f>
        <v>1.4565700000000001</v>
      </c>
      <c r="K55" s="207">
        <f>J55-AE55-AF55</f>
        <v>0.4065700000000001</v>
      </c>
      <c r="L55" s="207">
        <f t="shared" ref="L55:N55" si="8">SUMIFS($P55:$AW55,$P$3:$AW$3,L$4)</f>
        <v>7.8250000000000002</v>
      </c>
      <c r="M55" s="207">
        <f t="shared" si="8"/>
        <v>0.9</v>
      </c>
      <c r="N55" s="207">
        <f t="shared" si="8"/>
        <v>0</v>
      </c>
      <c r="O55" s="208"/>
      <c r="P55" s="207">
        <f>SUBTOTAL(9,P43:P54)</f>
        <v>0</v>
      </c>
      <c r="Q55" s="207">
        <f t="shared" ref="Q55:AW55" si="9">SUBTOTAL(9,Q43:Q54)</f>
        <v>0</v>
      </c>
      <c r="R55" s="208">
        <f t="shared" si="9"/>
        <v>-0.35</v>
      </c>
      <c r="S55" s="208">
        <f t="shared" si="9"/>
        <v>0</v>
      </c>
      <c r="T55" s="208">
        <f t="shared" si="9"/>
        <v>0</v>
      </c>
      <c r="U55" s="208">
        <f t="shared" si="9"/>
        <v>0.22</v>
      </c>
      <c r="V55" s="208">
        <f t="shared" si="9"/>
        <v>0.22</v>
      </c>
      <c r="W55" s="208">
        <f t="shared" si="9"/>
        <v>0</v>
      </c>
      <c r="X55" s="208">
        <f t="shared" si="9"/>
        <v>4.1570000000000003E-2</v>
      </c>
      <c r="Y55" s="208">
        <f t="shared" si="9"/>
        <v>0</v>
      </c>
      <c r="Z55" s="208">
        <f t="shared" si="9"/>
        <v>0</v>
      </c>
      <c r="AA55" s="208">
        <f t="shared" si="9"/>
        <v>0</v>
      </c>
      <c r="AB55" s="208">
        <f t="shared" si="9"/>
        <v>0</v>
      </c>
      <c r="AC55" s="208">
        <f t="shared" si="9"/>
        <v>0</v>
      </c>
      <c r="AD55" s="208">
        <f t="shared" si="9"/>
        <v>0.27500000000000002</v>
      </c>
      <c r="AE55" s="208">
        <f t="shared" si="9"/>
        <v>1.05</v>
      </c>
      <c r="AF55" s="208">
        <f t="shared" si="9"/>
        <v>0</v>
      </c>
      <c r="AG55" s="208">
        <f t="shared" si="9"/>
        <v>0</v>
      </c>
      <c r="AH55" s="208">
        <f t="shared" si="9"/>
        <v>0.15</v>
      </c>
      <c r="AI55" s="208">
        <f t="shared" si="9"/>
        <v>0</v>
      </c>
      <c r="AJ55" s="208">
        <f t="shared" si="9"/>
        <v>0</v>
      </c>
      <c r="AK55" s="208">
        <f t="shared" si="9"/>
        <v>0</v>
      </c>
      <c r="AL55" s="208">
        <f t="shared" si="9"/>
        <v>0</v>
      </c>
      <c r="AM55" s="208">
        <f t="shared" si="9"/>
        <v>0.75</v>
      </c>
      <c r="AN55" s="208">
        <f t="shared" si="9"/>
        <v>0</v>
      </c>
      <c r="AO55" s="208">
        <f t="shared" si="9"/>
        <v>0</v>
      </c>
      <c r="AP55" s="208">
        <f t="shared" si="9"/>
        <v>0</v>
      </c>
      <c r="AQ55" s="208">
        <f t="shared" si="9"/>
        <v>0</v>
      </c>
      <c r="AR55" s="208">
        <f t="shared" si="9"/>
        <v>1.575</v>
      </c>
      <c r="AS55" s="208">
        <f t="shared" si="9"/>
        <v>0</v>
      </c>
      <c r="AT55" s="208">
        <f t="shared" si="9"/>
        <v>0</v>
      </c>
      <c r="AU55" s="208">
        <f t="shared" si="9"/>
        <v>4.2</v>
      </c>
      <c r="AV55" s="208">
        <f t="shared" si="9"/>
        <v>2.0499999999999998</v>
      </c>
      <c r="AW55" s="208">
        <f t="shared" si="9"/>
        <v>0</v>
      </c>
    </row>
    <row r="56" spans="1:49">
      <c r="H56" s="209"/>
      <c r="I56" s="209"/>
      <c r="J56" s="207"/>
      <c r="K56" s="207"/>
      <c r="L56" s="207"/>
      <c r="M56" s="208"/>
      <c r="N56" s="208"/>
      <c r="O56" s="208"/>
      <c r="P56" s="207"/>
      <c r="Q56" s="207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</row>
    <row r="57" spans="1:49">
      <c r="A57" t="s">
        <v>0</v>
      </c>
      <c r="H57" s="210" t="s">
        <v>396</v>
      </c>
      <c r="I57" s="210"/>
      <c r="J57" s="211">
        <f t="shared" ref="J57:N57" si="10">SUBTOTAL(9,J11:J55)</f>
        <v>36251.296000000002</v>
      </c>
      <c r="K57" s="211">
        <f t="shared" ref="K57" si="11">SUBTOTAL(9,K11:K55)</f>
        <v>27766.098199999997</v>
      </c>
      <c r="L57" s="211">
        <f t="shared" si="10"/>
        <v>17447.028510000004</v>
      </c>
      <c r="M57" s="211">
        <f t="shared" si="10"/>
        <v>7836.5516200000002</v>
      </c>
      <c r="N57" s="211">
        <f t="shared" si="10"/>
        <v>7053.4349899999997</v>
      </c>
      <c r="O57" s="208"/>
      <c r="P57" s="211">
        <f>SUBTOTAL(9,P11:P55)</f>
        <v>2030.8222399999995</v>
      </c>
      <c r="Q57" s="211">
        <f t="shared" ref="Q57:AW57" si="12">SUBTOTAL(9,Q11:Q55)</f>
        <v>816.51202000000001</v>
      </c>
      <c r="R57" s="212">
        <f t="shared" si="12"/>
        <v>1675.0017200000002</v>
      </c>
      <c r="S57" s="212">
        <f t="shared" si="12"/>
        <v>1732.3360300000002</v>
      </c>
      <c r="T57" s="212">
        <f t="shared" si="12"/>
        <v>3588.2177099999999</v>
      </c>
      <c r="U57" s="212">
        <f t="shared" si="12"/>
        <v>2029.0434299999997</v>
      </c>
      <c r="V57" s="212">
        <f t="shared" si="12"/>
        <v>3574.0243399999999</v>
      </c>
      <c r="W57" s="212">
        <f t="shared" si="12"/>
        <v>2256.5640799999996</v>
      </c>
      <c r="X57" s="212">
        <f t="shared" si="12"/>
        <v>753.86965000000009</v>
      </c>
      <c r="Y57" s="212">
        <f t="shared" si="12"/>
        <v>988.42250000000013</v>
      </c>
      <c r="Z57" s="212">
        <f t="shared" si="12"/>
        <v>966.72068000000002</v>
      </c>
      <c r="AA57" s="212">
        <f t="shared" si="12"/>
        <v>748.77737999999999</v>
      </c>
      <c r="AB57" s="212">
        <f t="shared" si="12"/>
        <v>1155.2315400000002</v>
      </c>
      <c r="AC57" s="212">
        <f t="shared" si="12"/>
        <v>2420.3632500000003</v>
      </c>
      <c r="AD57" s="212">
        <f t="shared" si="12"/>
        <v>2162.5136600000001</v>
      </c>
      <c r="AE57" s="212">
        <f t="shared" si="12"/>
        <v>7706.3891299999996</v>
      </c>
      <c r="AF57" s="212">
        <f t="shared" si="12"/>
        <v>778.80866999999989</v>
      </c>
      <c r="AG57" s="212">
        <f t="shared" si="12"/>
        <v>867.67796999999973</v>
      </c>
      <c r="AH57" s="212">
        <f t="shared" si="12"/>
        <v>3202.8603799999996</v>
      </c>
      <c r="AI57" s="212">
        <f t="shared" si="12"/>
        <v>2118.6259599999998</v>
      </c>
      <c r="AJ57" s="212">
        <f t="shared" si="12"/>
        <v>-79.049780000000027</v>
      </c>
      <c r="AK57" s="212">
        <f t="shared" si="12"/>
        <v>779.56460000000004</v>
      </c>
      <c r="AL57" s="212">
        <f t="shared" si="12"/>
        <v>1715.0549699999999</v>
      </c>
      <c r="AM57" s="212">
        <f t="shared" si="12"/>
        <v>1664.9356599999999</v>
      </c>
      <c r="AN57" s="212">
        <f t="shared" si="12"/>
        <v>553.18579</v>
      </c>
      <c r="AO57" s="212">
        <f t="shared" si="12"/>
        <v>2469.4265300000002</v>
      </c>
      <c r="AP57" s="212">
        <f t="shared" si="12"/>
        <v>1983.17443</v>
      </c>
      <c r="AQ57" s="212">
        <f t="shared" si="12"/>
        <v>488.3806899999999</v>
      </c>
      <c r="AR57" s="212">
        <f t="shared" si="12"/>
        <v>1372.1976399999999</v>
      </c>
      <c r="AS57" s="212">
        <f t="shared" si="12"/>
        <v>720.73037000000011</v>
      </c>
      <c r="AT57" s="212">
        <f t="shared" si="12"/>
        <v>1726.8775000000001</v>
      </c>
      <c r="AU57" s="212">
        <f t="shared" si="12"/>
        <v>2647.9818500000001</v>
      </c>
      <c r="AV57" s="212">
        <f t="shared" si="12"/>
        <v>6526.6401900000001</v>
      </c>
      <c r="AW57" s="212">
        <f t="shared" si="12"/>
        <v>7053.4349899999997</v>
      </c>
    </row>
    <row r="58" spans="1:49">
      <c r="H58" s="213"/>
      <c r="I58" s="213"/>
      <c r="J58" s="61"/>
      <c r="K58" s="61"/>
      <c r="L58" s="61"/>
      <c r="P58" s="61"/>
      <c r="Q58" s="61"/>
    </row>
    <row r="59" spans="1:49">
      <c r="H59" s="213"/>
      <c r="I59" s="213"/>
      <c r="J59" s="61"/>
      <c r="K59" s="61"/>
      <c r="L59" s="61"/>
      <c r="P59" s="61"/>
      <c r="Q59" s="61"/>
    </row>
    <row r="60" spans="1:49">
      <c r="H60" s="202" t="s">
        <v>397</v>
      </c>
      <c r="I60" s="202"/>
      <c r="J60" s="61"/>
      <c r="K60" s="61"/>
      <c r="L60" s="61"/>
      <c r="P60" s="61"/>
      <c r="Q60" s="61"/>
    </row>
    <row r="61" spans="1:49">
      <c r="H61" s="206"/>
      <c r="I61" s="206"/>
      <c r="J61" s="61"/>
      <c r="K61" s="61"/>
      <c r="L61" s="61"/>
      <c r="P61" s="61"/>
      <c r="Q61" s="61"/>
    </row>
    <row r="62" spans="1:49" hidden="1" outlineLevel="1">
      <c r="H62" s="203" t="s">
        <v>46</v>
      </c>
      <c r="I62" s="203"/>
      <c r="J62" s="204"/>
      <c r="K62" s="204"/>
      <c r="L62" s="204"/>
      <c r="M62" s="205"/>
      <c r="N62" s="205"/>
      <c r="O62" s="205"/>
      <c r="P62" s="204">
        <v>62.864850000000004</v>
      </c>
      <c r="Q62" s="204">
        <v>20.909509999999997</v>
      </c>
      <c r="R62" s="205">
        <v>52.680519999999987</v>
      </c>
      <c r="S62" s="205">
        <v>69.633330000000001</v>
      </c>
      <c r="T62" s="205">
        <v>127.2676</v>
      </c>
      <c r="U62" s="205">
        <v>65.835390000000004</v>
      </c>
      <c r="V62" s="205">
        <v>100.80314999999999</v>
      </c>
      <c r="W62" s="205">
        <v>69.499380000000002</v>
      </c>
      <c r="X62" s="205">
        <v>0</v>
      </c>
      <c r="Y62" s="205">
        <v>30.752159999999996</v>
      </c>
      <c r="Z62" s="205">
        <v>37.719129999999993</v>
      </c>
      <c r="AA62" s="205">
        <v>22.005230000000001</v>
      </c>
      <c r="AB62" s="205">
        <v>82.117049999999992</v>
      </c>
      <c r="AC62" s="205">
        <v>73.43316999999999</v>
      </c>
      <c r="AD62" s="205">
        <v>47.660770000000007</v>
      </c>
      <c r="AE62" s="205">
        <v>186.55455999999998</v>
      </c>
      <c r="AF62" s="205">
        <v>10.42353</v>
      </c>
      <c r="AG62" s="205">
        <v>36.963990000000003</v>
      </c>
      <c r="AH62" s="205">
        <v>95.165489999999991</v>
      </c>
      <c r="AI62" s="205">
        <v>67.174790000000002</v>
      </c>
      <c r="AJ62" s="205">
        <v>0</v>
      </c>
      <c r="AK62" s="205">
        <v>36.031880000000008</v>
      </c>
      <c r="AL62" s="205">
        <v>50.289160000000003</v>
      </c>
      <c r="AM62" s="205">
        <v>59.172499999999992</v>
      </c>
      <c r="AN62" s="205">
        <v>29.723869999999998</v>
      </c>
      <c r="AO62" s="205">
        <v>123.33710000000001</v>
      </c>
      <c r="AP62" s="205">
        <v>102.88008999999998</v>
      </c>
      <c r="AQ62" s="205">
        <v>0.35754999999999998</v>
      </c>
      <c r="AR62" s="205">
        <v>59.221350000000008</v>
      </c>
      <c r="AS62" s="205">
        <v>63.161960000000015</v>
      </c>
      <c r="AT62" s="205">
        <v>70.523209999999992</v>
      </c>
      <c r="AU62" s="205">
        <v>102.81483</v>
      </c>
      <c r="AV62" s="205">
        <v>245.37988000000001</v>
      </c>
      <c r="AW62" s="205">
        <v>278.1191</v>
      </c>
    </row>
    <row r="63" spans="1:49" hidden="1" outlineLevel="1">
      <c r="H63" s="203" t="s">
        <v>47</v>
      </c>
      <c r="I63" s="203"/>
      <c r="J63" s="204"/>
      <c r="K63" s="204"/>
      <c r="L63" s="204"/>
      <c r="M63" s="205"/>
      <c r="N63" s="205"/>
      <c r="O63" s="205"/>
      <c r="P63" s="204">
        <v>2.3737999999999997</v>
      </c>
      <c r="Q63" s="204">
        <v>0.58221000000000001</v>
      </c>
      <c r="R63" s="205">
        <v>3.5536300000000001</v>
      </c>
      <c r="S63" s="205">
        <v>1.5507599999999997</v>
      </c>
      <c r="T63" s="205">
        <v>7.1063900000000002</v>
      </c>
      <c r="U63" s="205">
        <v>1.44377</v>
      </c>
      <c r="V63" s="205">
        <v>3.5696500000000002</v>
      </c>
      <c r="W63" s="205">
        <v>1.9966100000000002</v>
      </c>
      <c r="X63" s="205">
        <v>0.19707999999999998</v>
      </c>
      <c r="Y63" s="205">
        <v>0.92273000000000016</v>
      </c>
      <c r="Z63" s="205">
        <v>1.1450600000000002</v>
      </c>
      <c r="AA63" s="205">
        <v>1.0358000000000003</v>
      </c>
      <c r="AB63" s="205">
        <v>2.8056000000000005</v>
      </c>
      <c r="AC63" s="205">
        <v>3.9894099999999995</v>
      </c>
      <c r="AD63" s="205">
        <v>2.2400199999999999</v>
      </c>
      <c r="AE63" s="205">
        <v>13.711949999999998</v>
      </c>
      <c r="AF63" s="205">
        <v>2.3280599999999998</v>
      </c>
      <c r="AG63" s="205">
        <v>1.6375199999999999</v>
      </c>
      <c r="AH63" s="205">
        <v>4.6723499999999989</v>
      </c>
      <c r="AI63" s="205">
        <v>3.3961599999999992</v>
      </c>
      <c r="AJ63" s="205">
        <v>0</v>
      </c>
      <c r="AK63" s="205">
        <v>2.11056</v>
      </c>
      <c r="AL63" s="205">
        <v>4.4385900000000005</v>
      </c>
      <c r="AM63" s="205">
        <v>3.9159600000000001</v>
      </c>
      <c r="AN63" s="205">
        <v>3.2131499999999997</v>
      </c>
      <c r="AO63" s="205">
        <v>6.4219599999999994</v>
      </c>
      <c r="AP63" s="205">
        <v>8.9592899999999993</v>
      </c>
      <c r="AQ63" s="205">
        <v>1.8799999999999999E-3</v>
      </c>
      <c r="AR63" s="205">
        <v>2.6752800000000008</v>
      </c>
      <c r="AS63" s="205">
        <v>0.79834000000000016</v>
      </c>
      <c r="AT63" s="205">
        <v>5.253029999999999</v>
      </c>
      <c r="AU63" s="205">
        <v>5.5116199999999997</v>
      </c>
      <c r="AV63" s="205">
        <v>17.376069999999999</v>
      </c>
      <c r="AW63" s="205">
        <v>8.5963600000000007</v>
      </c>
    </row>
    <row r="64" spans="1:49" collapsed="1">
      <c r="A64" s="121" t="s">
        <v>48</v>
      </c>
      <c r="H64" s="206" t="s">
        <v>48</v>
      </c>
      <c r="I64" s="206"/>
      <c r="J64" s="207">
        <f>SUMIFS($P64:$AW64,$P$3:$AW$3,J$4)</f>
        <v>1149.3133700000001</v>
      </c>
      <c r="K64" s="207">
        <f>J64-AE64-AF64</f>
        <v>936.29527000000019</v>
      </c>
      <c r="L64" s="207">
        <f t="shared" ref="L64:N64" si="13">SUMIFS($P64:$AW64,$P$3:$AW$3,L$4)</f>
        <v>814.31400999999994</v>
      </c>
      <c r="M64" s="207">
        <f t="shared" si="13"/>
        <v>288.73351000000002</v>
      </c>
      <c r="N64" s="207">
        <f t="shared" si="13"/>
        <v>286.71546000000001</v>
      </c>
      <c r="O64" s="208"/>
      <c r="P64" s="207">
        <f>SUBTOTAL(9,P62:P63)</f>
        <v>65.238650000000007</v>
      </c>
      <c r="Q64" s="207">
        <f t="shared" ref="Q64:AW64" si="14">SUBTOTAL(9,Q62:Q63)</f>
        <v>21.491719999999997</v>
      </c>
      <c r="R64" s="208">
        <f t="shared" si="14"/>
        <v>56.234149999999985</v>
      </c>
      <c r="S64" s="208">
        <f t="shared" si="14"/>
        <v>71.184089999999998</v>
      </c>
      <c r="T64" s="208">
        <f t="shared" si="14"/>
        <v>134.37398999999999</v>
      </c>
      <c r="U64" s="208">
        <f t="shared" si="14"/>
        <v>67.279160000000005</v>
      </c>
      <c r="V64" s="208">
        <f t="shared" si="14"/>
        <v>104.37279999999998</v>
      </c>
      <c r="W64" s="208">
        <f t="shared" si="14"/>
        <v>71.495990000000006</v>
      </c>
      <c r="X64" s="208">
        <f t="shared" si="14"/>
        <v>0.19707999999999998</v>
      </c>
      <c r="Y64" s="208">
        <f t="shared" si="14"/>
        <v>31.674889999999998</v>
      </c>
      <c r="Z64" s="208">
        <f t="shared" si="14"/>
        <v>38.864189999999994</v>
      </c>
      <c r="AA64" s="208">
        <f t="shared" si="14"/>
        <v>23.041030000000003</v>
      </c>
      <c r="AB64" s="208">
        <f t="shared" si="14"/>
        <v>84.92264999999999</v>
      </c>
      <c r="AC64" s="208">
        <f t="shared" si="14"/>
        <v>77.422579999999982</v>
      </c>
      <c r="AD64" s="208">
        <f t="shared" si="14"/>
        <v>49.900790000000008</v>
      </c>
      <c r="AE64" s="208">
        <f t="shared" si="14"/>
        <v>200.26650999999998</v>
      </c>
      <c r="AF64" s="208">
        <f t="shared" si="14"/>
        <v>12.75159</v>
      </c>
      <c r="AG64" s="208">
        <f t="shared" si="14"/>
        <v>38.601510000000005</v>
      </c>
      <c r="AH64" s="208">
        <f t="shared" si="14"/>
        <v>99.837839999999986</v>
      </c>
      <c r="AI64" s="208">
        <f t="shared" si="14"/>
        <v>70.570949999999996</v>
      </c>
      <c r="AJ64" s="208">
        <f t="shared" si="14"/>
        <v>0</v>
      </c>
      <c r="AK64" s="208">
        <f t="shared" si="14"/>
        <v>38.142440000000008</v>
      </c>
      <c r="AL64" s="208">
        <f t="shared" si="14"/>
        <v>54.72775</v>
      </c>
      <c r="AM64" s="208">
        <f t="shared" si="14"/>
        <v>63.088459999999991</v>
      </c>
      <c r="AN64" s="208">
        <f t="shared" si="14"/>
        <v>32.937019999999997</v>
      </c>
      <c r="AO64" s="208">
        <f t="shared" si="14"/>
        <v>129.75906000000001</v>
      </c>
      <c r="AP64" s="208">
        <f t="shared" si="14"/>
        <v>111.83937999999998</v>
      </c>
      <c r="AQ64" s="208">
        <f t="shared" si="14"/>
        <v>0.35942999999999997</v>
      </c>
      <c r="AR64" s="208">
        <f t="shared" si="14"/>
        <v>61.896630000000009</v>
      </c>
      <c r="AS64" s="208">
        <f t="shared" si="14"/>
        <v>63.960300000000018</v>
      </c>
      <c r="AT64" s="208">
        <f t="shared" si="14"/>
        <v>75.776239999999987</v>
      </c>
      <c r="AU64" s="208">
        <f t="shared" si="14"/>
        <v>108.32644999999999</v>
      </c>
      <c r="AV64" s="208">
        <f t="shared" si="14"/>
        <v>262.75594999999998</v>
      </c>
      <c r="AW64" s="208">
        <f t="shared" si="14"/>
        <v>286.71546000000001</v>
      </c>
    </row>
    <row r="65" spans="1:49" hidden="1" outlineLevel="1">
      <c r="H65" s="203" t="s">
        <v>49</v>
      </c>
      <c r="I65" s="203"/>
      <c r="J65" s="204"/>
      <c r="K65" s="204"/>
      <c r="L65" s="204"/>
      <c r="M65" s="205"/>
      <c r="N65" s="205"/>
      <c r="O65" s="205"/>
      <c r="P65" s="204">
        <v>21.156010000000002</v>
      </c>
      <c r="Q65" s="204">
        <v>10.717630000000002</v>
      </c>
      <c r="R65" s="205">
        <v>12.518920000000001</v>
      </c>
      <c r="S65" s="205">
        <v>13.619119999999997</v>
      </c>
      <c r="T65" s="205">
        <v>39.291170000000001</v>
      </c>
      <c r="U65" s="205">
        <v>20.51493</v>
      </c>
      <c r="V65" s="205">
        <v>32.258710000000001</v>
      </c>
      <c r="W65" s="205">
        <v>26.107219999999998</v>
      </c>
      <c r="X65" s="205">
        <v>0</v>
      </c>
      <c r="Y65" s="205">
        <v>10.48939</v>
      </c>
      <c r="Z65" s="205">
        <v>6.1590000000000007</v>
      </c>
      <c r="AA65" s="205">
        <v>6.3475100000000007</v>
      </c>
      <c r="AB65" s="205">
        <v>9.3254399999999986</v>
      </c>
      <c r="AC65" s="205">
        <v>23.722729999999999</v>
      </c>
      <c r="AD65" s="205">
        <v>26.391369999999998</v>
      </c>
      <c r="AE65" s="205">
        <v>143.75416000000001</v>
      </c>
      <c r="AF65" s="205">
        <v>6.9306000000000001</v>
      </c>
      <c r="AG65" s="205">
        <v>8.7071100000000001</v>
      </c>
      <c r="AH65" s="205">
        <v>46.900260000000003</v>
      </c>
      <c r="AI65" s="205">
        <v>33.60568</v>
      </c>
      <c r="AJ65" s="205">
        <v>0</v>
      </c>
      <c r="AK65" s="205">
        <v>13.85402</v>
      </c>
      <c r="AL65" s="205">
        <v>24.139019999999995</v>
      </c>
      <c r="AM65" s="205">
        <v>35.64546</v>
      </c>
      <c r="AN65" s="205">
        <v>8.7711199999999998</v>
      </c>
      <c r="AO65" s="205">
        <v>69.870639999999995</v>
      </c>
      <c r="AP65" s="205">
        <v>38.184429999999999</v>
      </c>
      <c r="AQ65" s="205">
        <v>0</v>
      </c>
      <c r="AR65" s="205">
        <v>38.319159999999997</v>
      </c>
      <c r="AS65" s="205">
        <v>6.3688499999999992</v>
      </c>
      <c r="AT65" s="205">
        <v>56.657380000000003</v>
      </c>
      <c r="AU65" s="205">
        <v>66.289720000000003</v>
      </c>
      <c r="AV65" s="205">
        <v>213.64107999999999</v>
      </c>
      <c r="AW65" s="205">
        <v>97.25348000000001</v>
      </c>
    </row>
    <row r="66" spans="1:49" hidden="1" outlineLevel="1">
      <c r="H66" s="203" t="s">
        <v>50</v>
      </c>
      <c r="I66" s="203"/>
      <c r="J66" s="204"/>
      <c r="K66" s="204"/>
      <c r="L66" s="204"/>
      <c r="M66" s="205"/>
      <c r="N66" s="205"/>
      <c r="O66" s="205"/>
      <c r="P66" s="204">
        <v>11.77984</v>
      </c>
      <c r="Q66" s="204">
        <v>2.2140599999999999</v>
      </c>
      <c r="R66" s="205">
        <v>4.8709600000000002</v>
      </c>
      <c r="S66" s="205">
        <v>3.9402399999999997</v>
      </c>
      <c r="T66" s="205">
        <v>10.582780000000001</v>
      </c>
      <c r="U66" s="205">
        <v>7.8890099999999999</v>
      </c>
      <c r="V66" s="205">
        <v>11.338050000000001</v>
      </c>
      <c r="W66" s="205">
        <v>10.20631</v>
      </c>
      <c r="X66" s="205">
        <v>0</v>
      </c>
      <c r="Y66" s="205">
        <v>2.0443800000000003</v>
      </c>
      <c r="Z66" s="205">
        <v>1.6297900000000003</v>
      </c>
      <c r="AA66" s="205">
        <v>1.8601599999999998</v>
      </c>
      <c r="AB66" s="205">
        <v>3.8587999999999996</v>
      </c>
      <c r="AC66" s="205">
        <v>7.4508499999999991</v>
      </c>
      <c r="AD66" s="205">
        <v>7.7729799999999996</v>
      </c>
      <c r="AE66" s="205">
        <v>62.645109999999995</v>
      </c>
      <c r="AF66" s="205">
        <v>3.4059400000000002</v>
      </c>
      <c r="AG66" s="205">
        <v>1.4805899999999996</v>
      </c>
      <c r="AH66" s="205">
        <v>11.896559999999999</v>
      </c>
      <c r="AI66" s="205">
        <v>12.27732</v>
      </c>
      <c r="AJ66" s="205">
        <v>0</v>
      </c>
      <c r="AK66" s="205">
        <v>5.1772</v>
      </c>
      <c r="AL66" s="205">
        <v>5.7605900000000005</v>
      </c>
      <c r="AM66" s="205">
        <v>6.0214799999999995</v>
      </c>
      <c r="AN66" s="205">
        <v>2.1860300000000001</v>
      </c>
      <c r="AO66" s="205">
        <v>7.0250500000000002</v>
      </c>
      <c r="AP66" s="205">
        <v>7.2195499999999999</v>
      </c>
      <c r="AQ66" s="205">
        <v>0</v>
      </c>
      <c r="AR66" s="205">
        <v>3.70628</v>
      </c>
      <c r="AS66" s="205">
        <v>0.32467000000000001</v>
      </c>
      <c r="AT66" s="205">
        <v>5.8580099999999993</v>
      </c>
      <c r="AU66" s="205">
        <v>4.3039400000000008</v>
      </c>
      <c r="AV66" s="205">
        <v>21.670360000000002</v>
      </c>
      <c r="AW66" s="205">
        <v>34.701790000000003</v>
      </c>
    </row>
    <row r="67" spans="1:49" hidden="1" outlineLevel="1">
      <c r="H67" s="203" t="s">
        <v>51</v>
      </c>
      <c r="I67" s="203"/>
      <c r="J67" s="204"/>
      <c r="K67" s="204"/>
      <c r="L67" s="204"/>
      <c r="M67" s="205"/>
      <c r="N67" s="205"/>
      <c r="O67" s="205"/>
      <c r="P67" s="204">
        <v>5.8349499999999992</v>
      </c>
      <c r="Q67" s="204">
        <v>2.6660900000000001</v>
      </c>
      <c r="R67" s="205">
        <v>2.7280500000000001</v>
      </c>
      <c r="S67" s="205">
        <v>4.5805699999999998</v>
      </c>
      <c r="T67" s="205">
        <v>7.6188899999999995</v>
      </c>
      <c r="U67" s="205">
        <v>2.8809499999999995</v>
      </c>
      <c r="V67" s="205">
        <v>7.547670000000001</v>
      </c>
      <c r="W67" s="205">
        <v>5.7657499999999997</v>
      </c>
      <c r="X67" s="205">
        <v>0</v>
      </c>
      <c r="Y67" s="205">
        <v>3.41005</v>
      </c>
      <c r="Z67" s="205">
        <v>1.3833299999999999</v>
      </c>
      <c r="AA67" s="205">
        <v>2.8041200000000002</v>
      </c>
      <c r="AB67" s="205">
        <v>2.2275500000000008</v>
      </c>
      <c r="AC67" s="205">
        <v>4.3577500000000002</v>
      </c>
      <c r="AD67" s="205">
        <v>8.306280000000001</v>
      </c>
      <c r="AE67" s="205">
        <v>30.576150000000002</v>
      </c>
      <c r="AF67" s="205">
        <v>2.7248100000000006</v>
      </c>
      <c r="AG67" s="205">
        <v>1.7497100000000001</v>
      </c>
      <c r="AH67" s="205">
        <v>3.4573700000000001</v>
      </c>
      <c r="AI67" s="205">
        <v>3.59192</v>
      </c>
      <c r="AJ67" s="205">
        <v>0.21276</v>
      </c>
      <c r="AK67" s="205">
        <v>1.1096300000000001</v>
      </c>
      <c r="AL67" s="205">
        <v>2.1852399999999998</v>
      </c>
      <c r="AM67" s="205">
        <v>2.9988600000000001</v>
      </c>
      <c r="AN67" s="205">
        <v>1.0082500000000001</v>
      </c>
      <c r="AO67" s="205">
        <v>3.6040100000000002</v>
      </c>
      <c r="AP67" s="205">
        <v>3.2158700000000002</v>
      </c>
      <c r="AQ67" s="205">
        <v>0</v>
      </c>
      <c r="AR67" s="205">
        <v>1.8814199999999999</v>
      </c>
      <c r="AS67" s="205">
        <v>2.6277900000000005</v>
      </c>
      <c r="AT67" s="205">
        <v>6.1986100000000004</v>
      </c>
      <c r="AU67" s="205">
        <v>4.7080399999999996</v>
      </c>
      <c r="AV67" s="205">
        <v>8.6707099999999997</v>
      </c>
      <c r="AW67" s="205">
        <v>11.52684</v>
      </c>
    </row>
    <row r="68" spans="1:49" hidden="1" outlineLevel="1">
      <c r="H68" s="203" t="s">
        <v>453</v>
      </c>
      <c r="I68" s="203"/>
      <c r="J68" s="204"/>
      <c r="K68" s="204"/>
      <c r="L68" s="204"/>
      <c r="M68" s="205"/>
      <c r="N68" s="205"/>
      <c r="O68" s="205"/>
      <c r="P68" s="204">
        <v>14.112540000000003</v>
      </c>
      <c r="Q68" s="204">
        <v>7.4719500000000005</v>
      </c>
      <c r="R68" s="205">
        <v>9.2364899999999999</v>
      </c>
      <c r="S68" s="205">
        <v>7.7171799999999999</v>
      </c>
      <c r="T68" s="205">
        <v>22.558629999999997</v>
      </c>
      <c r="U68" s="205">
        <v>11.836180000000001</v>
      </c>
      <c r="V68" s="205">
        <v>24.114769999999996</v>
      </c>
      <c r="W68" s="205">
        <v>21.752310000000001</v>
      </c>
      <c r="X68" s="205">
        <v>0</v>
      </c>
      <c r="Y68" s="205">
        <v>8.5352700000000006</v>
      </c>
      <c r="Z68" s="205">
        <v>4.5048999999999992</v>
      </c>
      <c r="AA68" s="205">
        <v>5.2836400000000001</v>
      </c>
      <c r="AB68" s="205">
        <v>6.9197100000000011</v>
      </c>
      <c r="AC68" s="205">
        <v>15.32443</v>
      </c>
      <c r="AD68" s="205">
        <v>17.532550000000001</v>
      </c>
      <c r="AE68" s="205">
        <v>34.956650000000003</v>
      </c>
      <c r="AF68" s="205">
        <v>5.2429399999999999</v>
      </c>
      <c r="AG68" s="205">
        <v>8.2794299999999996</v>
      </c>
      <c r="AH68" s="205">
        <v>18.066899999999997</v>
      </c>
      <c r="AI68" s="205">
        <v>14.589880000000001</v>
      </c>
      <c r="AJ68" s="205">
        <v>0</v>
      </c>
      <c r="AK68" s="205">
        <v>5.2483900000000006</v>
      </c>
      <c r="AL68" s="205">
        <v>11.80584</v>
      </c>
      <c r="AM68" s="205">
        <v>10.163680000000001</v>
      </c>
      <c r="AN68" s="205">
        <v>4.2431899999999994</v>
      </c>
      <c r="AO68" s="205">
        <v>16.836509999999997</v>
      </c>
      <c r="AP68" s="205">
        <v>10.89859</v>
      </c>
      <c r="AQ68" s="205">
        <v>0</v>
      </c>
      <c r="AR68" s="205">
        <v>8.2479599999999991</v>
      </c>
      <c r="AS68" s="205">
        <v>0.95426999999999995</v>
      </c>
      <c r="AT68" s="205">
        <v>10.08886</v>
      </c>
      <c r="AU68" s="205">
        <v>12.206990000000001</v>
      </c>
      <c r="AV68" s="205">
        <v>29.5181</v>
      </c>
      <c r="AW68" s="205">
        <v>45.354050000000001</v>
      </c>
    </row>
    <row r="69" spans="1:49" hidden="1" outlineLevel="1">
      <c r="H69" s="203" t="s">
        <v>52</v>
      </c>
      <c r="I69" s="203"/>
      <c r="J69" s="204"/>
      <c r="K69" s="204"/>
      <c r="L69" s="204"/>
      <c r="M69" s="205"/>
      <c r="N69" s="205"/>
      <c r="O69" s="205"/>
      <c r="P69" s="204">
        <v>5.4613800000000001</v>
      </c>
      <c r="Q69" s="204">
        <v>2.44258</v>
      </c>
      <c r="R69" s="205">
        <v>3.2436000000000003</v>
      </c>
      <c r="S69" s="205">
        <v>2.4223399999999997</v>
      </c>
      <c r="T69" s="205">
        <v>9.3127700000000004</v>
      </c>
      <c r="U69" s="205">
        <v>5.0616300000000001</v>
      </c>
      <c r="V69" s="205">
        <v>8.2879799999999992</v>
      </c>
      <c r="W69" s="205">
        <v>5.3712999999999997</v>
      </c>
      <c r="X69" s="205">
        <v>0</v>
      </c>
      <c r="Y69" s="205">
        <v>1.7964099999999996</v>
      </c>
      <c r="Z69" s="205">
        <v>1.5019</v>
      </c>
      <c r="AA69" s="205">
        <v>1.6726399999999999</v>
      </c>
      <c r="AB69" s="205">
        <v>2.1620100000000004</v>
      </c>
      <c r="AC69" s="205">
        <v>4.8975400000000002</v>
      </c>
      <c r="AD69" s="205">
        <v>5.2282700000000002</v>
      </c>
      <c r="AE69" s="205">
        <v>14.34084</v>
      </c>
      <c r="AF69" s="205">
        <v>1.8353700000000002</v>
      </c>
      <c r="AG69" s="205">
        <v>1.9058100000000002</v>
      </c>
      <c r="AH69" s="205">
        <v>6.1216099999999996</v>
      </c>
      <c r="AI69" s="205">
        <v>5.39839</v>
      </c>
      <c r="AJ69" s="205">
        <v>0</v>
      </c>
      <c r="AK69" s="205">
        <v>1.6189200000000001</v>
      </c>
      <c r="AL69" s="205">
        <v>2.8452200000000003</v>
      </c>
      <c r="AM69" s="205">
        <v>4.3170999999999999</v>
      </c>
      <c r="AN69" s="205">
        <v>4.1686100000000001</v>
      </c>
      <c r="AO69" s="205">
        <v>5.2035399999999994</v>
      </c>
      <c r="AP69" s="205">
        <v>2.0005299999999999</v>
      </c>
      <c r="AQ69" s="205">
        <v>0</v>
      </c>
      <c r="AR69" s="205">
        <v>1.5258400000000001</v>
      </c>
      <c r="AS69" s="205">
        <v>0.34501999999999999</v>
      </c>
      <c r="AT69" s="205">
        <v>2.8193299999999999</v>
      </c>
      <c r="AU69" s="205">
        <v>2.7943000000000002</v>
      </c>
      <c r="AV69" s="205">
        <v>5.7305299999999999</v>
      </c>
      <c r="AW69" s="205">
        <v>9.9855099999999997</v>
      </c>
    </row>
    <row r="70" spans="1:49" hidden="1" outlineLevel="1">
      <c r="H70" s="203" t="s">
        <v>53</v>
      </c>
      <c r="I70" s="203"/>
      <c r="J70" s="204"/>
      <c r="K70" s="204"/>
      <c r="L70" s="204"/>
      <c r="M70" s="205"/>
      <c r="N70" s="205"/>
      <c r="O70" s="205"/>
      <c r="P70" s="204">
        <v>2.5991900000000001</v>
      </c>
      <c r="Q70" s="204">
        <v>0.13072999999999999</v>
      </c>
      <c r="R70" s="205">
        <v>1.2244099999999998</v>
      </c>
      <c r="S70" s="205">
        <v>0.28228999999999999</v>
      </c>
      <c r="T70" s="205">
        <v>2.0367000000000002</v>
      </c>
      <c r="U70" s="205">
        <v>1.4131500000000001</v>
      </c>
      <c r="V70" s="205">
        <v>61.314269999999993</v>
      </c>
      <c r="W70" s="205">
        <v>1.5895900000000001</v>
      </c>
      <c r="X70" s="205">
        <v>0</v>
      </c>
      <c r="Y70" s="205">
        <v>1.1304700000000001</v>
      </c>
      <c r="Z70" s="205">
        <v>0.15390000000000001</v>
      </c>
      <c r="AA70" s="205">
        <v>0.26744999999999997</v>
      </c>
      <c r="AB70" s="205">
        <v>0.74330999999999992</v>
      </c>
      <c r="AC70" s="205">
        <v>3.1482800000000006</v>
      </c>
      <c r="AD70" s="205">
        <v>0.62498999999999993</v>
      </c>
      <c r="AE70" s="205">
        <v>60.102270000000004</v>
      </c>
      <c r="AF70" s="205">
        <v>0.42874000000000001</v>
      </c>
      <c r="AG70" s="205">
        <v>1.23359</v>
      </c>
      <c r="AH70" s="205">
        <v>3.8187599999999997</v>
      </c>
      <c r="AI70" s="205">
        <v>5.3108500000000003</v>
      </c>
      <c r="AJ70" s="205">
        <v>0</v>
      </c>
      <c r="AK70" s="205">
        <v>0.74527999999999994</v>
      </c>
      <c r="AL70" s="205">
        <v>3.1948199999999995</v>
      </c>
      <c r="AM70" s="205">
        <v>2.32918</v>
      </c>
      <c r="AN70" s="205">
        <v>0</v>
      </c>
      <c r="AO70" s="205">
        <v>3.2604500000000001</v>
      </c>
      <c r="AP70" s="205">
        <v>1.7629300000000001</v>
      </c>
      <c r="AQ70" s="205">
        <v>0</v>
      </c>
      <c r="AR70" s="205">
        <v>1.1499999999999999</v>
      </c>
      <c r="AS70" s="205">
        <v>0.3</v>
      </c>
      <c r="AT70" s="205">
        <v>2.3717300000000003</v>
      </c>
      <c r="AU70" s="205">
        <v>2.7193100000000001</v>
      </c>
      <c r="AV70" s="205">
        <v>27.40222</v>
      </c>
      <c r="AW70" s="205">
        <v>1.7364099999999998</v>
      </c>
    </row>
    <row r="71" spans="1:49" hidden="1" outlineLevel="1">
      <c r="H71" s="203" t="s">
        <v>54</v>
      </c>
      <c r="I71" s="203"/>
      <c r="J71" s="204"/>
      <c r="K71" s="204"/>
      <c r="L71" s="204"/>
      <c r="M71" s="205"/>
      <c r="N71" s="205"/>
      <c r="O71" s="205"/>
      <c r="P71" s="204">
        <v>43.73874</v>
      </c>
      <c r="Q71" s="204">
        <v>18.393809999999998</v>
      </c>
      <c r="R71" s="205">
        <v>36.084499999999998</v>
      </c>
      <c r="S71" s="205">
        <v>47.857520000000001</v>
      </c>
      <c r="T71" s="205">
        <v>72.443839999999994</v>
      </c>
      <c r="U71" s="205">
        <v>31.536530000000003</v>
      </c>
      <c r="V71" s="205">
        <v>55.873599999999989</v>
      </c>
      <c r="W71" s="205">
        <v>45.769579999999998</v>
      </c>
      <c r="X71" s="205">
        <v>41.674129999999998</v>
      </c>
      <c r="Y71" s="205">
        <v>23.534839999999999</v>
      </c>
      <c r="Z71" s="205">
        <v>26.007989999999996</v>
      </c>
      <c r="AA71" s="205">
        <v>20.705179999999995</v>
      </c>
      <c r="AB71" s="205">
        <v>26.152959999999997</v>
      </c>
      <c r="AC71" s="205">
        <v>50.335160000000002</v>
      </c>
      <c r="AD71" s="205">
        <v>44.35284</v>
      </c>
      <c r="AE71" s="205">
        <v>108.22963</v>
      </c>
      <c r="AF71" s="205">
        <v>30.585900000000009</v>
      </c>
      <c r="AG71" s="205">
        <v>18.592220000000001</v>
      </c>
      <c r="AH71" s="205">
        <v>59.732639999999996</v>
      </c>
      <c r="AI71" s="205">
        <v>48.654159999999997</v>
      </c>
      <c r="AJ71" s="205">
        <v>0</v>
      </c>
      <c r="AK71" s="205">
        <v>20.049519999999998</v>
      </c>
      <c r="AL71" s="205">
        <v>39.994970000000002</v>
      </c>
      <c r="AM71" s="205">
        <v>40.178069999999998</v>
      </c>
      <c r="AN71" s="205">
        <v>15.448370000000001</v>
      </c>
      <c r="AO71" s="205">
        <v>69.075690000000009</v>
      </c>
      <c r="AP71" s="205">
        <v>78.427489999999992</v>
      </c>
      <c r="AQ71" s="205">
        <v>0</v>
      </c>
      <c r="AR71" s="205">
        <v>41.6432</v>
      </c>
      <c r="AS71" s="205">
        <v>16.933330000000002</v>
      </c>
      <c r="AT71" s="205">
        <v>42.794589999999999</v>
      </c>
      <c r="AU71" s="205">
        <v>57.076709999999999</v>
      </c>
      <c r="AV71" s="205">
        <v>142.40707999999998</v>
      </c>
      <c r="AW71" s="205">
        <v>111.71241999999999</v>
      </c>
    </row>
    <row r="72" spans="1:49" hidden="1" outlineLevel="1">
      <c r="H72" s="203" t="s">
        <v>55</v>
      </c>
      <c r="I72" s="203"/>
      <c r="J72" s="204"/>
      <c r="K72" s="204"/>
      <c r="L72" s="204"/>
      <c r="M72" s="205"/>
      <c r="N72" s="205"/>
      <c r="O72" s="205"/>
      <c r="P72" s="204">
        <v>0</v>
      </c>
      <c r="Q72" s="204">
        <v>0</v>
      </c>
      <c r="R72" s="205">
        <v>0</v>
      </c>
      <c r="S72" s="205">
        <v>0</v>
      </c>
      <c r="T72" s="205">
        <v>0</v>
      </c>
      <c r="U72" s="205">
        <v>0</v>
      </c>
      <c r="V72" s="205">
        <v>0</v>
      </c>
      <c r="W72" s="205">
        <v>0</v>
      </c>
      <c r="X72" s="205">
        <v>0</v>
      </c>
      <c r="Y72" s="205">
        <v>0</v>
      </c>
      <c r="Z72" s="205">
        <v>0</v>
      </c>
      <c r="AA72" s="205">
        <v>0</v>
      </c>
      <c r="AB72" s="205">
        <v>0</v>
      </c>
      <c r="AC72" s="205">
        <v>0</v>
      </c>
      <c r="AD72" s="205">
        <v>0</v>
      </c>
      <c r="AE72" s="205">
        <v>0</v>
      </c>
      <c r="AF72" s="205">
        <v>0</v>
      </c>
      <c r="AG72" s="205">
        <v>0</v>
      </c>
      <c r="AH72" s="205">
        <v>0</v>
      </c>
      <c r="AI72" s="205">
        <v>0</v>
      </c>
      <c r="AJ72" s="205">
        <v>0</v>
      </c>
      <c r="AK72" s="205">
        <v>0</v>
      </c>
      <c r="AL72" s="205">
        <v>0</v>
      </c>
      <c r="AM72" s="205">
        <v>0</v>
      </c>
      <c r="AN72" s="205">
        <v>0</v>
      </c>
      <c r="AO72" s="205">
        <v>0</v>
      </c>
      <c r="AP72" s="205">
        <v>0</v>
      </c>
      <c r="AQ72" s="205">
        <v>0</v>
      </c>
      <c r="AR72" s="205">
        <v>0</v>
      </c>
      <c r="AS72" s="205">
        <v>0</v>
      </c>
      <c r="AT72" s="205">
        <v>0</v>
      </c>
      <c r="AU72" s="205">
        <v>0</v>
      </c>
      <c r="AV72" s="205">
        <v>0</v>
      </c>
      <c r="AW72" s="205">
        <v>0</v>
      </c>
    </row>
    <row r="73" spans="1:49" hidden="1" outlineLevel="1">
      <c r="H73" s="203" t="s">
        <v>56</v>
      </c>
      <c r="I73" s="203"/>
      <c r="J73" s="204"/>
      <c r="K73" s="204"/>
      <c r="L73" s="204"/>
      <c r="M73" s="205"/>
      <c r="N73" s="205"/>
      <c r="O73" s="205"/>
      <c r="P73" s="204">
        <v>0</v>
      </c>
      <c r="Q73" s="204">
        <v>0</v>
      </c>
      <c r="R73" s="205">
        <v>0</v>
      </c>
      <c r="S73" s="205">
        <v>0</v>
      </c>
      <c r="T73" s="205">
        <v>0</v>
      </c>
      <c r="U73" s="205">
        <v>0</v>
      </c>
      <c r="V73" s="205">
        <v>0</v>
      </c>
      <c r="W73" s="205">
        <v>0</v>
      </c>
      <c r="X73" s="205">
        <v>0</v>
      </c>
      <c r="Y73" s="205">
        <v>0</v>
      </c>
      <c r="Z73" s="205">
        <v>0</v>
      </c>
      <c r="AA73" s="205">
        <v>0</v>
      </c>
      <c r="AB73" s="205">
        <v>0</v>
      </c>
      <c r="AC73" s="205">
        <v>0</v>
      </c>
      <c r="AD73" s="205">
        <v>0</v>
      </c>
      <c r="AE73" s="205">
        <v>0</v>
      </c>
      <c r="AF73" s="205">
        <v>0</v>
      </c>
      <c r="AG73" s="205">
        <v>0</v>
      </c>
      <c r="AH73" s="205">
        <v>0</v>
      </c>
      <c r="AI73" s="205">
        <v>0</v>
      </c>
      <c r="AJ73" s="205">
        <v>0</v>
      </c>
      <c r="AK73" s="205">
        <v>0</v>
      </c>
      <c r="AL73" s="205">
        <v>0</v>
      </c>
      <c r="AM73" s="205">
        <v>0</v>
      </c>
      <c r="AN73" s="205">
        <v>0</v>
      </c>
      <c r="AO73" s="205">
        <v>0</v>
      </c>
      <c r="AP73" s="205">
        <v>0</v>
      </c>
      <c r="AQ73" s="205">
        <v>0</v>
      </c>
      <c r="AR73" s="205">
        <v>0</v>
      </c>
      <c r="AS73" s="205">
        <v>0</v>
      </c>
      <c r="AT73" s="205">
        <v>0</v>
      </c>
      <c r="AU73" s="205">
        <v>0</v>
      </c>
      <c r="AV73" s="205">
        <v>0</v>
      </c>
      <c r="AW73" s="205">
        <v>0</v>
      </c>
    </row>
    <row r="74" spans="1:49" hidden="1" outlineLevel="1">
      <c r="H74" s="203" t="s">
        <v>57</v>
      </c>
      <c r="I74" s="203"/>
      <c r="J74" s="204"/>
      <c r="K74" s="204"/>
      <c r="L74" s="204"/>
      <c r="M74" s="205"/>
      <c r="N74" s="205"/>
      <c r="O74" s="205"/>
      <c r="P74" s="204">
        <v>0</v>
      </c>
      <c r="Q74" s="204">
        <v>0</v>
      </c>
      <c r="R74" s="205">
        <v>0</v>
      </c>
      <c r="S74" s="205">
        <v>0</v>
      </c>
      <c r="T74" s="205">
        <v>0</v>
      </c>
      <c r="U74" s="205">
        <v>0</v>
      </c>
      <c r="V74" s="205">
        <v>0</v>
      </c>
      <c r="W74" s="205">
        <v>0</v>
      </c>
      <c r="X74" s="205">
        <v>0</v>
      </c>
      <c r="Y74" s="205">
        <v>0</v>
      </c>
      <c r="Z74" s="205">
        <v>0</v>
      </c>
      <c r="AA74" s="205">
        <v>0</v>
      </c>
      <c r="AB74" s="205">
        <v>0</v>
      </c>
      <c r="AC74" s="205">
        <v>0</v>
      </c>
      <c r="AD74" s="205">
        <v>0</v>
      </c>
      <c r="AE74" s="205">
        <v>0</v>
      </c>
      <c r="AF74" s="205">
        <v>0</v>
      </c>
      <c r="AG74" s="205">
        <v>0</v>
      </c>
      <c r="AH74" s="205">
        <v>0</v>
      </c>
      <c r="AI74" s="205">
        <v>0</v>
      </c>
      <c r="AJ74" s="205">
        <v>0</v>
      </c>
      <c r="AK74" s="205">
        <v>0</v>
      </c>
      <c r="AL74" s="205">
        <v>0</v>
      </c>
      <c r="AM74" s="205">
        <v>0</v>
      </c>
      <c r="AN74" s="205">
        <v>0</v>
      </c>
      <c r="AO74" s="205">
        <v>0</v>
      </c>
      <c r="AP74" s="205">
        <v>0</v>
      </c>
      <c r="AQ74" s="205">
        <v>0</v>
      </c>
      <c r="AR74" s="205">
        <v>0</v>
      </c>
      <c r="AS74" s="205">
        <v>0</v>
      </c>
      <c r="AT74" s="205">
        <v>0</v>
      </c>
      <c r="AU74" s="205">
        <v>0</v>
      </c>
      <c r="AV74" s="205">
        <v>0</v>
      </c>
      <c r="AW74" s="205">
        <v>0</v>
      </c>
    </row>
    <row r="75" spans="1:49" collapsed="1">
      <c r="A75" t="s">
        <v>221</v>
      </c>
      <c r="H75" s="206" t="s">
        <v>221</v>
      </c>
      <c r="I75" s="206"/>
      <c r="J75" s="207">
        <f>SUMIFS($P75:$AW75,$P$3:$AW$3,J$4)</f>
        <v>1852.7597800000001</v>
      </c>
      <c r="K75" s="207">
        <f>J75-AE75-AF75</f>
        <v>1347.0006700000001</v>
      </c>
      <c r="L75" s="207">
        <f t="shared" ref="L75:N79" si="15">SUMIFS($P75:$AW75,$P$3:$AW$3,L$4)</f>
        <v>1166.84067</v>
      </c>
      <c r="M75" s="207">
        <f t="shared" si="15"/>
        <v>425.41491999999994</v>
      </c>
      <c r="N75" s="207">
        <f t="shared" si="15"/>
        <v>312.27050000000003</v>
      </c>
      <c r="O75" s="208"/>
      <c r="P75" s="207">
        <f>SUBTOTAL(9,P65:P74)</f>
        <v>104.68265</v>
      </c>
      <c r="Q75" s="207">
        <f t="shared" ref="Q75:AW75" si="16">SUBTOTAL(9,Q65:Q74)</f>
        <v>44.036850000000001</v>
      </c>
      <c r="R75" s="208">
        <f t="shared" si="16"/>
        <v>69.906929999999988</v>
      </c>
      <c r="S75" s="208">
        <f t="shared" si="16"/>
        <v>80.419260000000008</v>
      </c>
      <c r="T75" s="208">
        <f t="shared" si="16"/>
        <v>163.84477999999999</v>
      </c>
      <c r="U75" s="208">
        <f t="shared" si="16"/>
        <v>81.132379999999998</v>
      </c>
      <c r="V75" s="208">
        <f t="shared" si="16"/>
        <v>200.73504999999997</v>
      </c>
      <c r="W75" s="208">
        <f t="shared" si="16"/>
        <v>116.56206</v>
      </c>
      <c r="X75" s="208">
        <f t="shared" si="16"/>
        <v>41.674129999999998</v>
      </c>
      <c r="Y75" s="208">
        <f t="shared" si="16"/>
        <v>50.940809999999999</v>
      </c>
      <c r="Z75" s="208">
        <f t="shared" si="16"/>
        <v>41.340809999999991</v>
      </c>
      <c r="AA75" s="208">
        <f t="shared" si="16"/>
        <v>38.9407</v>
      </c>
      <c r="AB75" s="208">
        <f t="shared" si="16"/>
        <v>51.389780000000002</v>
      </c>
      <c r="AC75" s="208">
        <f t="shared" si="16"/>
        <v>109.23674</v>
      </c>
      <c r="AD75" s="208">
        <f t="shared" si="16"/>
        <v>110.20927999999999</v>
      </c>
      <c r="AE75" s="208">
        <f t="shared" si="16"/>
        <v>454.60480999999999</v>
      </c>
      <c r="AF75" s="208">
        <f t="shared" si="16"/>
        <v>51.154300000000013</v>
      </c>
      <c r="AG75" s="208">
        <f t="shared" si="16"/>
        <v>41.948459999999997</v>
      </c>
      <c r="AH75" s="208">
        <f t="shared" si="16"/>
        <v>149.9941</v>
      </c>
      <c r="AI75" s="208">
        <f t="shared" si="16"/>
        <v>123.4282</v>
      </c>
      <c r="AJ75" s="208">
        <f t="shared" si="16"/>
        <v>0.21276</v>
      </c>
      <c r="AK75" s="208">
        <f t="shared" si="16"/>
        <v>47.802959999999999</v>
      </c>
      <c r="AL75" s="208">
        <f t="shared" si="16"/>
        <v>89.925699999999992</v>
      </c>
      <c r="AM75" s="208">
        <f t="shared" si="16"/>
        <v>101.65383</v>
      </c>
      <c r="AN75" s="208">
        <f t="shared" si="16"/>
        <v>35.825569999999999</v>
      </c>
      <c r="AO75" s="208">
        <f t="shared" si="16"/>
        <v>174.87589000000003</v>
      </c>
      <c r="AP75" s="208">
        <f t="shared" si="16"/>
        <v>141.70938999999998</v>
      </c>
      <c r="AQ75" s="208">
        <f t="shared" si="16"/>
        <v>0</v>
      </c>
      <c r="AR75" s="208">
        <f t="shared" si="16"/>
        <v>96.473860000000002</v>
      </c>
      <c r="AS75" s="208">
        <f t="shared" si="16"/>
        <v>27.853930000000002</v>
      </c>
      <c r="AT75" s="208">
        <f t="shared" si="16"/>
        <v>126.78850999999999</v>
      </c>
      <c r="AU75" s="208">
        <f t="shared" si="16"/>
        <v>150.09900999999999</v>
      </c>
      <c r="AV75" s="208">
        <f t="shared" si="16"/>
        <v>449.04007999999999</v>
      </c>
      <c r="AW75" s="208">
        <f t="shared" si="16"/>
        <v>312.27050000000003</v>
      </c>
    </row>
    <row r="76" spans="1:49">
      <c r="A76" t="s">
        <v>221</v>
      </c>
      <c r="H76" s="206" t="s">
        <v>58</v>
      </c>
      <c r="I76" s="206"/>
      <c r="J76" s="207">
        <f>SUMIFS($P76:$AW76,$P$3:$AW$3,J$4)</f>
        <v>0</v>
      </c>
      <c r="K76" s="207">
        <f>J76-AE76-AF76</f>
        <v>0</v>
      </c>
      <c r="L76" s="207">
        <f t="shared" si="15"/>
        <v>0</v>
      </c>
      <c r="M76" s="207">
        <f t="shared" si="15"/>
        <v>0</v>
      </c>
      <c r="N76" s="207">
        <f t="shared" si="15"/>
        <v>3.21149</v>
      </c>
      <c r="O76" s="208"/>
      <c r="P76" s="207">
        <v>0</v>
      </c>
      <c r="Q76" s="207">
        <v>0</v>
      </c>
      <c r="R76" s="208">
        <v>0</v>
      </c>
      <c r="S76" s="208">
        <v>0</v>
      </c>
      <c r="T76" s="208">
        <v>0</v>
      </c>
      <c r="U76" s="208">
        <v>0</v>
      </c>
      <c r="V76" s="208">
        <v>0</v>
      </c>
      <c r="W76" s="208">
        <v>0</v>
      </c>
      <c r="X76" s="208">
        <v>0</v>
      </c>
      <c r="Y76" s="208">
        <v>0</v>
      </c>
      <c r="Z76" s="208">
        <v>0</v>
      </c>
      <c r="AA76" s="208">
        <v>0</v>
      </c>
      <c r="AB76" s="208">
        <v>0</v>
      </c>
      <c r="AC76" s="208">
        <v>0</v>
      </c>
      <c r="AD76" s="208">
        <v>0</v>
      </c>
      <c r="AE76" s="208">
        <v>0</v>
      </c>
      <c r="AF76" s="208">
        <v>0</v>
      </c>
      <c r="AG76" s="208">
        <v>0</v>
      </c>
      <c r="AH76" s="208">
        <v>0</v>
      </c>
      <c r="AI76" s="208">
        <v>0</v>
      </c>
      <c r="AJ76" s="208">
        <v>0</v>
      </c>
      <c r="AK76" s="208">
        <v>0</v>
      </c>
      <c r="AL76" s="208">
        <v>0</v>
      </c>
      <c r="AM76" s="208">
        <v>0</v>
      </c>
      <c r="AN76" s="208">
        <v>0</v>
      </c>
      <c r="AO76" s="208">
        <v>0</v>
      </c>
      <c r="AP76" s="208">
        <v>0</v>
      </c>
      <c r="AQ76" s="208">
        <v>0</v>
      </c>
      <c r="AR76" s="208">
        <v>0</v>
      </c>
      <c r="AS76" s="208">
        <v>0</v>
      </c>
      <c r="AT76" s="208">
        <v>0</v>
      </c>
      <c r="AU76" s="208">
        <v>0</v>
      </c>
      <c r="AV76" s="208">
        <v>0</v>
      </c>
      <c r="AW76" s="208">
        <v>3.21149</v>
      </c>
    </row>
    <row r="77" spans="1:49">
      <c r="A77" t="s">
        <v>59</v>
      </c>
      <c r="H77" s="206" t="s">
        <v>59</v>
      </c>
      <c r="I77" s="206"/>
      <c r="J77" s="207">
        <f>SUMIFS($P77:$AW77,$P$3:$AW$3,J$4)</f>
        <v>518.61731000000009</v>
      </c>
      <c r="K77" s="207">
        <f>J77-AE77-AF77</f>
        <v>408.10619000000008</v>
      </c>
      <c r="L77" s="207">
        <f t="shared" si="15"/>
        <v>264.50542999999999</v>
      </c>
      <c r="M77" s="207">
        <f t="shared" si="15"/>
        <v>109.08906000000002</v>
      </c>
      <c r="N77" s="207">
        <f t="shared" si="15"/>
        <v>68.258089999999996</v>
      </c>
      <c r="O77" s="208"/>
      <c r="P77" s="207">
        <v>33.535510000000002</v>
      </c>
      <c r="Q77" s="207">
        <v>8.4762999999999984</v>
      </c>
      <c r="R77" s="208">
        <v>51.2834</v>
      </c>
      <c r="S77" s="208">
        <v>23.050350000000002</v>
      </c>
      <c r="T77" s="208">
        <v>35.55377</v>
      </c>
      <c r="U77" s="208">
        <v>26.986830000000001</v>
      </c>
      <c r="V77" s="208">
        <v>55.964440000000003</v>
      </c>
      <c r="W77" s="208">
        <v>24.106969999999997</v>
      </c>
      <c r="X77" s="208">
        <v>29.690480000000001</v>
      </c>
      <c r="Y77" s="208">
        <v>0.22225999999999999</v>
      </c>
      <c r="Z77" s="208">
        <v>12.817360000000001</v>
      </c>
      <c r="AA77" s="208">
        <v>11.470769999999998</v>
      </c>
      <c r="AB77" s="208">
        <v>20.260870000000004</v>
      </c>
      <c r="AC77" s="208">
        <v>34.131260000000005</v>
      </c>
      <c r="AD77" s="208">
        <v>30.003079999999994</v>
      </c>
      <c r="AE77" s="208">
        <v>110.51111999999999</v>
      </c>
      <c r="AF77" s="208">
        <v>0</v>
      </c>
      <c r="AG77" s="208">
        <v>10.552539999999999</v>
      </c>
      <c r="AH77" s="208">
        <v>39.775269999999999</v>
      </c>
      <c r="AI77" s="208">
        <v>27.240050000000004</v>
      </c>
      <c r="AJ77" s="208">
        <v>0.51540999999999992</v>
      </c>
      <c r="AK77" s="208">
        <v>11.58492</v>
      </c>
      <c r="AL77" s="208">
        <v>24.771900000000002</v>
      </c>
      <c r="AM77" s="208">
        <v>23.95514</v>
      </c>
      <c r="AN77" s="208">
        <v>8.4864200000000025</v>
      </c>
      <c r="AO77" s="208">
        <v>28.361039999999999</v>
      </c>
      <c r="AP77" s="208">
        <v>22.264119999999998</v>
      </c>
      <c r="AQ77" s="208">
        <v>17.090169999999997</v>
      </c>
      <c r="AR77" s="208">
        <v>22.677890000000001</v>
      </c>
      <c r="AS77" s="208">
        <v>20.490429999999996</v>
      </c>
      <c r="AT77" s="208">
        <v>25.926830000000002</v>
      </c>
      <c r="AU77" s="208">
        <v>42.241229999999995</v>
      </c>
      <c r="AV77" s="208">
        <v>102.54389</v>
      </c>
      <c r="AW77" s="208">
        <v>68.258089999999996</v>
      </c>
    </row>
    <row r="78" spans="1:49">
      <c r="A78" s="121" t="s">
        <v>70</v>
      </c>
      <c r="H78" s="206" t="s">
        <v>60</v>
      </c>
      <c r="I78" s="206"/>
      <c r="J78" s="207">
        <f>SUMIFS($P78:$AW78,$P$3:$AW$3,J$4)</f>
        <v>267.79050999999998</v>
      </c>
      <c r="K78" s="207">
        <f>J78-AE78-AF78</f>
        <v>223.99041</v>
      </c>
      <c r="L78" s="207">
        <f t="shared" si="15"/>
        <v>298.63601</v>
      </c>
      <c r="M78" s="207">
        <f t="shared" si="15"/>
        <v>59.71087</v>
      </c>
      <c r="N78" s="207">
        <f t="shared" si="15"/>
        <v>44.076500000000003</v>
      </c>
      <c r="O78" s="208"/>
      <c r="P78" s="207">
        <v>14.031469999999999</v>
      </c>
      <c r="Q78" s="207">
        <v>8.4221800000000009</v>
      </c>
      <c r="R78" s="208">
        <v>11.537769999999998</v>
      </c>
      <c r="S78" s="208">
        <v>11.594589999999998</v>
      </c>
      <c r="T78" s="208">
        <v>23.270409999999998</v>
      </c>
      <c r="U78" s="208">
        <v>13.345330000000001</v>
      </c>
      <c r="V78" s="208">
        <v>22.161129999999996</v>
      </c>
      <c r="W78" s="208">
        <v>21.07076</v>
      </c>
      <c r="X78" s="208">
        <v>17.285250000000001</v>
      </c>
      <c r="Y78" s="208">
        <v>10.67714</v>
      </c>
      <c r="Z78" s="208">
        <v>6.1952400000000001</v>
      </c>
      <c r="AA78" s="208">
        <v>8.5695700000000006</v>
      </c>
      <c r="AB78" s="208">
        <v>10.354809999999999</v>
      </c>
      <c r="AC78" s="208">
        <v>17.242229999999999</v>
      </c>
      <c r="AD78" s="208">
        <v>16.94115</v>
      </c>
      <c r="AE78" s="208">
        <v>30.72</v>
      </c>
      <c r="AF78" s="208">
        <v>13.0801</v>
      </c>
      <c r="AG78" s="208">
        <v>11.29138</v>
      </c>
      <c r="AH78" s="208">
        <v>21.770119999999999</v>
      </c>
      <c r="AI78" s="208">
        <v>14.180000000000001</v>
      </c>
      <c r="AJ78" s="208">
        <v>0</v>
      </c>
      <c r="AK78" s="208">
        <v>6.7067500000000004</v>
      </c>
      <c r="AL78" s="208">
        <v>12.25067</v>
      </c>
      <c r="AM78" s="208">
        <v>12.69041</v>
      </c>
      <c r="AN78" s="208">
        <v>6.2929200000000005</v>
      </c>
      <c r="AO78" s="208">
        <v>49.910239999999988</v>
      </c>
      <c r="AP78" s="208">
        <v>39.918589999999995</v>
      </c>
      <c r="AQ78" s="208">
        <v>0</v>
      </c>
      <c r="AR78" s="208">
        <v>30.360090000000003</v>
      </c>
      <c r="AS78" s="208">
        <v>14.335459999999999</v>
      </c>
      <c r="AT78" s="208">
        <v>34.365759999999995</v>
      </c>
      <c r="AU78" s="208">
        <v>37.015169999999998</v>
      </c>
      <c r="AV78" s="208">
        <v>92.730699999999999</v>
      </c>
      <c r="AW78" s="208">
        <v>44.076500000000003</v>
      </c>
    </row>
    <row r="79" spans="1:49">
      <c r="A79" s="121" t="s">
        <v>70</v>
      </c>
      <c r="H79" s="206" t="s">
        <v>61</v>
      </c>
      <c r="I79" s="206"/>
      <c r="J79" s="207">
        <f>SUMIFS($P79:$AW79,$P$3:$AW$3,J$4)</f>
        <v>152.32005999999998</v>
      </c>
      <c r="K79" s="207">
        <f>J79-AE79-AF79</f>
        <v>118.62799</v>
      </c>
      <c r="L79" s="207">
        <f t="shared" si="15"/>
        <v>82.74521</v>
      </c>
      <c r="M79" s="207">
        <f t="shared" si="15"/>
        <v>37.993669999999995</v>
      </c>
      <c r="N79" s="207">
        <f t="shared" si="15"/>
        <v>37.375299999999996</v>
      </c>
      <c r="O79" s="208"/>
      <c r="P79" s="207">
        <v>11.860919999999998</v>
      </c>
      <c r="Q79" s="207">
        <v>1.8369700000000002</v>
      </c>
      <c r="R79" s="208">
        <v>9.0989399999999989</v>
      </c>
      <c r="S79" s="208">
        <v>6.0842399999999994</v>
      </c>
      <c r="T79" s="208">
        <v>14.711889999999999</v>
      </c>
      <c r="U79" s="208">
        <v>5.20512</v>
      </c>
      <c r="V79" s="208">
        <v>14.11046</v>
      </c>
      <c r="W79" s="208">
        <v>8.2112499999999979</v>
      </c>
      <c r="X79" s="208">
        <v>0</v>
      </c>
      <c r="Y79" s="208">
        <v>5.5022500000000001</v>
      </c>
      <c r="Z79" s="208">
        <v>3.7053099999999994</v>
      </c>
      <c r="AA79" s="208">
        <v>5.9963800000000003</v>
      </c>
      <c r="AB79" s="208">
        <v>5.72011</v>
      </c>
      <c r="AC79" s="208">
        <v>10.719280000000001</v>
      </c>
      <c r="AD79" s="208">
        <v>11.401579999999999</v>
      </c>
      <c r="AE79" s="208">
        <v>23.693819999999999</v>
      </c>
      <c r="AF79" s="208">
        <v>9.9982499999999987</v>
      </c>
      <c r="AG79" s="208">
        <v>4.4632899999999989</v>
      </c>
      <c r="AH79" s="208">
        <v>12.49948</v>
      </c>
      <c r="AI79" s="208">
        <v>10.49164</v>
      </c>
      <c r="AJ79" s="208">
        <v>0</v>
      </c>
      <c r="AK79" s="208">
        <v>3.9276200000000001</v>
      </c>
      <c r="AL79" s="208">
        <v>9.914749999999998</v>
      </c>
      <c r="AM79" s="208">
        <v>7.7213599999999998</v>
      </c>
      <c r="AN79" s="208">
        <v>3.9304600000000001</v>
      </c>
      <c r="AO79" s="208">
        <v>11.80702</v>
      </c>
      <c r="AP79" s="208">
        <v>9.1962200000000003</v>
      </c>
      <c r="AQ79" s="208">
        <v>7.4505499999999989</v>
      </c>
      <c r="AR79" s="208">
        <v>7.79922</v>
      </c>
      <c r="AS79" s="208">
        <v>5.4163000000000006</v>
      </c>
      <c r="AT79" s="208">
        <v>7.6964099999999993</v>
      </c>
      <c r="AU79" s="208">
        <v>14.282769999999998</v>
      </c>
      <c r="AV79" s="208">
        <v>26.547270000000005</v>
      </c>
      <c r="AW79" s="208">
        <v>37.375299999999996</v>
      </c>
    </row>
    <row r="80" spans="1:49" hidden="1" outlineLevel="1">
      <c r="H80" s="203" t="s">
        <v>62</v>
      </c>
      <c r="I80" s="203"/>
      <c r="J80" s="204"/>
      <c r="K80" s="204"/>
      <c r="L80" s="204"/>
      <c r="M80" s="205"/>
      <c r="N80" s="205"/>
      <c r="O80" s="205"/>
      <c r="P80" s="204">
        <v>0</v>
      </c>
      <c r="Q80" s="204">
        <v>0</v>
      </c>
      <c r="R80" s="205">
        <v>0</v>
      </c>
      <c r="S80" s="205">
        <v>0</v>
      </c>
      <c r="T80" s="205">
        <v>0</v>
      </c>
      <c r="U80" s="205">
        <v>0</v>
      </c>
      <c r="V80" s="205">
        <v>0</v>
      </c>
      <c r="W80" s="205">
        <v>0</v>
      </c>
      <c r="X80" s="205">
        <v>0</v>
      </c>
      <c r="Y80" s="205">
        <v>0</v>
      </c>
      <c r="Z80" s="205">
        <v>0</v>
      </c>
      <c r="AA80" s="205">
        <v>0</v>
      </c>
      <c r="AB80" s="205">
        <v>0</v>
      </c>
      <c r="AC80" s="205">
        <v>0</v>
      </c>
      <c r="AD80" s="205">
        <v>0</v>
      </c>
      <c r="AE80" s="205">
        <v>0</v>
      </c>
      <c r="AF80" s="205">
        <v>0</v>
      </c>
      <c r="AG80" s="205">
        <v>0.28596000000000005</v>
      </c>
      <c r="AH80" s="205">
        <v>2.2850400000000004</v>
      </c>
      <c r="AI80" s="205">
        <v>0</v>
      </c>
      <c r="AJ80" s="205">
        <v>0</v>
      </c>
      <c r="AK80" s="205">
        <v>0</v>
      </c>
      <c r="AL80" s="205">
        <v>0</v>
      </c>
      <c r="AM80" s="205">
        <v>0</v>
      </c>
      <c r="AN80" s="205">
        <v>0</v>
      </c>
      <c r="AO80" s="205">
        <v>0</v>
      </c>
      <c r="AP80" s="205">
        <v>0</v>
      </c>
      <c r="AQ80" s="205">
        <v>0</v>
      </c>
      <c r="AR80" s="205">
        <v>0</v>
      </c>
      <c r="AS80" s="205">
        <v>0</v>
      </c>
      <c r="AT80" s="205">
        <v>0</v>
      </c>
      <c r="AU80" s="205">
        <v>2.6894999999999998</v>
      </c>
      <c r="AV80" s="205">
        <v>0</v>
      </c>
      <c r="AW80" s="205">
        <v>0</v>
      </c>
    </row>
    <row r="81" spans="1:49" hidden="1" outlineLevel="1">
      <c r="H81" s="203" t="s">
        <v>63</v>
      </c>
      <c r="I81" s="203"/>
      <c r="J81" s="204"/>
      <c r="K81" s="204"/>
      <c r="L81" s="204"/>
      <c r="M81" s="205"/>
      <c r="N81" s="205"/>
      <c r="O81" s="205"/>
      <c r="P81" s="204">
        <v>0</v>
      </c>
      <c r="Q81" s="204">
        <v>0</v>
      </c>
      <c r="R81" s="205">
        <v>0</v>
      </c>
      <c r="S81" s="205">
        <v>0</v>
      </c>
      <c r="T81" s="205">
        <v>0</v>
      </c>
      <c r="U81" s="205">
        <v>0</v>
      </c>
      <c r="V81" s="205">
        <v>0</v>
      </c>
      <c r="W81" s="205">
        <v>0</v>
      </c>
      <c r="X81" s="205">
        <v>0</v>
      </c>
      <c r="Y81" s="205">
        <v>0</v>
      </c>
      <c r="Z81" s="205">
        <v>0</v>
      </c>
      <c r="AA81" s="205">
        <v>0</v>
      </c>
      <c r="AB81" s="205">
        <v>0</v>
      </c>
      <c r="AC81" s="205">
        <v>0</v>
      </c>
      <c r="AD81" s="205">
        <v>0</v>
      </c>
      <c r="AE81" s="205">
        <v>0</v>
      </c>
      <c r="AF81" s="205">
        <v>0</v>
      </c>
      <c r="AG81" s="205">
        <v>0</v>
      </c>
      <c r="AH81" s="205">
        <v>0</v>
      </c>
      <c r="AI81" s="205">
        <v>0</v>
      </c>
      <c r="AJ81" s="205">
        <v>0</v>
      </c>
      <c r="AK81" s="205">
        <v>0</v>
      </c>
      <c r="AL81" s="205">
        <v>0</v>
      </c>
      <c r="AM81" s="205">
        <v>0</v>
      </c>
      <c r="AN81" s="205">
        <v>0</v>
      </c>
      <c r="AO81" s="205">
        <v>0</v>
      </c>
      <c r="AP81" s="205">
        <v>0</v>
      </c>
      <c r="AQ81" s="205">
        <v>0</v>
      </c>
      <c r="AR81" s="205">
        <v>0</v>
      </c>
      <c r="AS81" s="205">
        <v>0</v>
      </c>
      <c r="AT81" s="205">
        <v>0</v>
      </c>
      <c r="AU81" s="205">
        <v>0</v>
      </c>
      <c r="AV81" s="205">
        <v>0</v>
      </c>
      <c r="AW81" s="205">
        <v>0</v>
      </c>
    </row>
    <row r="82" spans="1:49" hidden="1" outlineLevel="1">
      <c r="H82" s="203" t="s">
        <v>64</v>
      </c>
      <c r="I82" s="203"/>
      <c r="J82" s="204"/>
      <c r="K82" s="204"/>
      <c r="L82" s="204"/>
      <c r="M82" s="205"/>
      <c r="N82" s="205"/>
      <c r="O82" s="205"/>
      <c r="P82" s="204">
        <v>0</v>
      </c>
      <c r="Q82" s="204">
        <v>0</v>
      </c>
      <c r="R82" s="205">
        <v>0</v>
      </c>
      <c r="S82" s="205">
        <v>0</v>
      </c>
      <c r="T82" s="205">
        <v>0</v>
      </c>
      <c r="U82" s="205">
        <v>0</v>
      </c>
      <c r="V82" s="205">
        <v>0</v>
      </c>
      <c r="W82" s="205">
        <v>0</v>
      </c>
      <c r="X82" s="205">
        <v>0</v>
      </c>
      <c r="Y82" s="205">
        <v>0</v>
      </c>
      <c r="Z82" s="205">
        <v>0</v>
      </c>
      <c r="AA82" s="205">
        <v>0</v>
      </c>
      <c r="AB82" s="205">
        <v>0</v>
      </c>
      <c r="AC82" s="205">
        <v>0</v>
      </c>
      <c r="AD82" s="205">
        <v>0</v>
      </c>
      <c r="AE82" s="205">
        <v>0</v>
      </c>
      <c r="AF82" s="205">
        <v>0</v>
      </c>
      <c r="AG82" s="205">
        <v>0</v>
      </c>
      <c r="AH82" s="205">
        <v>0</v>
      </c>
      <c r="AI82" s="205">
        <v>0</v>
      </c>
      <c r="AJ82" s="205">
        <v>0</v>
      </c>
      <c r="AK82" s="205">
        <v>0</v>
      </c>
      <c r="AL82" s="205">
        <v>0</v>
      </c>
      <c r="AM82" s="205">
        <v>0</v>
      </c>
      <c r="AN82" s="205">
        <v>0</v>
      </c>
      <c r="AO82" s="205">
        <v>0</v>
      </c>
      <c r="AP82" s="205">
        <v>0</v>
      </c>
      <c r="AQ82" s="205">
        <v>0</v>
      </c>
      <c r="AR82" s="205">
        <v>0</v>
      </c>
      <c r="AS82" s="205">
        <v>0</v>
      </c>
      <c r="AT82" s="205">
        <v>0</v>
      </c>
      <c r="AU82" s="205">
        <v>0</v>
      </c>
      <c r="AV82" s="205">
        <v>0</v>
      </c>
      <c r="AW82" s="205">
        <v>0</v>
      </c>
    </row>
    <row r="83" spans="1:49" hidden="1" outlineLevel="1">
      <c r="H83" s="203" t="s">
        <v>65</v>
      </c>
      <c r="I83" s="203"/>
      <c r="J83" s="204"/>
      <c r="K83" s="204"/>
      <c r="L83" s="204"/>
      <c r="M83" s="205"/>
      <c r="N83" s="205"/>
      <c r="O83" s="205"/>
      <c r="P83" s="204">
        <v>0</v>
      </c>
      <c r="Q83" s="204">
        <v>0</v>
      </c>
      <c r="R83" s="205">
        <v>0</v>
      </c>
      <c r="S83" s="205">
        <v>0</v>
      </c>
      <c r="T83" s="205">
        <v>0</v>
      </c>
      <c r="U83" s="205">
        <v>0</v>
      </c>
      <c r="V83" s="205">
        <v>0</v>
      </c>
      <c r="W83" s="205">
        <v>0</v>
      </c>
      <c r="X83" s="205">
        <v>0</v>
      </c>
      <c r="Y83" s="205">
        <v>0</v>
      </c>
      <c r="Z83" s="205">
        <v>0</v>
      </c>
      <c r="AA83" s="205">
        <v>0</v>
      </c>
      <c r="AB83" s="205">
        <v>0</v>
      </c>
      <c r="AC83" s="205">
        <v>0</v>
      </c>
      <c r="AD83" s="205">
        <v>0</v>
      </c>
      <c r="AE83" s="205">
        <v>0</v>
      </c>
      <c r="AF83" s="205">
        <v>0</v>
      </c>
      <c r="AG83" s="205">
        <v>0</v>
      </c>
      <c r="AH83" s="205">
        <v>0</v>
      </c>
      <c r="AI83" s="205">
        <v>0</v>
      </c>
      <c r="AJ83" s="205">
        <v>0</v>
      </c>
      <c r="AK83" s="205">
        <v>0</v>
      </c>
      <c r="AL83" s="205">
        <v>0</v>
      </c>
      <c r="AM83" s="205">
        <v>0</v>
      </c>
      <c r="AN83" s="205">
        <v>0</v>
      </c>
      <c r="AO83" s="205">
        <v>0</v>
      </c>
      <c r="AP83" s="205">
        <v>0</v>
      </c>
      <c r="AQ83" s="205">
        <v>0</v>
      </c>
      <c r="AR83" s="205">
        <v>0</v>
      </c>
      <c r="AS83" s="205">
        <v>0</v>
      </c>
      <c r="AT83" s="205">
        <v>0</v>
      </c>
      <c r="AU83" s="205">
        <v>0</v>
      </c>
      <c r="AV83" s="205">
        <v>0</v>
      </c>
      <c r="AW83" s="205">
        <v>0</v>
      </c>
    </row>
    <row r="84" spans="1:49" hidden="1" outlineLevel="1">
      <c r="H84" s="203" t="s">
        <v>66</v>
      </c>
      <c r="I84" s="203"/>
      <c r="J84" s="204"/>
      <c r="K84" s="204"/>
      <c r="L84" s="204"/>
      <c r="M84" s="205"/>
      <c r="N84" s="205"/>
      <c r="O84" s="205"/>
      <c r="P84" s="204">
        <v>0</v>
      </c>
      <c r="Q84" s="204">
        <v>0</v>
      </c>
      <c r="R84" s="205">
        <v>0</v>
      </c>
      <c r="S84" s="205">
        <v>0</v>
      </c>
      <c r="T84" s="205">
        <v>0</v>
      </c>
      <c r="U84" s="205">
        <v>0</v>
      </c>
      <c r="V84" s="205">
        <v>0</v>
      </c>
      <c r="W84" s="205">
        <v>0</v>
      </c>
      <c r="X84" s="205">
        <v>0</v>
      </c>
      <c r="Y84" s="205">
        <v>0</v>
      </c>
      <c r="Z84" s="205">
        <v>0</v>
      </c>
      <c r="AA84" s="205">
        <v>0</v>
      </c>
      <c r="AB84" s="205">
        <v>0</v>
      </c>
      <c r="AC84" s="205">
        <v>0</v>
      </c>
      <c r="AD84" s="205">
        <v>0</v>
      </c>
      <c r="AE84" s="205">
        <v>0</v>
      </c>
      <c r="AF84" s="205">
        <v>0</v>
      </c>
      <c r="AG84" s="205">
        <v>0</v>
      </c>
      <c r="AH84" s="205">
        <v>0</v>
      </c>
      <c r="AI84" s="205">
        <v>0</v>
      </c>
      <c r="AJ84" s="205">
        <v>0</v>
      </c>
      <c r="AK84" s="205">
        <v>0</v>
      </c>
      <c r="AL84" s="205">
        <v>0</v>
      </c>
      <c r="AM84" s="205">
        <v>0</v>
      </c>
      <c r="AN84" s="205">
        <v>0</v>
      </c>
      <c r="AO84" s="205">
        <v>0</v>
      </c>
      <c r="AP84" s="205">
        <v>0</v>
      </c>
      <c r="AQ84" s="205">
        <v>0</v>
      </c>
      <c r="AR84" s="205">
        <v>0</v>
      </c>
      <c r="AS84" s="205">
        <v>0</v>
      </c>
      <c r="AT84" s="205">
        <v>0</v>
      </c>
      <c r="AU84" s="205">
        <v>0</v>
      </c>
      <c r="AV84" s="205">
        <v>0</v>
      </c>
      <c r="AW84" s="205">
        <v>0</v>
      </c>
    </row>
    <row r="85" spans="1:49" collapsed="1">
      <c r="A85" t="s">
        <v>67</v>
      </c>
      <c r="H85" s="214" t="s">
        <v>67</v>
      </c>
      <c r="I85" s="214"/>
      <c r="J85" s="207">
        <f>SUMIFS($P85:$AW85,$P$3:$AW$3,J$4)</f>
        <v>0.28596000000000005</v>
      </c>
      <c r="K85" s="207">
        <f>J85-AE85-AF85</f>
        <v>0.28596000000000005</v>
      </c>
      <c r="L85" s="207">
        <f t="shared" ref="L85:N85" si="17">SUMIFS($P85:$AW85,$P$3:$AW$3,L$4)</f>
        <v>2.6894999999999998</v>
      </c>
      <c r="M85" s="207">
        <f t="shared" si="17"/>
        <v>2.2850400000000004</v>
      </c>
      <c r="N85" s="207">
        <f t="shared" si="17"/>
        <v>0</v>
      </c>
      <c r="O85" s="208"/>
      <c r="P85" s="207">
        <f>SUBTOTAL(9,P80:P84)</f>
        <v>0</v>
      </c>
      <c r="Q85" s="207">
        <f t="shared" ref="Q85:AW85" si="18">SUBTOTAL(9,Q80:Q84)</f>
        <v>0</v>
      </c>
      <c r="R85" s="208">
        <f t="shared" si="18"/>
        <v>0</v>
      </c>
      <c r="S85" s="208">
        <f t="shared" si="18"/>
        <v>0</v>
      </c>
      <c r="T85" s="208">
        <f t="shared" si="18"/>
        <v>0</v>
      </c>
      <c r="U85" s="208">
        <f t="shared" si="18"/>
        <v>0</v>
      </c>
      <c r="V85" s="208">
        <f t="shared" si="18"/>
        <v>0</v>
      </c>
      <c r="W85" s="208">
        <f t="shared" si="18"/>
        <v>0</v>
      </c>
      <c r="X85" s="208">
        <f t="shared" si="18"/>
        <v>0</v>
      </c>
      <c r="Y85" s="208">
        <f t="shared" si="18"/>
        <v>0</v>
      </c>
      <c r="Z85" s="208">
        <f t="shared" si="18"/>
        <v>0</v>
      </c>
      <c r="AA85" s="208">
        <f t="shared" si="18"/>
        <v>0</v>
      </c>
      <c r="AB85" s="208">
        <f t="shared" si="18"/>
        <v>0</v>
      </c>
      <c r="AC85" s="208">
        <f t="shared" si="18"/>
        <v>0</v>
      </c>
      <c r="AD85" s="208">
        <f t="shared" si="18"/>
        <v>0</v>
      </c>
      <c r="AE85" s="208">
        <f t="shared" si="18"/>
        <v>0</v>
      </c>
      <c r="AF85" s="208">
        <f t="shared" si="18"/>
        <v>0</v>
      </c>
      <c r="AG85" s="208">
        <f t="shared" si="18"/>
        <v>0.28596000000000005</v>
      </c>
      <c r="AH85" s="208">
        <f t="shared" si="18"/>
        <v>2.2850400000000004</v>
      </c>
      <c r="AI85" s="208">
        <f t="shared" si="18"/>
        <v>0</v>
      </c>
      <c r="AJ85" s="208">
        <f t="shared" si="18"/>
        <v>0</v>
      </c>
      <c r="AK85" s="208">
        <f t="shared" si="18"/>
        <v>0</v>
      </c>
      <c r="AL85" s="208">
        <f t="shared" si="18"/>
        <v>0</v>
      </c>
      <c r="AM85" s="208">
        <f t="shared" si="18"/>
        <v>0</v>
      </c>
      <c r="AN85" s="208">
        <f t="shared" si="18"/>
        <v>0</v>
      </c>
      <c r="AO85" s="208">
        <f t="shared" si="18"/>
        <v>0</v>
      </c>
      <c r="AP85" s="208">
        <f t="shared" si="18"/>
        <v>0</v>
      </c>
      <c r="AQ85" s="208">
        <f t="shared" si="18"/>
        <v>0</v>
      </c>
      <c r="AR85" s="208">
        <f t="shared" si="18"/>
        <v>0</v>
      </c>
      <c r="AS85" s="208">
        <f t="shared" si="18"/>
        <v>0</v>
      </c>
      <c r="AT85" s="208">
        <f t="shared" si="18"/>
        <v>0</v>
      </c>
      <c r="AU85" s="208">
        <f t="shared" si="18"/>
        <v>2.6894999999999998</v>
      </c>
      <c r="AV85" s="208">
        <f t="shared" si="18"/>
        <v>0</v>
      </c>
      <c r="AW85" s="208">
        <f t="shared" si="18"/>
        <v>0</v>
      </c>
    </row>
    <row r="86" spans="1:49" hidden="1" outlineLevel="1">
      <c r="H86" s="203" t="s">
        <v>68</v>
      </c>
      <c r="I86" s="203"/>
      <c r="J86" s="204"/>
      <c r="K86" s="204"/>
      <c r="L86" s="204"/>
      <c r="M86" s="205"/>
      <c r="N86" s="205"/>
      <c r="O86" s="205"/>
      <c r="P86" s="204">
        <v>0</v>
      </c>
      <c r="Q86" s="204">
        <v>0</v>
      </c>
      <c r="R86" s="205">
        <v>0</v>
      </c>
      <c r="S86" s="205">
        <v>0</v>
      </c>
      <c r="T86" s="205">
        <v>0</v>
      </c>
      <c r="U86" s="205">
        <v>0</v>
      </c>
      <c r="V86" s="205">
        <v>0</v>
      </c>
      <c r="W86" s="205">
        <v>0</v>
      </c>
      <c r="X86" s="205">
        <v>0</v>
      </c>
      <c r="Y86" s="205">
        <v>0</v>
      </c>
      <c r="Z86" s="205">
        <v>0</v>
      </c>
      <c r="AA86" s="205">
        <v>0</v>
      </c>
      <c r="AB86" s="205">
        <v>0</v>
      </c>
      <c r="AC86" s="205">
        <v>0</v>
      </c>
      <c r="AD86" s="205">
        <v>0</v>
      </c>
      <c r="AE86" s="205">
        <v>0</v>
      </c>
      <c r="AF86" s="205">
        <v>0</v>
      </c>
      <c r="AG86" s="205">
        <v>0</v>
      </c>
      <c r="AH86" s="205">
        <v>0</v>
      </c>
      <c r="AI86" s="205">
        <v>0</v>
      </c>
      <c r="AJ86" s="205">
        <v>0</v>
      </c>
      <c r="AK86" s="205">
        <v>0</v>
      </c>
      <c r="AL86" s="205">
        <v>0</v>
      </c>
      <c r="AM86" s="205">
        <v>0</v>
      </c>
      <c r="AN86" s="205">
        <v>0</v>
      </c>
      <c r="AO86" s="205">
        <v>0</v>
      </c>
      <c r="AP86" s="205">
        <v>0</v>
      </c>
      <c r="AQ86" s="205">
        <v>0</v>
      </c>
      <c r="AR86" s="205">
        <v>0</v>
      </c>
      <c r="AS86" s="205">
        <v>0</v>
      </c>
      <c r="AT86" s="205">
        <v>0</v>
      </c>
      <c r="AU86" s="205">
        <v>0</v>
      </c>
      <c r="AV86" s="205">
        <v>0</v>
      </c>
      <c r="AW86" s="205">
        <v>0</v>
      </c>
    </row>
    <row r="87" spans="1:49" hidden="1" outlineLevel="1">
      <c r="H87" s="203" t="s">
        <v>69</v>
      </c>
      <c r="I87" s="203"/>
      <c r="J87" s="204"/>
      <c r="K87" s="204"/>
      <c r="L87" s="204"/>
      <c r="M87" s="205"/>
      <c r="N87" s="205"/>
      <c r="O87" s="205"/>
      <c r="P87" s="204">
        <v>0.18340000000000001</v>
      </c>
      <c r="Q87" s="204">
        <v>0</v>
      </c>
      <c r="R87" s="205">
        <v>0</v>
      </c>
      <c r="S87" s="205">
        <v>6.4930000000000002E-2</v>
      </c>
      <c r="T87" s="205">
        <v>0.38970000000000005</v>
      </c>
      <c r="U87" s="205">
        <v>0</v>
      </c>
      <c r="V87" s="205">
        <v>0.22595999999999999</v>
      </c>
      <c r="W87" s="205">
        <v>4.437E-2</v>
      </c>
      <c r="X87" s="205">
        <v>1.3036699999999999</v>
      </c>
      <c r="Y87" s="205">
        <v>0.24711999999999998</v>
      </c>
      <c r="Z87" s="205">
        <v>0</v>
      </c>
      <c r="AA87" s="205">
        <v>0</v>
      </c>
      <c r="AB87" s="205">
        <v>0</v>
      </c>
      <c r="AC87" s="205">
        <v>0</v>
      </c>
      <c r="AD87" s="205">
        <v>0.16494999999999999</v>
      </c>
      <c r="AE87" s="205">
        <v>0.183</v>
      </c>
      <c r="AF87" s="205">
        <v>0</v>
      </c>
      <c r="AG87" s="205">
        <v>0.69822000000000006</v>
      </c>
      <c r="AH87" s="205">
        <v>0.69561000000000006</v>
      </c>
      <c r="AI87" s="205">
        <v>0.15290999999999999</v>
      </c>
      <c r="AJ87" s="205">
        <v>6.4860000000000001E-2</v>
      </c>
      <c r="AK87" s="205">
        <v>3.243E-2</v>
      </c>
      <c r="AL87" s="205">
        <v>3.243E-2</v>
      </c>
      <c r="AM87" s="205">
        <v>6.4860000000000001E-2</v>
      </c>
      <c r="AN87" s="205">
        <v>0</v>
      </c>
      <c r="AO87" s="205">
        <v>1.26</v>
      </c>
      <c r="AP87" s="205">
        <v>5.1935199999999995</v>
      </c>
      <c r="AQ87" s="205">
        <v>0</v>
      </c>
      <c r="AR87" s="205">
        <v>0.93647000000000002</v>
      </c>
      <c r="AS87" s="205">
        <v>39.10492</v>
      </c>
      <c r="AT87" s="205">
        <v>0.71284999999999987</v>
      </c>
      <c r="AU87" s="205">
        <v>1.0115999999999998</v>
      </c>
      <c r="AV87" s="205">
        <v>6.6765600000000003</v>
      </c>
      <c r="AW87" s="205">
        <v>5.3020499999999995</v>
      </c>
    </row>
    <row r="88" spans="1:49" collapsed="1">
      <c r="A88" s="121" t="s">
        <v>70</v>
      </c>
      <c r="H88" s="206" t="s">
        <v>70</v>
      </c>
      <c r="I88" s="206"/>
      <c r="J88" s="207">
        <f>SUMIFS($P88:$AW88,$P$3:$AW$3,J$4)</f>
        <v>3.5053199999999998</v>
      </c>
      <c r="K88" s="207">
        <f>J88-AE88-AF88</f>
        <v>3.3223199999999999</v>
      </c>
      <c r="L88" s="207">
        <f t="shared" ref="L88:N89" si="19">SUMIFS($P88:$AW88,$P$3:$AW$3,L$4)</f>
        <v>54.895920000000004</v>
      </c>
      <c r="M88" s="207">
        <f t="shared" si="19"/>
        <v>0.89019000000000004</v>
      </c>
      <c r="N88" s="207">
        <f t="shared" si="19"/>
        <v>5.3020499999999995</v>
      </c>
      <c r="O88" s="208"/>
      <c r="P88" s="207">
        <f>SUBTOTAL(9,P86:P87)</f>
        <v>0.18340000000000001</v>
      </c>
      <c r="Q88" s="207">
        <f t="shared" ref="Q88:AW88" si="20">SUBTOTAL(9,Q86:Q87)</f>
        <v>0</v>
      </c>
      <c r="R88" s="208">
        <f t="shared" si="20"/>
        <v>0</v>
      </c>
      <c r="S88" s="208">
        <f t="shared" si="20"/>
        <v>6.4930000000000002E-2</v>
      </c>
      <c r="T88" s="208">
        <f t="shared" si="20"/>
        <v>0.38970000000000005</v>
      </c>
      <c r="U88" s="208">
        <f t="shared" si="20"/>
        <v>0</v>
      </c>
      <c r="V88" s="208">
        <f t="shared" si="20"/>
        <v>0.22595999999999999</v>
      </c>
      <c r="W88" s="208">
        <f t="shared" si="20"/>
        <v>4.437E-2</v>
      </c>
      <c r="X88" s="208">
        <f t="shared" si="20"/>
        <v>1.3036699999999999</v>
      </c>
      <c r="Y88" s="208">
        <f t="shared" si="20"/>
        <v>0.24711999999999998</v>
      </c>
      <c r="Z88" s="208">
        <f t="shared" si="20"/>
        <v>0</v>
      </c>
      <c r="AA88" s="208">
        <f t="shared" si="20"/>
        <v>0</v>
      </c>
      <c r="AB88" s="208">
        <f t="shared" si="20"/>
        <v>0</v>
      </c>
      <c r="AC88" s="208">
        <f t="shared" si="20"/>
        <v>0</v>
      </c>
      <c r="AD88" s="208">
        <f t="shared" si="20"/>
        <v>0.16494999999999999</v>
      </c>
      <c r="AE88" s="208">
        <f t="shared" si="20"/>
        <v>0.183</v>
      </c>
      <c r="AF88" s="208">
        <f t="shared" si="20"/>
        <v>0</v>
      </c>
      <c r="AG88" s="208">
        <f t="shared" si="20"/>
        <v>0.69822000000000006</v>
      </c>
      <c r="AH88" s="208">
        <f t="shared" si="20"/>
        <v>0.69561000000000006</v>
      </c>
      <c r="AI88" s="208">
        <f t="shared" si="20"/>
        <v>0.15290999999999999</v>
      </c>
      <c r="AJ88" s="208">
        <f t="shared" si="20"/>
        <v>6.4860000000000001E-2</v>
      </c>
      <c r="AK88" s="208">
        <f t="shared" si="20"/>
        <v>3.243E-2</v>
      </c>
      <c r="AL88" s="208">
        <f t="shared" si="20"/>
        <v>3.243E-2</v>
      </c>
      <c r="AM88" s="208">
        <f t="shared" si="20"/>
        <v>6.4860000000000001E-2</v>
      </c>
      <c r="AN88" s="208">
        <f t="shared" si="20"/>
        <v>0</v>
      </c>
      <c r="AO88" s="208">
        <f t="shared" si="20"/>
        <v>1.26</v>
      </c>
      <c r="AP88" s="208">
        <f t="shared" si="20"/>
        <v>5.1935199999999995</v>
      </c>
      <c r="AQ88" s="208">
        <f t="shared" si="20"/>
        <v>0</v>
      </c>
      <c r="AR88" s="208">
        <f t="shared" si="20"/>
        <v>0.93647000000000002</v>
      </c>
      <c r="AS88" s="208">
        <f t="shared" si="20"/>
        <v>39.10492</v>
      </c>
      <c r="AT88" s="208">
        <f t="shared" si="20"/>
        <v>0.71284999999999987</v>
      </c>
      <c r="AU88" s="208">
        <f t="shared" si="20"/>
        <v>1.0115999999999998</v>
      </c>
      <c r="AV88" s="208">
        <f t="shared" si="20"/>
        <v>6.6765600000000003</v>
      </c>
      <c r="AW88" s="208">
        <f t="shared" si="20"/>
        <v>5.3020499999999995</v>
      </c>
    </row>
    <row r="89" spans="1:49">
      <c r="H89" s="206"/>
      <c r="I89" s="206"/>
      <c r="J89" s="207">
        <f>SUMIFS($P89:$AW89,$P$3:$AW$3,J$4)</f>
        <v>0</v>
      </c>
      <c r="K89" s="207">
        <f>J89-AE89-AF89</f>
        <v>0</v>
      </c>
      <c r="L89" s="207">
        <f t="shared" si="19"/>
        <v>0</v>
      </c>
      <c r="M89" s="207">
        <f t="shared" si="19"/>
        <v>0</v>
      </c>
      <c r="N89" s="207">
        <f t="shared" si="19"/>
        <v>0</v>
      </c>
      <c r="O89" s="208"/>
      <c r="P89" s="207"/>
      <c r="Q89" s="207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8"/>
      <c r="AW89" s="208"/>
    </row>
    <row r="90" spans="1:49">
      <c r="A90" t="s">
        <v>454</v>
      </c>
      <c r="H90" s="215" t="s">
        <v>454</v>
      </c>
      <c r="I90" s="215"/>
      <c r="J90" s="211">
        <f t="shared" ref="J90:N90" si="21">SUBTOTAL(9,J62:J88)</f>
        <v>3944.5923100000005</v>
      </c>
      <c r="K90" s="211">
        <f t="shared" ref="K90" si="22">SUBTOTAL(9,K62:K88)</f>
        <v>3037.6288100000006</v>
      </c>
      <c r="L90" s="211">
        <f t="shared" si="21"/>
        <v>2684.6267500000004</v>
      </c>
      <c r="M90" s="211">
        <f t="shared" si="21"/>
        <v>924.11725999999987</v>
      </c>
      <c r="N90" s="211">
        <f t="shared" si="21"/>
        <v>757.2093900000001</v>
      </c>
      <c r="O90" s="208"/>
      <c r="P90" s="211">
        <f>SUBTOTAL(9,P62:P88)</f>
        <v>229.53260000000003</v>
      </c>
      <c r="Q90" s="211">
        <f t="shared" ref="Q90:AW90" si="23">SUBTOTAL(9,Q62:Q88)</f>
        <v>84.264019999999988</v>
      </c>
      <c r="R90" s="212">
        <f t="shared" si="23"/>
        <v>198.06118999999998</v>
      </c>
      <c r="S90" s="212">
        <f t="shared" si="23"/>
        <v>192.39746000000002</v>
      </c>
      <c r="T90" s="212">
        <f t="shared" si="23"/>
        <v>372.14453999999989</v>
      </c>
      <c r="U90" s="212">
        <f t="shared" si="23"/>
        <v>193.94881999999998</v>
      </c>
      <c r="V90" s="212">
        <f t="shared" si="23"/>
        <v>397.56984</v>
      </c>
      <c r="W90" s="212">
        <f t="shared" si="23"/>
        <v>241.49139999999997</v>
      </c>
      <c r="X90" s="212">
        <f t="shared" si="23"/>
        <v>90.15061</v>
      </c>
      <c r="Y90" s="212">
        <f t="shared" si="23"/>
        <v>99.264469999999989</v>
      </c>
      <c r="Z90" s="212">
        <f t="shared" si="23"/>
        <v>102.92290999999999</v>
      </c>
      <c r="AA90" s="212">
        <f t="shared" si="23"/>
        <v>88.018450000000001</v>
      </c>
      <c r="AB90" s="212">
        <f t="shared" si="23"/>
        <v>172.64821999999998</v>
      </c>
      <c r="AC90" s="212">
        <f t="shared" si="23"/>
        <v>248.75208999999998</v>
      </c>
      <c r="AD90" s="212">
        <f t="shared" si="23"/>
        <v>218.62082999999998</v>
      </c>
      <c r="AE90" s="212">
        <f t="shared" si="23"/>
        <v>819.97926000000007</v>
      </c>
      <c r="AF90" s="212">
        <f t="shared" si="23"/>
        <v>86.98424</v>
      </c>
      <c r="AG90" s="212">
        <f t="shared" si="23"/>
        <v>107.84136000000001</v>
      </c>
      <c r="AH90" s="212">
        <f t="shared" si="23"/>
        <v>326.85745999999995</v>
      </c>
      <c r="AI90" s="212">
        <f t="shared" si="23"/>
        <v>246.06374999999997</v>
      </c>
      <c r="AJ90" s="212">
        <f t="shared" si="23"/>
        <v>0.79303000000000001</v>
      </c>
      <c r="AK90" s="212">
        <f t="shared" si="23"/>
        <v>108.19712000000001</v>
      </c>
      <c r="AL90" s="212">
        <f t="shared" si="23"/>
        <v>191.6232</v>
      </c>
      <c r="AM90" s="212">
        <f t="shared" si="23"/>
        <v>209.17406</v>
      </c>
      <c r="AN90" s="212">
        <f t="shared" si="23"/>
        <v>87.47238999999999</v>
      </c>
      <c r="AO90" s="212">
        <f t="shared" si="23"/>
        <v>395.97325000000001</v>
      </c>
      <c r="AP90" s="212">
        <f t="shared" si="23"/>
        <v>330.12121999999994</v>
      </c>
      <c r="AQ90" s="212">
        <f t="shared" si="23"/>
        <v>24.900149999999996</v>
      </c>
      <c r="AR90" s="212">
        <f t="shared" si="23"/>
        <v>220.14416000000003</v>
      </c>
      <c r="AS90" s="212">
        <f t="shared" si="23"/>
        <v>171.16134</v>
      </c>
      <c r="AT90" s="212">
        <f t="shared" si="23"/>
        <v>271.26660000000004</v>
      </c>
      <c r="AU90" s="212">
        <f t="shared" si="23"/>
        <v>355.66573</v>
      </c>
      <c r="AV90" s="212">
        <f t="shared" si="23"/>
        <v>940.29444999999998</v>
      </c>
      <c r="AW90" s="212">
        <f t="shared" si="23"/>
        <v>757.2093900000001</v>
      </c>
    </row>
    <row r="91" spans="1:49">
      <c r="H91" s="213"/>
      <c r="I91" s="213"/>
      <c r="J91" s="207"/>
      <c r="K91" s="207"/>
      <c r="L91" s="207"/>
      <c r="M91" s="208"/>
      <c r="N91" s="208"/>
      <c r="O91" s="208"/>
      <c r="P91" s="207"/>
      <c r="Q91" s="207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208"/>
    </row>
    <row r="92" spans="1:49">
      <c r="H92" s="216" t="s">
        <v>71</v>
      </c>
      <c r="I92" s="216"/>
      <c r="J92" s="207">
        <f t="shared" ref="J92:N92" si="24">J57-J90</f>
        <v>32306.703690000002</v>
      </c>
      <c r="K92" s="207">
        <f t="shared" ref="K92" si="25">K57-K90</f>
        <v>24728.469389999995</v>
      </c>
      <c r="L92" s="207">
        <f t="shared" si="24"/>
        <v>14762.401760000004</v>
      </c>
      <c r="M92" s="207">
        <f t="shared" si="24"/>
        <v>6912.4343600000002</v>
      </c>
      <c r="N92" s="207">
        <f t="shared" si="24"/>
        <v>6296.2255999999998</v>
      </c>
      <c r="O92" s="208"/>
      <c r="P92" s="207">
        <f>P57-P90</f>
        <v>1801.2896399999995</v>
      </c>
      <c r="Q92" s="207">
        <f t="shared" ref="Q92:AW92" si="26">Q57-Q90</f>
        <v>732.24800000000005</v>
      </c>
      <c r="R92" s="208">
        <f t="shared" si="26"/>
        <v>1476.9405300000003</v>
      </c>
      <c r="S92" s="208">
        <f t="shared" si="26"/>
        <v>1539.9385700000003</v>
      </c>
      <c r="T92" s="208">
        <f t="shared" si="26"/>
        <v>3216.0731700000001</v>
      </c>
      <c r="U92" s="208">
        <f t="shared" si="26"/>
        <v>1835.0946099999996</v>
      </c>
      <c r="V92" s="208">
        <f t="shared" si="26"/>
        <v>3176.4544999999998</v>
      </c>
      <c r="W92" s="208">
        <f t="shared" si="26"/>
        <v>2015.0726799999998</v>
      </c>
      <c r="X92" s="208">
        <f t="shared" si="26"/>
        <v>663.71904000000006</v>
      </c>
      <c r="Y92" s="208">
        <f t="shared" si="26"/>
        <v>889.15803000000017</v>
      </c>
      <c r="Z92" s="208">
        <f t="shared" si="26"/>
        <v>863.79777000000001</v>
      </c>
      <c r="AA92" s="208">
        <f t="shared" si="26"/>
        <v>660.75892999999996</v>
      </c>
      <c r="AB92" s="208">
        <f t="shared" si="26"/>
        <v>982.58332000000019</v>
      </c>
      <c r="AC92" s="208">
        <f t="shared" si="26"/>
        <v>2171.6111600000004</v>
      </c>
      <c r="AD92" s="208">
        <f t="shared" si="26"/>
        <v>1943.89283</v>
      </c>
      <c r="AE92" s="208">
        <f t="shared" si="26"/>
        <v>6886.4098699999995</v>
      </c>
      <c r="AF92" s="208">
        <f t="shared" si="26"/>
        <v>691.82442999999989</v>
      </c>
      <c r="AG92" s="208">
        <f t="shared" si="26"/>
        <v>759.83660999999972</v>
      </c>
      <c r="AH92" s="208">
        <f t="shared" si="26"/>
        <v>2876.0029199999999</v>
      </c>
      <c r="AI92" s="208">
        <f t="shared" si="26"/>
        <v>1872.5622099999998</v>
      </c>
      <c r="AJ92" s="208">
        <f t="shared" si="26"/>
        <v>-79.842810000000028</v>
      </c>
      <c r="AK92" s="208">
        <f t="shared" si="26"/>
        <v>671.36748</v>
      </c>
      <c r="AL92" s="208">
        <f t="shared" si="26"/>
        <v>1523.4317699999999</v>
      </c>
      <c r="AM92" s="208">
        <f t="shared" si="26"/>
        <v>1455.7615999999998</v>
      </c>
      <c r="AN92" s="208">
        <f t="shared" si="26"/>
        <v>465.71339999999998</v>
      </c>
      <c r="AO92" s="208">
        <f t="shared" si="26"/>
        <v>2073.4532800000002</v>
      </c>
      <c r="AP92" s="208">
        <f t="shared" si="26"/>
        <v>1653.05321</v>
      </c>
      <c r="AQ92" s="208">
        <f t="shared" si="26"/>
        <v>463.48053999999991</v>
      </c>
      <c r="AR92" s="208">
        <f t="shared" si="26"/>
        <v>1152.0534799999998</v>
      </c>
      <c r="AS92" s="208">
        <f t="shared" si="26"/>
        <v>549.56903000000011</v>
      </c>
      <c r="AT92" s="208">
        <f t="shared" si="26"/>
        <v>1455.6109000000001</v>
      </c>
      <c r="AU92" s="208">
        <f t="shared" si="26"/>
        <v>2292.31612</v>
      </c>
      <c r="AV92" s="208">
        <f t="shared" si="26"/>
        <v>5586.3457399999998</v>
      </c>
      <c r="AW92" s="208">
        <f t="shared" si="26"/>
        <v>6296.2255999999998</v>
      </c>
    </row>
    <row r="93" spans="1:49">
      <c r="H93" s="217" t="s">
        <v>455</v>
      </c>
      <c r="I93" s="217"/>
      <c r="J93" s="218">
        <f t="shared" ref="J93:N93" si="27">J92/J57</f>
        <v>0.89118755064646515</v>
      </c>
      <c r="K93" s="218">
        <f t="shared" si="27"/>
        <v>0.89059936372334803</v>
      </c>
      <c r="L93" s="218">
        <f t="shared" si="27"/>
        <v>0.84612699242961231</v>
      </c>
      <c r="M93" s="218">
        <f t="shared" si="27"/>
        <v>0.882076032314836</v>
      </c>
      <c r="N93" s="218">
        <f t="shared" si="27"/>
        <v>0.89264671878687007</v>
      </c>
      <c r="O93" s="233"/>
      <c r="P93" s="218">
        <f>P92/P57</f>
        <v>0.8869755336144044</v>
      </c>
      <c r="Q93" s="218">
        <f t="shared" ref="Q93:AW93" si="28">Q92/Q57</f>
        <v>0.89680002506270518</v>
      </c>
      <c r="R93" s="219">
        <f t="shared" si="28"/>
        <v>0.88175463485494221</v>
      </c>
      <c r="S93" s="219">
        <f t="shared" si="28"/>
        <v>0.88893756368964982</v>
      </c>
      <c r="T93" s="219">
        <f t="shared" si="28"/>
        <v>0.89628707896879545</v>
      </c>
      <c r="U93" s="219">
        <f t="shared" si="28"/>
        <v>0.9044136674787685</v>
      </c>
      <c r="V93" s="219">
        <f t="shared" si="28"/>
        <v>0.8887612947817809</v>
      </c>
      <c r="W93" s="219">
        <f t="shared" si="28"/>
        <v>0.89298269783679274</v>
      </c>
      <c r="X93" s="219">
        <f t="shared" si="28"/>
        <v>0.88041618335477489</v>
      </c>
      <c r="Y93" s="219">
        <f t="shared" si="28"/>
        <v>0.8995728344913233</v>
      </c>
      <c r="Z93" s="219">
        <f t="shared" si="28"/>
        <v>0.89353397301896964</v>
      </c>
      <c r="AA93" s="219">
        <f t="shared" si="28"/>
        <v>0.88245044207932666</v>
      </c>
      <c r="AB93" s="219">
        <f t="shared" si="28"/>
        <v>0.85055098132102591</v>
      </c>
      <c r="AC93" s="219">
        <f t="shared" si="28"/>
        <v>0.89722530698646163</v>
      </c>
      <c r="AD93" s="219">
        <f t="shared" si="28"/>
        <v>0.89890430102531693</v>
      </c>
      <c r="AE93" s="219">
        <f t="shared" si="28"/>
        <v>0.89359747526790145</v>
      </c>
      <c r="AF93" s="219">
        <f t="shared" si="28"/>
        <v>0.88831115606352973</v>
      </c>
      <c r="AG93" s="219">
        <f t="shared" si="28"/>
        <v>0.87571269096528981</v>
      </c>
      <c r="AH93" s="219">
        <f t="shared" si="28"/>
        <v>0.89794826460715105</v>
      </c>
      <c r="AI93" s="219">
        <f t="shared" si="28"/>
        <v>0.88385691733900962</v>
      </c>
      <c r="AJ93" s="219">
        <f t="shared" si="28"/>
        <v>1.010032032979725</v>
      </c>
      <c r="AK93" s="219">
        <f t="shared" si="28"/>
        <v>0.86120826933393324</v>
      </c>
      <c r="AL93" s="219">
        <f t="shared" si="28"/>
        <v>0.88826993691053524</v>
      </c>
      <c r="AM93" s="219">
        <f t="shared" si="28"/>
        <v>0.87436507906858085</v>
      </c>
      <c r="AN93" s="219">
        <f t="shared" si="28"/>
        <v>0.84187520435042262</v>
      </c>
      <c r="AO93" s="219">
        <f t="shared" si="28"/>
        <v>0.83964971413828615</v>
      </c>
      <c r="AP93" s="219">
        <f t="shared" si="28"/>
        <v>0.83353898930614989</v>
      </c>
      <c r="AQ93" s="219">
        <f t="shared" si="28"/>
        <v>0.94901487607956003</v>
      </c>
      <c r="AR93" s="219">
        <f t="shared" si="28"/>
        <v>0.83956818348703754</v>
      </c>
      <c r="AS93" s="219">
        <f t="shared" si="28"/>
        <v>0.76251682026386658</v>
      </c>
      <c r="AT93" s="219">
        <f t="shared" si="28"/>
        <v>0.84291497225483569</v>
      </c>
      <c r="AU93" s="219">
        <f t="shared" si="28"/>
        <v>0.86568422664981626</v>
      </c>
      <c r="AV93" s="219">
        <f t="shared" si="28"/>
        <v>0.85592978582752233</v>
      </c>
      <c r="AW93" s="219">
        <f t="shared" si="28"/>
        <v>0.89264671878687007</v>
      </c>
    </row>
    <row r="94" spans="1:49">
      <c r="H94" s="217"/>
      <c r="I94" s="217"/>
      <c r="J94" s="61"/>
      <c r="K94" s="61"/>
      <c r="L94" s="61"/>
      <c r="P94" s="61"/>
      <c r="Q94" s="61"/>
    </row>
    <row r="95" spans="1:49">
      <c r="H95" s="202" t="s">
        <v>72</v>
      </c>
      <c r="I95" s="202"/>
      <c r="J95" s="61"/>
      <c r="K95" s="61"/>
      <c r="L95" s="61"/>
      <c r="P95" s="61"/>
      <c r="Q95" s="61"/>
    </row>
    <row r="96" spans="1:49">
      <c r="H96" s="216"/>
      <c r="I96" s="216"/>
      <c r="J96" s="61"/>
      <c r="K96" s="61"/>
      <c r="L96" s="61"/>
      <c r="P96" s="61"/>
      <c r="Q96" s="61"/>
    </row>
    <row r="97" spans="1:49" hidden="1" outlineLevel="1">
      <c r="H97" s="220" t="s">
        <v>73</v>
      </c>
      <c r="I97" s="220"/>
      <c r="J97" s="204"/>
      <c r="K97" s="204"/>
      <c r="L97" s="204"/>
      <c r="M97" s="205"/>
      <c r="N97" s="205"/>
      <c r="O97" s="205"/>
      <c r="P97" s="204">
        <v>7.79704</v>
      </c>
      <c r="Q97" s="204">
        <v>0.40123000000000003</v>
      </c>
      <c r="R97" s="205">
        <v>6.2445800000000009</v>
      </c>
      <c r="S97" s="205">
        <v>0.70216000000000001</v>
      </c>
      <c r="T97" s="205">
        <v>201.05408000000003</v>
      </c>
      <c r="U97" s="205">
        <v>0.40123000000000003</v>
      </c>
      <c r="V97" s="205">
        <v>10.95914</v>
      </c>
      <c r="W97" s="205">
        <v>0.90276999999999996</v>
      </c>
      <c r="X97" s="205">
        <v>1.6813399999999998</v>
      </c>
      <c r="Y97" s="205">
        <v>5.6351599999999999</v>
      </c>
      <c r="Z97" s="205">
        <v>0.30092000000000002</v>
      </c>
      <c r="AA97" s="205">
        <v>5.2124000000000006</v>
      </c>
      <c r="AB97" s="205">
        <v>134.37970999999999</v>
      </c>
      <c r="AC97" s="205">
        <v>145.93661</v>
      </c>
      <c r="AD97" s="205">
        <v>95.473710000000025</v>
      </c>
      <c r="AE97" s="205">
        <v>196.92721</v>
      </c>
      <c r="AF97" s="205">
        <v>34.619210000000002</v>
      </c>
      <c r="AG97" s="205">
        <v>76.758819999999986</v>
      </c>
      <c r="AH97" s="205">
        <v>73.667149999999992</v>
      </c>
      <c r="AI97" s="205">
        <v>63.797499999999999</v>
      </c>
      <c r="AJ97" s="205">
        <v>0</v>
      </c>
      <c r="AK97" s="205">
        <v>36.308459999999997</v>
      </c>
      <c r="AL97" s="205">
        <v>41.926349999999999</v>
      </c>
      <c r="AM97" s="205">
        <v>53.959859999999999</v>
      </c>
      <c r="AN97" s="205">
        <v>24.413250000000001</v>
      </c>
      <c r="AO97" s="205">
        <v>69.097790000000003</v>
      </c>
      <c r="AP97" s="205">
        <v>72.79834000000001</v>
      </c>
      <c r="AQ97" s="205">
        <v>0.82214999999999994</v>
      </c>
      <c r="AR97" s="205">
        <v>48.747439999999997</v>
      </c>
      <c r="AS97" s="205">
        <v>23.283780000000004</v>
      </c>
      <c r="AT97" s="205">
        <v>55.397930000000002</v>
      </c>
      <c r="AU97" s="205">
        <v>53.934010000000008</v>
      </c>
      <c r="AV97" s="205">
        <v>142.86632999999995</v>
      </c>
      <c r="AW97" s="205">
        <v>111.89456</v>
      </c>
    </row>
    <row r="98" spans="1:49" hidden="1" outlineLevel="1">
      <c r="H98" s="220" t="s">
        <v>74</v>
      </c>
      <c r="I98" s="220"/>
      <c r="J98" s="204"/>
      <c r="K98" s="204"/>
      <c r="L98" s="204"/>
      <c r="M98" s="205"/>
      <c r="N98" s="205"/>
      <c r="O98" s="205"/>
      <c r="P98" s="204">
        <v>9.1985700000000001</v>
      </c>
      <c r="Q98" s="204">
        <v>3.5372399999999997</v>
      </c>
      <c r="R98" s="205">
        <v>6.89703</v>
      </c>
      <c r="S98" s="205">
        <v>6.3563499999999991</v>
      </c>
      <c r="T98" s="205">
        <v>123.08033</v>
      </c>
      <c r="U98" s="205">
        <v>3.9658399999999996</v>
      </c>
      <c r="V98" s="205">
        <v>9.3625000000000007</v>
      </c>
      <c r="W98" s="205">
        <v>8.7911999999999981</v>
      </c>
      <c r="X98" s="205">
        <v>0.23139999999999997</v>
      </c>
      <c r="Y98" s="205">
        <v>4.9642100000000005</v>
      </c>
      <c r="Z98" s="205">
        <v>2.6193599999999999</v>
      </c>
      <c r="AA98" s="205">
        <v>6.42239</v>
      </c>
      <c r="AB98" s="205">
        <v>82.181599999999989</v>
      </c>
      <c r="AC98" s="205">
        <v>86.055840000000003</v>
      </c>
      <c r="AD98" s="205">
        <v>56.780129999999993</v>
      </c>
      <c r="AE98" s="205">
        <v>120.55289</v>
      </c>
      <c r="AF98" s="205">
        <v>32.627090000000003</v>
      </c>
      <c r="AG98" s="205">
        <v>43.032430000000005</v>
      </c>
      <c r="AH98" s="205">
        <v>50.181249999999999</v>
      </c>
      <c r="AI98" s="205">
        <v>40.70468000000001</v>
      </c>
      <c r="AJ98" s="205">
        <v>0</v>
      </c>
      <c r="AK98" s="205">
        <v>26.250600000000006</v>
      </c>
      <c r="AL98" s="205">
        <v>27.429740000000002</v>
      </c>
      <c r="AM98" s="205">
        <v>35.410049999999998</v>
      </c>
      <c r="AN98" s="205">
        <v>15.735259999999998</v>
      </c>
      <c r="AO98" s="205">
        <v>37.316890000000001</v>
      </c>
      <c r="AP98" s="205">
        <v>37.188029999999998</v>
      </c>
      <c r="AQ98" s="205">
        <v>0.35582999999999998</v>
      </c>
      <c r="AR98" s="205">
        <v>25.289180000000005</v>
      </c>
      <c r="AS98" s="205">
        <v>10.401320000000002</v>
      </c>
      <c r="AT98" s="205">
        <v>28.322200000000006</v>
      </c>
      <c r="AU98" s="205">
        <v>28.166550000000001</v>
      </c>
      <c r="AV98" s="205">
        <v>74.120930000000001</v>
      </c>
      <c r="AW98" s="205">
        <v>98.52597999999999</v>
      </c>
    </row>
    <row r="99" spans="1:49" collapsed="1">
      <c r="A99" t="s">
        <v>75</v>
      </c>
      <c r="H99" s="214" t="s">
        <v>75</v>
      </c>
      <c r="I99" s="214"/>
      <c r="J99" s="207">
        <f>SUMIFS($P99:$AW99,$P$3:$AW$3,J$4)</f>
        <v>1532.0437200000001</v>
      </c>
      <c r="K99" s="207">
        <f>J99-AE99-AF99</f>
        <v>1147.3173200000001</v>
      </c>
      <c r="L99" s="207">
        <f t="shared" ref="L99:N99" si="29">SUMIFS($P99:$AW99,$P$3:$AW$3,L$4)</f>
        <v>706.93072000000006</v>
      </c>
      <c r="M99" s="207">
        <f t="shared" si="29"/>
        <v>385.28197</v>
      </c>
      <c r="N99" s="207">
        <f t="shared" si="29"/>
        <v>210.42053999999999</v>
      </c>
      <c r="O99" s="208"/>
      <c r="P99" s="207">
        <f>SUBTOTAL(9,P97:P98)</f>
        <v>16.995609999999999</v>
      </c>
      <c r="Q99" s="207">
        <f t="shared" ref="Q99:AW99" si="30">SUBTOTAL(9,Q97:Q98)</f>
        <v>3.9384699999999997</v>
      </c>
      <c r="R99" s="208">
        <f t="shared" si="30"/>
        <v>13.14161</v>
      </c>
      <c r="S99" s="208">
        <f t="shared" si="30"/>
        <v>7.0585099999999992</v>
      </c>
      <c r="T99" s="208">
        <f t="shared" si="30"/>
        <v>324.13441</v>
      </c>
      <c r="U99" s="208">
        <f t="shared" si="30"/>
        <v>4.36707</v>
      </c>
      <c r="V99" s="208">
        <f t="shared" si="30"/>
        <v>20.321640000000002</v>
      </c>
      <c r="W99" s="208">
        <f t="shared" si="30"/>
        <v>9.6939699999999984</v>
      </c>
      <c r="X99" s="208">
        <f t="shared" si="30"/>
        <v>1.9127399999999999</v>
      </c>
      <c r="Y99" s="208">
        <f t="shared" si="30"/>
        <v>10.59937</v>
      </c>
      <c r="Z99" s="208">
        <f t="shared" si="30"/>
        <v>2.92028</v>
      </c>
      <c r="AA99" s="208">
        <f t="shared" si="30"/>
        <v>11.634790000000001</v>
      </c>
      <c r="AB99" s="208">
        <f t="shared" si="30"/>
        <v>216.56130999999999</v>
      </c>
      <c r="AC99" s="208">
        <f t="shared" si="30"/>
        <v>231.99245000000002</v>
      </c>
      <c r="AD99" s="208">
        <f t="shared" si="30"/>
        <v>152.25384000000003</v>
      </c>
      <c r="AE99" s="208">
        <f t="shared" si="30"/>
        <v>317.48009999999999</v>
      </c>
      <c r="AF99" s="208">
        <f t="shared" si="30"/>
        <v>67.246300000000005</v>
      </c>
      <c r="AG99" s="208">
        <f t="shared" si="30"/>
        <v>119.79124999999999</v>
      </c>
      <c r="AH99" s="208">
        <f t="shared" si="30"/>
        <v>123.8484</v>
      </c>
      <c r="AI99" s="208">
        <f t="shared" si="30"/>
        <v>104.50218000000001</v>
      </c>
      <c r="AJ99" s="208">
        <f t="shared" si="30"/>
        <v>0</v>
      </c>
      <c r="AK99" s="208">
        <f t="shared" si="30"/>
        <v>62.559060000000002</v>
      </c>
      <c r="AL99" s="208">
        <f t="shared" si="30"/>
        <v>69.356089999999995</v>
      </c>
      <c r="AM99" s="208">
        <f t="shared" si="30"/>
        <v>89.369910000000004</v>
      </c>
      <c r="AN99" s="208">
        <f t="shared" si="30"/>
        <v>40.148510000000002</v>
      </c>
      <c r="AO99" s="208">
        <f t="shared" si="30"/>
        <v>106.41468</v>
      </c>
      <c r="AP99" s="208">
        <f t="shared" si="30"/>
        <v>109.98637000000001</v>
      </c>
      <c r="AQ99" s="208">
        <f t="shared" si="30"/>
        <v>1.1779799999999998</v>
      </c>
      <c r="AR99" s="208">
        <f t="shared" si="30"/>
        <v>74.036619999999999</v>
      </c>
      <c r="AS99" s="208">
        <f t="shared" si="30"/>
        <v>33.685100000000006</v>
      </c>
      <c r="AT99" s="208">
        <f t="shared" si="30"/>
        <v>83.720130000000012</v>
      </c>
      <c r="AU99" s="208">
        <f t="shared" si="30"/>
        <v>82.100560000000002</v>
      </c>
      <c r="AV99" s="208">
        <f t="shared" si="30"/>
        <v>216.98725999999994</v>
      </c>
      <c r="AW99" s="208">
        <f t="shared" si="30"/>
        <v>210.42053999999999</v>
      </c>
    </row>
    <row r="100" spans="1:49" hidden="1" outlineLevel="1">
      <c r="H100" s="220" t="s">
        <v>76</v>
      </c>
      <c r="I100" s="220"/>
      <c r="J100" s="204"/>
      <c r="K100" s="204"/>
      <c r="L100" s="204"/>
      <c r="M100" s="205"/>
      <c r="N100" s="205"/>
      <c r="O100" s="205"/>
      <c r="P100" s="204">
        <v>61.028379999999999</v>
      </c>
      <c r="Q100" s="204">
        <v>23.828889999999998</v>
      </c>
      <c r="R100" s="205">
        <v>57.410959999999996</v>
      </c>
      <c r="S100" s="205">
        <v>54.785510000000002</v>
      </c>
      <c r="T100" s="205">
        <v>76.544769999999986</v>
      </c>
      <c r="U100" s="205">
        <v>45.145890000000009</v>
      </c>
      <c r="V100" s="205">
        <v>94.943719999999999</v>
      </c>
      <c r="W100" s="205">
        <v>78.841710000000006</v>
      </c>
      <c r="X100" s="205">
        <v>28.208379999999998</v>
      </c>
      <c r="Y100" s="205">
        <v>42.839849999999998</v>
      </c>
      <c r="Z100" s="205">
        <v>35.62165000000001</v>
      </c>
      <c r="AA100" s="205">
        <v>35.624030000000005</v>
      </c>
      <c r="AB100" s="205">
        <v>53.057729999999999</v>
      </c>
      <c r="AC100" s="205">
        <v>54.869329999999998</v>
      </c>
      <c r="AD100" s="205">
        <v>34.416710000000002</v>
      </c>
      <c r="AE100" s="205">
        <v>89.348749999999995</v>
      </c>
      <c r="AF100" s="205">
        <v>16.269209999999998</v>
      </c>
      <c r="AG100" s="205">
        <v>29.671099999999999</v>
      </c>
      <c r="AH100" s="205">
        <v>62.546779999999991</v>
      </c>
      <c r="AI100" s="205">
        <v>54.961449999999999</v>
      </c>
      <c r="AJ100" s="205">
        <v>0</v>
      </c>
      <c r="AK100" s="205">
        <v>32.68974</v>
      </c>
      <c r="AL100" s="205">
        <v>35.828650000000003</v>
      </c>
      <c r="AM100" s="205">
        <v>45.40059999999999</v>
      </c>
      <c r="AN100" s="205">
        <v>21.5959</v>
      </c>
      <c r="AO100" s="205">
        <v>67.00021000000001</v>
      </c>
      <c r="AP100" s="205">
        <v>68.501979999999989</v>
      </c>
      <c r="AQ100" s="205">
        <v>1.7231500000000002</v>
      </c>
      <c r="AR100" s="205">
        <v>46.093090000000004</v>
      </c>
      <c r="AS100" s="205">
        <v>21.206199999999999</v>
      </c>
      <c r="AT100" s="205">
        <v>52.465490000000003</v>
      </c>
      <c r="AU100" s="205">
        <v>51.400109999999998</v>
      </c>
      <c r="AV100" s="205">
        <v>135.00476</v>
      </c>
      <c r="AW100" s="205">
        <v>68.941589999999991</v>
      </c>
    </row>
    <row r="101" spans="1:49" hidden="1" outlineLevel="1">
      <c r="H101" s="220" t="s">
        <v>77</v>
      </c>
      <c r="I101" s="220"/>
      <c r="J101" s="204"/>
      <c r="K101" s="204"/>
      <c r="L101" s="204"/>
      <c r="M101" s="205"/>
      <c r="N101" s="205"/>
      <c r="O101" s="205"/>
      <c r="P101" s="204">
        <v>23.564529999999998</v>
      </c>
      <c r="Q101" s="204">
        <v>8.77318</v>
      </c>
      <c r="R101" s="205">
        <v>22.3611</v>
      </c>
      <c r="S101" s="205">
        <v>17.432009999999998</v>
      </c>
      <c r="T101" s="205">
        <v>44.583400000000005</v>
      </c>
      <c r="U101" s="205">
        <v>16.30236</v>
      </c>
      <c r="V101" s="205">
        <v>39.518170000000005</v>
      </c>
      <c r="W101" s="205">
        <v>25.350720000000003</v>
      </c>
      <c r="X101" s="205">
        <v>12.661720000000001</v>
      </c>
      <c r="Y101" s="205">
        <v>16.074570000000001</v>
      </c>
      <c r="Z101" s="205">
        <v>10.24887</v>
      </c>
      <c r="AA101" s="205">
        <v>13.165509999999999</v>
      </c>
      <c r="AB101" s="205">
        <v>30.596070000000001</v>
      </c>
      <c r="AC101" s="205">
        <v>32.470589999999994</v>
      </c>
      <c r="AD101" s="205">
        <v>21.53594</v>
      </c>
      <c r="AE101" s="205">
        <v>102.60842000000001</v>
      </c>
      <c r="AF101" s="205">
        <v>11.220920000000001</v>
      </c>
      <c r="AG101" s="205">
        <v>17.955389999999998</v>
      </c>
      <c r="AH101" s="205">
        <v>36.441799999999994</v>
      </c>
      <c r="AI101" s="205">
        <v>32.203069999999997</v>
      </c>
      <c r="AJ101" s="205">
        <v>0</v>
      </c>
      <c r="AK101" s="205">
        <v>18.25468</v>
      </c>
      <c r="AL101" s="205">
        <v>22.333460000000002</v>
      </c>
      <c r="AM101" s="205">
        <v>34.192959999999999</v>
      </c>
      <c r="AN101" s="205">
        <v>11.39465</v>
      </c>
      <c r="AO101" s="205">
        <v>27.248939999999997</v>
      </c>
      <c r="AP101" s="205">
        <v>28.445350000000001</v>
      </c>
      <c r="AQ101" s="205">
        <v>16.842919999999999</v>
      </c>
      <c r="AR101" s="205">
        <v>18.68882</v>
      </c>
      <c r="AS101" s="205">
        <v>8.1636600000000001</v>
      </c>
      <c r="AT101" s="205">
        <v>18.535699999999999</v>
      </c>
      <c r="AU101" s="205">
        <v>19.633679999999998</v>
      </c>
      <c r="AV101" s="205">
        <v>49.712609999999991</v>
      </c>
      <c r="AW101" s="205">
        <v>166.75379999999998</v>
      </c>
    </row>
    <row r="102" spans="1:49" hidden="1" outlineLevel="1">
      <c r="H102" s="220" t="s">
        <v>78</v>
      </c>
      <c r="I102" s="220"/>
      <c r="J102" s="204"/>
      <c r="K102" s="204"/>
      <c r="L102" s="204"/>
      <c r="M102" s="205"/>
      <c r="N102" s="205"/>
      <c r="O102" s="205"/>
      <c r="P102" s="204">
        <v>21.06991</v>
      </c>
      <c r="Q102" s="204">
        <v>13.317410000000001</v>
      </c>
      <c r="R102" s="205">
        <v>20.304990000000004</v>
      </c>
      <c r="S102" s="205">
        <v>28.319230000000005</v>
      </c>
      <c r="T102" s="205">
        <v>34.455589999999994</v>
      </c>
      <c r="U102" s="205">
        <v>19.611810000000002</v>
      </c>
      <c r="V102" s="205">
        <v>36.164429999999996</v>
      </c>
      <c r="W102" s="205">
        <v>36.056890000000003</v>
      </c>
      <c r="X102" s="205">
        <v>10.910960000000003</v>
      </c>
      <c r="Y102" s="205">
        <v>16.168390000000002</v>
      </c>
      <c r="Z102" s="205">
        <v>14.145320000000002</v>
      </c>
      <c r="AA102" s="205">
        <v>12.252460000000001</v>
      </c>
      <c r="AB102" s="205">
        <v>26.292720000000003</v>
      </c>
      <c r="AC102" s="205">
        <v>24.53735</v>
      </c>
      <c r="AD102" s="205">
        <v>15.05827</v>
      </c>
      <c r="AE102" s="205">
        <v>45.357779999999991</v>
      </c>
      <c r="AF102" s="205">
        <v>9.7167600000000007</v>
      </c>
      <c r="AG102" s="205">
        <v>14.80091</v>
      </c>
      <c r="AH102" s="205">
        <v>32.769190000000002</v>
      </c>
      <c r="AI102" s="205">
        <v>24.803519999999999</v>
      </c>
      <c r="AJ102" s="205">
        <v>0</v>
      </c>
      <c r="AK102" s="205">
        <v>14.477739999999997</v>
      </c>
      <c r="AL102" s="205">
        <v>18.417960000000008</v>
      </c>
      <c r="AM102" s="205">
        <v>22.015139999999995</v>
      </c>
      <c r="AN102" s="205">
        <v>10.820360000000003</v>
      </c>
      <c r="AO102" s="205">
        <v>15.869409999999998</v>
      </c>
      <c r="AP102" s="205">
        <v>16.127200000000002</v>
      </c>
      <c r="AQ102" s="205">
        <v>1.3574699999999997</v>
      </c>
      <c r="AR102" s="205">
        <v>11.103519999999998</v>
      </c>
      <c r="AS102" s="205">
        <v>5.31508</v>
      </c>
      <c r="AT102" s="205">
        <v>12.481760000000001</v>
      </c>
      <c r="AU102" s="205">
        <v>12.194880000000001</v>
      </c>
      <c r="AV102" s="205">
        <v>32.22466</v>
      </c>
      <c r="AW102" s="205">
        <v>97.145189999999999</v>
      </c>
    </row>
    <row r="103" spans="1:49" collapsed="1">
      <c r="A103" t="s">
        <v>79</v>
      </c>
      <c r="H103" s="214" t="s">
        <v>79</v>
      </c>
      <c r="I103" s="214"/>
      <c r="J103" s="207">
        <f>SUMIFS($P103:$AW103,$P$3:$AW$3,J$4)</f>
        <v>1777.4212199999997</v>
      </c>
      <c r="K103" s="207">
        <f>J103-AE103-AF103</f>
        <v>1502.8993799999998</v>
      </c>
      <c r="L103" s="207">
        <f t="shared" ref="L103:N103" si="31">SUMIFS($P103:$AW103,$P$3:$AW$3,L$4)</f>
        <v>717.41711000000009</v>
      </c>
      <c r="M103" s="207">
        <f t="shared" si="31"/>
        <v>419.17960999999997</v>
      </c>
      <c r="N103" s="207">
        <f t="shared" si="31"/>
        <v>332.84057999999999</v>
      </c>
      <c r="O103" s="208"/>
      <c r="P103" s="207">
        <f>SUBTOTAL(9,P100:P102)</f>
        <v>105.66281999999998</v>
      </c>
      <c r="Q103" s="207">
        <f t="shared" ref="Q103:AW103" si="32">SUBTOTAL(9,Q100:Q102)</f>
        <v>45.91948</v>
      </c>
      <c r="R103" s="208">
        <f t="shared" si="32"/>
        <v>100.07705</v>
      </c>
      <c r="S103" s="208">
        <f t="shared" si="32"/>
        <v>100.53675000000001</v>
      </c>
      <c r="T103" s="208">
        <f t="shared" si="32"/>
        <v>155.58375999999998</v>
      </c>
      <c r="U103" s="208">
        <f t="shared" si="32"/>
        <v>81.060060000000007</v>
      </c>
      <c r="V103" s="208">
        <f t="shared" si="32"/>
        <v>170.62632000000002</v>
      </c>
      <c r="W103" s="208">
        <f t="shared" si="32"/>
        <v>140.24932000000001</v>
      </c>
      <c r="X103" s="208">
        <f t="shared" si="32"/>
        <v>51.781060000000004</v>
      </c>
      <c r="Y103" s="208">
        <f t="shared" si="32"/>
        <v>75.082809999999995</v>
      </c>
      <c r="Z103" s="208">
        <f t="shared" si="32"/>
        <v>60.015840000000011</v>
      </c>
      <c r="AA103" s="208">
        <f t="shared" si="32"/>
        <v>61.042000000000002</v>
      </c>
      <c r="AB103" s="208">
        <f t="shared" si="32"/>
        <v>109.94652000000001</v>
      </c>
      <c r="AC103" s="208">
        <f t="shared" si="32"/>
        <v>111.87727</v>
      </c>
      <c r="AD103" s="208">
        <f t="shared" si="32"/>
        <v>71.010919999999999</v>
      </c>
      <c r="AE103" s="208">
        <f t="shared" si="32"/>
        <v>237.31495000000001</v>
      </c>
      <c r="AF103" s="208">
        <f t="shared" si="32"/>
        <v>37.206890000000001</v>
      </c>
      <c r="AG103" s="208">
        <f t="shared" si="32"/>
        <v>62.427399999999999</v>
      </c>
      <c r="AH103" s="208">
        <f t="shared" si="32"/>
        <v>131.75776999999999</v>
      </c>
      <c r="AI103" s="208">
        <f t="shared" si="32"/>
        <v>111.96804</v>
      </c>
      <c r="AJ103" s="208">
        <f t="shared" si="32"/>
        <v>0</v>
      </c>
      <c r="AK103" s="208">
        <f t="shared" si="32"/>
        <v>65.422159999999991</v>
      </c>
      <c r="AL103" s="208">
        <f t="shared" si="32"/>
        <v>76.580070000000006</v>
      </c>
      <c r="AM103" s="208">
        <f t="shared" si="32"/>
        <v>101.6087</v>
      </c>
      <c r="AN103" s="208">
        <f t="shared" si="32"/>
        <v>43.81091</v>
      </c>
      <c r="AO103" s="208">
        <f t="shared" si="32"/>
        <v>110.11856000000002</v>
      </c>
      <c r="AP103" s="208">
        <f t="shared" si="32"/>
        <v>113.07453</v>
      </c>
      <c r="AQ103" s="208">
        <f t="shared" si="32"/>
        <v>19.923539999999999</v>
      </c>
      <c r="AR103" s="208">
        <f t="shared" si="32"/>
        <v>75.885430000000014</v>
      </c>
      <c r="AS103" s="208">
        <f t="shared" si="32"/>
        <v>34.684939999999997</v>
      </c>
      <c r="AT103" s="208">
        <f t="shared" si="32"/>
        <v>83.482950000000017</v>
      </c>
      <c r="AU103" s="208">
        <f t="shared" si="32"/>
        <v>83.228669999999994</v>
      </c>
      <c r="AV103" s="208">
        <f t="shared" si="32"/>
        <v>216.94202999999999</v>
      </c>
      <c r="AW103" s="208">
        <f t="shared" si="32"/>
        <v>332.84057999999999</v>
      </c>
    </row>
    <row r="104" spans="1:49" hidden="1" outlineLevel="1">
      <c r="H104" s="220" t="s">
        <v>80</v>
      </c>
      <c r="I104" s="220"/>
      <c r="J104" s="204"/>
      <c r="K104" s="204"/>
      <c r="L104" s="204"/>
      <c r="M104" s="205"/>
      <c r="N104" s="205"/>
      <c r="O104" s="205"/>
      <c r="P104" s="204">
        <v>24.558649999999993</v>
      </c>
      <c r="Q104" s="204">
        <v>13.175329999999999</v>
      </c>
      <c r="R104" s="205">
        <v>22.073479999999996</v>
      </c>
      <c r="S104" s="205">
        <v>28.488030000000002</v>
      </c>
      <c r="T104" s="205">
        <v>32.616520000000001</v>
      </c>
      <c r="U104" s="205">
        <v>23.923439999999999</v>
      </c>
      <c r="V104" s="205">
        <v>38.096319999999992</v>
      </c>
      <c r="W104" s="205">
        <v>42.941779999999994</v>
      </c>
      <c r="X104" s="205">
        <v>14.328929999999998</v>
      </c>
      <c r="Y104" s="205">
        <v>16.823760000000004</v>
      </c>
      <c r="Z104" s="205">
        <v>17.82771</v>
      </c>
      <c r="AA104" s="205">
        <v>13.771649999999999</v>
      </c>
      <c r="AB104" s="205">
        <v>20.830159999999996</v>
      </c>
      <c r="AC104" s="205">
        <v>22.825099999999999</v>
      </c>
      <c r="AD104" s="205">
        <v>15.006249999999998</v>
      </c>
      <c r="AE104" s="205">
        <v>119.48254</v>
      </c>
      <c r="AF104" s="205">
        <v>7.3544199999999993</v>
      </c>
      <c r="AG104" s="205">
        <v>12.467419999999999</v>
      </c>
      <c r="AH104" s="205">
        <v>48.265449999999994</v>
      </c>
      <c r="AI104" s="205">
        <v>40.881730000000005</v>
      </c>
      <c r="AJ104" s="205">
        <v>0</v>
      </c>
      <c r="AK104" s="205">
        <v>25.079759999999997</v>
      </c>
      <c r="AL104" s="205">
        <v>26.935440000000003</v>
      </c>
      <c r="AM104" s="205">
        <v>33.752089999999995</v>
      </c>
      <c r="AN104" s="205">
        <v>16.0579</v>
      </c>
      <c r="AO104" s="205">
        <v>39.847329999999999</v>
      </c>
      <c r="AP104" s="205">
        <v>40.490749999999998</v>
      </c>
      <c r="AQ104" s="205">
        <v>19.54345</v>
      </c>
      <c r="AR104" s="205">
        <v>31.95739</v>
      </c>
      <c r="AS104" s="205">
        <v>12.79022</v>
      </c>
      <c r="AT104" s="205">
        <v>30.740739999999999</v>
      </c>
      <c r="AU104" s="205">
        <v>30.887589999999996</v>
      </c>
      <c r="AV104" s="205">
        <v>80.224999999999994</v>
      </c>
      <c r="AW104" s="205">
        <v>66.944690000000008</v>
      </c>
    </row>
    <row r="105" spans="1:49" hidden="1" outlineLevel="1">
      <c r="H105" s="220" t="s">
        <v>81</v>
      </c>
      <c r="I105" s="220"/>
      <c r="J105" s="204"/>
      <c r="K105" s="204"/>
      <c r="L105" s="204"/>
      <c r="M105" s="205"/>
      <c r="N105" s="205"/>
      <c r="O105" s="205"/>
      <c r="P105" s="204">
        <v>0.10083000000000002</v>
      </c>
      <c r="Q105" s="204">
        <v>0</v>
      </c>
      <c r="R105" s="205">
        <v>7.9939999999999997E-2</v>
      </c>
      <c r="S105" s="205">
        <v>0</v>
      </c>
      <c r="T105" s="205">
        <v>0</v>
      </c>
      <c r="U105" s="205">
        <v>0</v>
      </c>
      <c r="V105" s="205">
        <v>0.18021999999999999</v>
      </c>
      <c r="W105" s="205">
        <v>0</v>
      </c>
      <c r="X105" s="205">
        <v>0</v>
      </c>
      <c r="Y105" s="205">
        <v>9.1900000000000009E-2</v>
      </c>
      <c r="Z105" s="205">
        <v>0</v>
      </c>
      <c r="AA105" s="205">
        <v>4.7119999999999995E-2</v>
      </c>
      <c r="AB105" s="205">
        <v>0</v>
      </c>
      <c r="AC105" s="205">
        <v>0</v>
      </c>
      <c r="AD105" s="205">
        <v>0</v>
      </c>
      <c r="AE105" s="205">
        <v>0</v>
      </c>
      <c r="AF105" s="205">
        <v>0</v>
      </c>
      <c r="AG105" s="205">
        <v>0</v>
      </c>
      <c r="AH105" s="205">
        <v>8.8419999999999985E-2</v>
      </c>
      <c r="AI105" s="205">
        <v>0.12462999999999999</v>
      </c>
      <c r="AJ105" s="205">
        <v>0</v>
      </c>
      <c r="AK105" s="205">
        <v>0.13492999999999999</v>
      </c>
      <c r="AL105" s="205">
        <v>5.1840000000000004E-2</v>
      </c>
      <c r="AM105" s="205">
        <v>8.2720000000000002E-2</v>
      </c>
      <c r="AN105" s="205">
        <v>6.7470000000000002E-2</v>
      </c>
      <c r="AO105" s="205">
        <v>2.8559999999999999E-2</v>
      </c>
      <c r="AP105" s="205">
        <v>5.3600000000000002E-3</v>
      </c>
      <c r="AQ105" s="205">
        <v>0</v>
      </c>
      <c r="AR105" s="205">
        <v>2.3799999999999997E-3</v>
      </c>
      <c r="AS105" s="205">
        <v>5.9999999999999995E-4</v>
      </c>
      <c r="AT105" s="205">
        <v>2.3799999999999997E-3</v>
      </c>
      <c r="AU105" s="205">
        <v>2.3799999999999997E-3</v>
      </c>
      <c r="AV105" s="205">
        <v>8.3300000000000006E-3</v>
      </c>
      <c r="AW105" s="205">
        <v>3</v>
      </c>
    </row>
    <row r="106" spans="1:49" hidden="1" outlineLevel="1">
      <c r="H106" s="220" t="s">
        <v>82</v>
      </c>
      <c r="I106" s="220"/>
      <c r="J106" s="204"/>
      <c r="K106" s="204"/>
      <c r="L106" s="204"/>
      <c r="M106" s="205"/>
      <c r="N106" s="205"/>
      <c r="O106" s="205"/>
      <c r="P106" s="204">
        <v>0</v>
      </c>
      <c r="Q106" s="204">
        <v>0</v>
      </c>
      <c r="R106" s="205">
        <v>0</v>
      </c>
      <c r="S106" s="205">
        <v>0</v>
      </c>
      <c r="T106" s="205">
        <v>0.69444000000000006</v>
      </c>
      <c r="U106" s="205">
        <v>0</v>
      </c>
      <c r="V106" s="205">
        <v>0</v>
      </c>
      <c r="W106" s="205">
        <v>0</v>
      </c>
      <c r="X106" s="205">
        <v>0</v>
      </c>
      <c r="Y106" s="205">
        <v>0</v>
      </c>
      <c r="Z106" s="205">
        <v>0</v>
      </c>
      <c r="AA106" s="205">
        <v>0</v>
      </c>
      <c r="AB106" s="205">
        <v>0.43662000000000001</v>
      </c>
      <c r="AC106" s="205">
        <v>0.50997000000000003</v>
      </c>
      <c r="AD106" s="205">
        <v>0.28287000000000001</v>
      </c>
      <c r="AE106" s="205">
        <v>30.253810000000001</v>
      </c>
      <c r="AF106" s="205">
        <v>0.14077999999999999</v>
      </c>
      <c r="AG106" s="205">
        <v>0.17794000000000001</v>
      </c>
      <c r="AH106" s="205">
        <v>42.318660000000001</v>
      </c>
      <c r="AI106" s="205">
        <v>11.203280000000001</v>
      </c>
      <c r="AJ106" s="205">
        <v>0</v>
      </c>
      <c r="AK106" s="205">
        <v>7.8960800000000004</v>
      </c>
      <c r="AL106" s="205">
        <v>6.6454000000000004</v>
      </c>
      <c r="AM106" s="205">
        <v>7.7376600000000018</v>
      </c>
      <c r="AN106" s="205">
        <v>31.098290000000002</v>
      </c>
      <c r="AO106" s="205">
        <v>2.5234800000000002</v>
      </c>
      <c r="AP106" s="205">
        <v>1.50339</v>
      </c>
      <c r="AQ106" s="205">
        <v>0</v>
      </c>
      <c r="AR106" s="205">
        <v>2.44292</v>
      </c>
      <c r="AS106" s="205">
        <v>4.0280000000000003E-2</v>
      </c>
      <c r="AT106" s="205">
        <v>2.8232199999999996</v>
      </c>
      <c r="AU106" s="205">
        <v>0.92171000000000003</v>
      </c>
      <c r="AV106" s="205">
        <v>3.9865900000000001</v>
      </c>
      <c r="AW106" s="205">
        <v>0</v>
      </c>
    </row>
    <row r="107" spans="1:49" hidden="1" outlineLevel="1">
      <c r="H107" s="220" t="s">
        <v>83</v>
      </c>
      <c r="I107" s="220"/>
      <c r="J107" s="204"/>
      <c r="K107" s="204"/>
      <c r="L107" s="204"/>
      <c r="M107" s="205"/>
      <c r="N107" s="205"/>
      <c r="O107" s="205"/>
      <c r="P107" s="204">
        <v>3.5320199999999997</v>
      </c>
      <c r="Q107" s="204">
        <v>5.9294099999999998</v>
      </c>
      <c r="R107" s="205">
        <v>2.7685900000000001</v>
      </c>
      <c r="S107" s="205">
        <v>13.942729999999999</v>
      </c>
      <c r="T107" s="205">
        <v>37.215220000000002</v>
      </c>
      <c r="U107" s="205">
        <v>10.900930000000001</v>
      </c>
      <c r="V107" s="205">
        <v>4.7320100000000007</v>
      </c>
      <c r="W107" s="205">
        <v>19.750989999999998</v>
      </c>
      <c r="X107" s="205">
        <v>0.36937999999999999</v>
      </c>
      <c r="Y107" s="205">
        <v>2.6093600000000001</v>
      </c>
      <c r="Z107" s="205">
        <v>8.1498600000000003</v>
      </c>
      <c r="AA107" s="205">
        <v>2.3492099999999998</v>
      </c>
      <c r="AB107" s="205">
        <v>25.34487</v>
      </c>
      <c r="AC107" s="205">
        <v>26.272669999999998</v>
      </c>
      <c r="AD107" s="205">
        <v>16.591419999999999</v>
      </c>
      <c r="AE107" s="205">
        <v>68.922499999999999</v>
      </c>
      <c r="AF107" s="205">
        <v>7.7419700000000002</v>
      </c>
      <c r="AG107" s="205">
        <v>14.115710000000002</v>
      </c>
      <c r="AH107" s="205">
        <v>39.840020000000003</v>
      </c>
      <c r="AI107" s="205">
        <v>38.533630000000002</v>
      </c>
      <c r="AJ107" s="205">
        <v>0</v>
      </c>
      <c r="AK107" s="205">
        <v>21.144670000000001</v>
      </c>
      <c r="AL107" s="205">
        <v>24.459809999999997</v>
      </c>
      <c r="AM107" s="205">
        <v>29.524129999999996</v>
      </c>
      <c r="AN107" s="205">
        <v>14.52281</v>
      </c>
      <c r="AO107" s="205">
        <v>34.35022</v>
      </c>
      <c r="AP107" s="205">
        <v>34.007910000000003</v>
      </c>
      <c r="AQ107" s="205">
        <v>0.45186999999999999</v>
      </c>
      <c r="AR107" s="205">
        <v>22.253309999999999</v>
      </c>
      <c r="AS107" s="205">
        <v>10.81039</v>
      </c>
      <c r="AT107" s="205">
        <v>25.629699999999996</v>
      </c>
      <c r="AU107" s="205">
        <v>26.154040000000002</v>
      </c>
      <c r="AV107" s="205">
        <v>66.523440000000008</v>
      </c>
      <c r="AW107" s="205">
        <v>12.349009999999998</v>
      </c>
    </row>
    <row r="108" spans="1:49" hidden="1" outlineLevel="1">
      <c r="H108" s="220" t="s">
        <v>96</v>
      </c>
      <c r="I108" s="220"/>
      <c r="J108" s="204"/>
      <c r="K108" s="204"/>
      <c r="L108" s="204"/>
      <c r="M108" s="205"/>
      <c r="N108" s="205"/>
      <c r="O108" s="205"/>
      <c r="P108" s="204">
        <v>0</v>
      </c>
      <c r="Q108" s="204">
        <v>0</v>
      </c>
      <c r="R108" s="205">
        <v>0</v>
      </c>
      <c r="S108" s="205">
        <v>0</v>
      </c>
      <c r="T108" s="205">
        <v>0</v>
      </c>
      <c r="U108" s="205">
        <v>0</v>
      </c>
      <c r="V108" s="205">
        <v>0</v>
      </c>
      <c r="W108" s="205">
        <v>0</v>
      </c>
      <c r="X108" s="205">
        <v>9.0399999999999991</v>
      </c>
      <c r="Y108" s="205">
        <v>0</v>
      </c>
      <c r="Z108" s="205">
        <v>0</v>
      </c>
      <c r="AA108" s="205">
        <v>0</v>
      </c>
      <c r="AB108" s="205">
        <v>0</v>
      </c>
      <c r="AC108" s="205">
        <v>0</v>
      </c>
      <c r="AD108" s="205">
        <v>0</v>
      </c>
      <c r="AE108" s="205">
        <v>55.767400000000002</v>
      </c>
      <c r="AF108" s="205">
        <v>1.8205</v>
      </c>
      <c r="AG108" s="205">
        <v>13.851000000000001</v>
      </c>
      <c r="AH108" s="205">
        <v>28.1</v>
      </c>
      <c r="AI108" s="205">
        <v>19.417999999999999</v>
      </c>
      <c r="AJ108" s="205">
        <v>0</v>
      </c>
      <c r="AK108" s="205">
        <v>4</v>
      </c>
      <c r="AL108" s="205">
        <v>0</v>
      </c>
      <c r="AM108" s="205">
        <v>6.9749999999999996</v>
      </c>
      <c r="AN108" s="205">
        <v>2.9876999999999998</v>
      </c>
      <c r="AO108" s="205">
        <v>33.911960000000001</v>
      </c>
      <c r="AP108" s="205">
        <v>48.764940000000003</v>
      </c>
      <c r="AQ108" s="205">
        <v>19.55</v>
      </c>
      <c r="AR108" s="205">
        <v>23.140559999999997</v>
      </c>
      <c r="AS108" s="205">
        <v>24.775729999999999</v>
      </c>
      <c r="AT108" s="205">
        <v>30.619349999999997</v>
      </c>
      <c r="AU108" s="205">
        <v>52.452919999999999</v>
      </c>
      <c r="AV108" s="205">
        <v>85.065500000000014</v>
      </c>
      <c r="AW108" s="205">
        <v>0</v>
      </c>
    </row>
    <row r="109" spans="1:49" hidden="1" outlineLevel="1">
      <c r="H109" s="220" t="s">
        <v>98</v>
      </c>
      <c r="I109" s="220"/>
      <c r="J109" s="204"/>
      <c r="K109" s="204"/>
      <c r="L109" s="204"/>
      <c r="M109" s="205"/>
      <c r="N109" s="205"/>
      <c r="O109" s="205"/>
      <c r="P109" s="204">
        <v>0</v>
      </c>
      <c r="Q109" s="204">
        <v>0</v>
      </c>
      <c r="R109" s="205">
        <v>0</v>
      </c>
      <c r="S109" s="205">
        <v>0</v>
      </c>
      <c r="T109" s="205">
        <v>0</v>
      </c>
      <c r="U109" s="205">
        <v>0</v>
      </c>
      <c r="V109" s="205">
        <v>0</v>
      </c>
      <c r="W109" s="205">
        <v>0</v>
      </c>
      <c r="X109" s="205">
        <v>0</v>
      </c>
      <c r="Y109" s="205">
        <v>0</v>
      </c>
      <c r="Z109" s="205">
        <v>0</v>
      </c>
      <c r="AA109" s="205">
        <v>0</v>
      </c>
      <c r="AB109" s="205">
        <v>0</v>
      </c>
      <c r="AC109" s="205">
        <v>0</v>
      </c>
      <c r="AD109" s="205">
        <v>0</v>
      </c>
      <c r="AE109" s="205">
        <v>0</v>
      </c>
      <c r="AF109" s="205">
        <v>0</v>
      </c>
      <c r="AG109" s="205">
        <v>0</v>
      </c>
      <c r="AH109" s="205">
        <v>0</v>
      </c>
      <c r="AI109" s="205">
        <v>0</v>
      </c>
      <c r="AJ109" s="205">
        <v>0</v>
      </c>
      <c r="AK109" s="205">
        <v>0</v>
      </c>
      <c r="AL109" s="205">
        <v>0</v>
      </c>
      <c r="AM109" s="205">
        <v>0</v>
      </c>
      <c r="AN109" s="205">
        <v>0</v>
      </c>
      <c r="AO109" s="205">
        <v>0</v>
      </c>
      <c r="AP109" s="205">
        <v>0.96341999999999994</v>
      </c>
      <c r="AQ109" s="205">
        <v>0</v>
      </c>
      <c r="AR109" s="205">
        <v>0</v>
      </c>
      <c r="AS109" s="205">
        <v>0.1</v>
      </c>
      <c r="AT109" s="205">
        <v>0.96858</v>
      </c>
      <c r="AU109" s="205">
        <v>0</v>
      </c>
      <c r="AV109" s="205">
        <v>0</v>
      </c>
      <c r="AW109" s="205">
        <v>0</v>
      </c>
    </row>
    <row r="110" spans="1:49" hidden="1" outlineLevel="1">
      <c r="H110" s="220" t="s">
        <v>99</v>
      </c>
      <c r="I110" s="220"/>
      <c r="J110" s="204"/>
      <c r="K110" s="204"/>
      <c r="L110" s="204"/>
      <c r="M110" s="205"/>
      <c r="N110" s="205"/>
      <c r="O110" s="205"/>
      <c r="P110" s="204">
        <v>0</v>
      </c>
      <c r="Q110" s="204">
        <v>0</v>
      </c>
      <c r="R110" s="205">
        <v>0</v>
      </c>
      <c r="S110" s="205">
        <v>0</v>
      </c>
      <c r="T110" s="205">
        <v>0</v>
      </c>
      <c r="U110" s="205">
        <v>0</v>
      </c>
      <c r="V110" s="205">
        <v>0</v>
      </c>
      <c r="W110" s="205">
        <v>0</v>
      </c>
      <c r="X110" s="205">
        <v>0</v>
      </c>
      <c r="Y110" s="205">
        <v>0</v>
      </c>
      <c r="Z110" s="205">
        <v>0</v>
      </c>
      <c r="AA110" s="205">
        <v>0</v>
      </c>
      <c r="AB110" s="205">
        <v>0</v>
      </c>
      <c r="AC110" s="205">
        <v>0</v>
      </c>
      <c r="AD110" s="205">
        <v>0</v>
      </c>
      <c r="AE110" s="205">
        <v>0</v>
      </c>
      <c r="AF110" s="205">
        <v>0</v>
      </c>
      <c r="AG110" s="205">
        <v>0</v>
      </c>
      <c r="AH110" s="205">
        <v>0</v>
      </c>
      <c r="AI110" s="205">
        <v>0</v>
      </c>
      <c r="AJ110" s="205">
        <v>0</v>
      </c>
      <c r="AK110" s="205">
        <v>0</v>
      </c>
      <c r="AL110" s="205">
        <v>0</v>
      </c>
      <c r="AM110" s="205">
        <v>0</v>
      </c>
      <c r="AN110" s="205">
        <v>0</v>
      </c>
      <c r="AO110" s="205">
        <v>0</v>
      </c>
      <c r="AP110" s="205">
        <v>1.63</v>
      </c>
      <c r="AQ110" s="205">
        <v>0</v>
      </c>
      <c r="AR110" s="205">
        <v>0</v>
      </c>
      <c r="AS110" s="205">
        <v>2.9169999999999998</v>
      </c>
      <c r="AT110" s="205">
        <v>0.95074999999999998</v>
      </c>
      <c r="AU110" s="205">
        <v>7.7971599999999999</v>
      </c>
      <c r="AV110" s="205">
        <v>6.5524100000000001</v>
      </c>
      <c r="AW110" s="205">
        <v>5.81</v>
      </c>
    </row>
    <row r="111" spans="1:49" hidden="1" outlineLevel="1">
      <c r="H111" s="220" t="s">
        <v>84</v>
      </c>
      <c r="I111" s="220"/>
      <c r="J111" s="204"/>
      <c r="K111" s="204"/>
      <c r="L111" s="204"/>
      <c r="M111" s="205"/>
      <c r="N111" s="205"/>
      <c r="O111" s="205"/>
      <c r="P111" s="204">
        <v>17.841630000000002</v>
      </c>
      <c r="Q111" s="204">
        <v>5.2184900000000001</v>
      </c>
      <c r="R111" s="205">
        <v>22.025680000000005</v>
      </c>
      <c r="S111" s="205">
        <v>14.983980000000001</v>
      </c>
      <c r="T111" s="205">
        <v>6.5281999999999991</v>
      </c>
      <c r="U111" s="205">
        <v>14.87923</v>
      </c>
      <c r="V111" s="205">
        <v>20.933340000000001</v>
      </c>
      <c r="W111" s="205">
        <v>14.328560000000001</v>
      </c>
      <c r="X111" s="205">
        <v>0</v>
      </c>
      <c r="Y111" s="205">
        <v>5.4965299999999999</v>
      </c>
      <c r="Z111" s="205">
        <v>6.7362099999999989</v>
      </c>
      <c r="AA111" s="205">
        <v>12.94407</v>
      </c>
      <c r="AB111" s="205">
        <v>6.4212100000000003</v>
      </c>
      <c r="AC111" s="205">
        <v>12.101699999999999</v>
      </c>
      <c r="AD111" s="205">
        <v>47.822470000000003</v>
      </c>
      <c r="AE111" s="205">
        <v>102.67744</v>
      </c>
      <c r="AF111" s="205">
        <v>0</v>
      </c>
      <c r="AG111" s="205">
        <v>49.719470000000008</v>
      </c>
      <c r="AH111" s="205">
        <v>55.649800000000006</v>
      </c>
      <c r="AI111" s="205">
        <v>0.14736000000000002</v>
      </c>
      <c r="AJ111" s="205">
        <v>0.40356000000000003</v>
      </c>
      <c r="AK111" s="205">
        <v>6.9275799999999998</v>
      </c>
      <c r="AL111" s="205">
        <v>11.773830000000002</v>
      </c>
      <c r="AM111" s="205">
        <v>12.633389999999999</v>
      </c>
      <c r="AN111" s="205">
        <v>8.4960199999999979</v>
      </c>
      <c r="AO111" s="205">
        <v>10.344479999999999</v>
      </c>
      <c r="AP111" s="205">
        <v>11.689719999999999</v>
      </c>
      <c r="AQ111" s="205">
        <v>0</v>
      </c>
      <c r="AR111" s="205">
        <v>9.9313900000000004</v>
      </c>
      <c r="AS111" s="205">
        <v>0.98327999999999993</v>
      </c>
      <c r="AT111" s="205">
        <v>2.91269</v>
      </c>
      <c r="AU111" s="205">
        <v>7.6859099999999989</v>
      </c>
      <c r="AV111" s="205">
        <v>7.1138700000000004</v>
      </c>
      <c r="AW111" s="205">
        <v>38.656320000000001</v>
      </c>
    </row>
    <row r="112" spans="1:49" collapsed="1">
      <c r="A112" t="s">
        <v>85</v>
      </c>
      <c r="H112" s="214" t="s">
        <v>85</v>
      </c>
      <c r="I112" s="214"/>
      <c r="J112" s="207">
        <f>SUMIFS($P112:$AW112,$P$3:$AW$3,J$4)</f>
        <v>1231.96389</v>
      </c>
      <c r="K112" s="207">
        <f>J112-AE112-AF112</f>
        <v>837.80252999999993</v>
      </c>
      <c r="L112" s="207">
        <f t="shared" ref="L112:N112" si="33">SUMIFS($P112:$AW112,$P$3:$AW$3,L$4)</f>
        <v>872.2312300000001</v>
      </c>
      <c r="M112" s="207">
        <f t="shared" si="33"/>
        <v>513.65042999999991</v>
      </c>
      <c r="N112" s="207">
        <f t="shared" si="33"/>
        <v>126.76002</v>
      </c>
      <c r="O112" s="208"/>
      <c r="P112" s="207">
        <f>SUBTOTAL(9,P104:P111)</f>
        <v>46.033129999999993</v>
      </c>
      <c r="Q112" s="207">
        <f t="shared" ref="Q112:AW112" si="34">SUBTOTAL(9,Q104:Q111)</f>
        <v>24.323229999999999</v>
      </c>
      <c r="R112" s="208">
        <f t="shared" si="34"/>
        <v>46.947690000000001</v>
      </c>
      <c r="S112" s="208">
        <f t="shared" si="34"/>
        <v>57.414740000000002</v>
      </c>
      <c r="T112" s="208">
        <f t="shared" si="34"/>
        <v>77.054380000000009</v>
      </c>
      <c r="U112" s="208">
        <f t="shared" si="34"/>
        <v>49.703600000000002</v>
      </c>
      <c r="V112" s="208">
        <f t="shared" si="34"/>
        <v>63.941889999999994</v>
      </c>
      <c r="W112" s="208">
        <f t="shared" si="34"/>
        <v>77.021329999999992</v>
      </c>
      <c r="X112" s="208">
        <f t="shared" si="34"/>
        <v>23.738309999999998</v>
      </c>
      <c r="Y112" s="208">
        <f t="shared" si="34"/>
        <v>25.021550000000001</v>
      </c>
      <c r="Z112" s="208">
        <f t="shared" si="34"/>
        <v>32.71378</v>
      </c>
      <c r="AA112" s="208">
        <f t="shared" si="34"/>
        <v>29.11205</v>
      </c>
      <c r="AB112" s="208">
        <f t="shared" si="34"/>
        <v>53.032859999999999</v>
      </c>
      <c r="AC112" s="208">
        <f t="shared" si="34"/>
        <v>61.709439999999994</v>
      </c>
      <c r="AD112" s="208">
        <f t="shared" si="34"/>
        <v>79.703010000000006</v>
      </c>
      <c r="AE112" s="208">
        <f t="shared" si="34"/>
        <v>377.10369000000003</v>
      </c>
      <c r="AF112" s="208">
        <f t="shared" si="34"/>
        <v>17.057669999999998</v>
      </c>
      <c r="AG112" s="208">
        <f t="shared" si="34"/>
        <v>90.331540000000018</v>
      </c>
      <c r="AH112" s="208">
        <f t="shared" si="34"/>
        <v>214.26235</v>
      </c>
      <c r="AI112" s="208">
        <f t="shared" si="34"/>
        <v>110.30863000000001</v>
      </c>
      <c r="AJ112" s="208">
        <f t="shared" si="34"/>
        <v>0.40356000000000003</v>
      </c>
      <c r="AK112" s="208">
        <f t="shared" si="34"/>
        <v>65.183019999999999</v>
      </c>
      <c r="AL112" s="208">
        <f t="shared" si="34"/>
        <v>69.866320000000002</v>
      </c>
      <c r="AM112" s="208">
        <f t="shared" si="34"/>
        <v>90.704989999999981</v>
      </c>
      <c r="AN112" s="208">
        <f t="shared" si="34"/>
        <v>73.230190000000007</v>
      </c>
      <c r="AO112" s="208">
        <f t="shared" si="34"/>
        <v>121.00603000000001</v>
      </c>
      <c r="AP112" s="208">
        <f t="shared" si="34"/>
        <v>139.05549000000002</v>
      </c>
      <c r="AQ112" s="208">
        <f t="shared" si="34"/>
        <v>39.545320000000004</v>
      </c>
      <c r="AR112" s="208">
        <f t="shared" si="34"/>
        <v>89.727949999999993</v>
      </c>
      <c r="AS112" s="208">
        <f t="shared" si="34"/>
        <v>52.417500000000004</v>
      </c>
      <c r="AT112" s="208">
        <f t="shared" si="34"/>
        <v>94.647409999999994</v>
      </c>
      <c r="AU112" s="208">
        <f t="shared" si="34"/>
        <v>125.90170999999999</v>
      </c>
      <c r="AV112" s="208">
        <f t="shared" si="34"/>
        <v>249.47514000000001</v>
      </c>
      <c r="AW112" s="208">
        <f t="shared" si="34"/>
        <v>126.76002</v>
      </c>
    </row>
    <row r="113" spans="1:49" hidden="1" outlineLevel="1">
      <c r="H113" s="220" t="s">
        <v>102</v>
      </c>
      <c r="I113" s="220"/>
      <c r="J113" s="204"/>
      <c r="K113" s="204"/>
      <c r="L113" s="204"/>
      <c r="M113" s="205"/>
      <c r="N113" s="205"/>
      <c r="O113" s="205"/>
      <c r="P113" s="204">
        <v>0</v>
      </c>
      <c r="Q113" s="204">
        <v>0</v>
      </c>
      <c r="R113" s="205">
        <v>0</v>
      </c>
      <c r="S113" s="205">
        <v>0</v>
      </c>
      <c r="T113" s="205">
        <v>0</v>
      </c>
      <c r="U113" s="205">
        <v>0</v>
      </c>
      <c r="V113" s="205">
        <v>0</v>
      </c>
      <c r="W113" s="205">
        <v>0</v>
      </c>
      <c r="X113" s="205">
        <v>0</v>
      </c>
      <c r="Y113" s="205">
        <v>0</v>
      </c>
      <c r="Z113" s="205">
        <v>0</v>
      </c>
      <c r="AA113" s="205">
        <v>0</v>
      </c>
      <c r="AB113" s="205">
        <v>0</v>
      </c>
      <c r="AC113" s="205">
        <v>0</v>
      </c>
      <c r="AD113" s="205">
        <v>0</v>
      </c>
      <c r="AE113" s="205">
        <v>0</v>
      </c>
      <c r="AF113" s="205">
        <v>0</v>
      </c>
      <c r="AG113" s="205">
        <v>0</v>
      </c>
      <c r="AH113" s="205">
        <v>0</v>
      </c>
      <c r="AI113" s="205">
        <v>0</v>
      </c>
      <c r="AJ113" s="205">
        <v>0</v>
      </c>
      <c r="AK113" s="205">
        <v>0</v>
      </c>
      <c r="AL113" s="205">
        <v>0</v>
      </c>
      <c r="AM113" s="205">
        <v>0</v>
      </c>
      <c r="AN113" s="205">
        <v>0</v>
      </c>
      <c r="AO113" s="205">
        <v>0</v>
      </c>
      <c r="AP113" s="205">
        <v>0</v>
      </c>
      <c r="AQ113" s="205">
        <v>0</v>
      </c>
      <c r="AR113" s="205">
        <v>0</v>
      </c>
      <c r="AS113" s="205">
        <v>0</v>
      </c>
      <c r="AT113" s="205">
        <v>0</v>
      </c>
      <c r="AU113" s="205">
        <v>0</v>
      </c>
      <c r="AV113" s="205">
        <v>0</v>
      </c>
      <c r="AW113" s="205">
        <v>0</v>
      </c>
    </row>
    <row r="114" spans="1:49" hidden="1" outlineLevel="1">
      <c r="H114" s="220" t="s">
        <v>103</v>
      </c>
      <c r="I114" s="220"/>
      <c r="J114" s="204"/>
      <c r="K114" s="204"/>
      <c r="L114" s="204"/>
      <c r="M114" s="205"/>
      <c r="N114" s="205"/>
      <c r="O114" s="205"/>
      <c r="P114" s="204">
        <v>0</v>
      </c>
      <c r="Q114" s="204">
        <v>0</v>
      </c>
      <c r="R114" s="205">
        <v>0</v>
      </c>
      <c r="S114" s="205">
        <v>0</v>
      </c>
      <c r="T114" s="205">
        <v>0</v>
      </c>
      <c r="U114" s="205">
        <v>0</v>
      </c>
      <c r="V114" s="205">
        <v>0</v>
      </c>
      <c r="W114" s="205">
        <v>0</v>
      </c>
      <c r="X114" s="205">
        <v>0</v>
      </c>
      <c r="Y114" s="205">
        <v>0</v>
      </c>
      <c r="Z114" s="205">
        <v>0</v>
      </c>
      <c r="AA114" s="205">
        <v>0</v>
      </c>
      <c r="AB114" s="205">
        <v>0</v>
      </c>
      <c r="AC114" s="205">
        <v>0</v>
      </c>
      <c r="AD114" s="205">
        <v>0</v>
      </c>
      <c r="AE114" s="205">
        <v>0</v>
      </c>
      <c r="AF114" s="205">
        <v>0</v>
      </c>
      <c r="AG114" s="205">
        <v>0</v>
      </c>
      <c r="AH114" s="205">
        <v>0</v>
      </c>
      <c r="AI114" s="205">
        <v>0</v>
      </c>
      <c r="AJ114" s="205">
        <v>0</v>
      </c>
      <c r="AK114" s="205">
        <v>0</v>
      </c>
      <c r="AL114" s="205">
        <v>0</v>
      </c>
      <c r="AM114" s="205">
        <v>0</v>
      </c>
      <c r="AN114" s="205">
        <v>0</v>
      </c>
      <c r="AO114" s="205">
        <v>0</v>
      </c>
      <c r="AP114" s="205">
        <v>0</v>
      </c>
      <c r="AQ114" s="205">
        <v>0</v>
      </c>
      <c r="AR114" s="205">
        <v>0</v>
      </c>
      <c r="AS114" s="205">
        <v>0</v>
      </c>
      <c r="AT114" s="205">
        <v>0</v>
      </c>
      <c r="AU114" s="205">
        <v>0</v>
      </c>
      <c r="AV114" s="205">
        <v>0</v>
      </c>
      <c r="AW114" s="205">
        <v>0</v>
      </c>
    </row>
    <row r="115" spans="1:49" hidden="1" outlineLevel="1">
      <c r="H115" s="220" t="s">
        <v>104</v>
      </c>
      <c r="I115" s="220"/>
      <c r="J115" s="204"/>
      <c r="K115" s="204"/>
      <c r="L115" s="204"/>
      <c r="M115" s="205"/>
      <c r="N115" s="205"/>
      <c r="O115" s="205"/>
      <c r="P115" s="204">
        <v>0</v>
      </c>
      <c r="Q115" s="204">
        <v>0</v>
      </c>
      <c r="R115" s="205">
        <v>0</v>
      </c>
      <c r="S115" s="205">
        <v>0</v>
      </c>
      <c r="T115" s="205">
        <v>0</v>
      </c>
      <c r="U115" s="205">
        <v>0</v>
      </c>
      <c r="V115" s="205">
        <v>0</v>
      </c>
      <c r="W115" s="205">
        <v>0</v>
      </c>
      <c r="X115" s="205">
        <v>0</v>
      </c>
      <c r="Y115" s="205">
        <v>0</v>
      </c>
      <c r="Z115" s="205">
        <v>0</v>
      </c>
      <c r="AA115" s="205">
        <v>0</v>
      </c>
      <c r="AB115" s="205">
        <v>0</v>
      </c>
      <c r="AC115" s="205">
        <v>0</v>
      </c>
      <c r="AD115" s="205">
        <v>0</v>
      </c>
      <c r="AE115" s="205">
        <v>0</v>
      </c>
      <c r="AF115" s="205">
        <v>0</v>
      </c>
      <c r="AG115" s="205">
        <v>0</v>
      </c>
      <c r="AH115" s="205">
        <v>0</v>
      </c>
      <c r="AI115" s="205">
        <v>0</v>
      </c>
      <c r="AJ115" s="205">
        <v>0</v>
      </c>
      <c r="AK115" s="205">
        <v>0</v>
      </c>
      <c r="AL115" s="205">
        <v>0</v>
      </c>
      <c r="AM115" s="205">
        <v>0</v>
      </c>
      <c r="AN115" s="205">
        <v>0</v>
      </c>
      <c r="AO115" s="205">
        <v>0</v>
      </c>
      <c r="AP115" s="205">
        <v>0</v>
      </c>
      <c r="AQ115" s="205">
        <v>0</v>
      </c>
      <c r="AR115" s="205">
        <v>0</v>
      </c>
      <c r="AS115" s="205">
        <v>0</v>
      </c>
      <c r="AT115" s="205">
        <v>0</v>
      </c>
      <c r="AU115" s="205">
        <v>0</v>
      </c>
      <c r="AV115" s="205">
        <v>0</v>
      </c>
      <c r="AW115" s="205">
        <v>0</v>
      </c>
    </row>
    <row r="116" spans="1:49" hidden="1" outlineLevel="1">
      <c r="H116" s="220" t="s">
        <v>105</v>
      </c>
      <c r="I116" s="220"/>
      <c r="J116" s="204"/>
      <c r="K116" s="204"/>
      <c r="L116" s="204"/>
      <c r="M116" s="205"/>
      <c r="N116" s="205"/>
      <c r="O116" s="205"/>
      <c r="P116" s="204">
        <v>0</v>
      </c>
      <c r="Q116" s="204">
        <v>0</v>
      </c>
      <c r="R116" s="205">
        <v>0</v>
      </c>
      <c r="S116" s="205">
        <v>0</v>
      </c>
      <c r="T116" s="205">
        <v>0</v>
      </c>
      <c r="U116" s="205">
        <v>0</v>
      </c>
      <c r="V116" s="205">
        <v>0</v>
      </c>
      <c r="W116" s="205">
        <v>0</v>
      </c>
      <c r="X116" s="205">
        <v>0</v>
      </c>
      <c r="Y116" s="205">
        <v>0</v>
      </c>
      <c r="Z116" s="205">
        <v>0</v>
      </c>
      <c r="AA116" s="205">
        <v>0</v>
      </c>
      <c r="AB116" s="205">
        <v>0</v>
      </c>
      <c r="AC116" s="205">
        <v>0</v>
      </c>
      <c r="AD116" s="205">
        <v>0</v>
      </c>
      <c r="AE116" s="205">
        <v>0</v>
      </c>
      <c r="AF116" s="205">
        <v>0</v>
      </c>
      <c r="AG116" s="205">
        <v>0</v>
      </c>
      <c r="AH116" s="205">
        <v>0</v>
      </c>
      <c r="AI116" s="205">
        <v>0</v>
      </c>
      <c r="AJ116" s="205">
        <v>0</v>
      </c>
      <c r="AK116" s="205">
        <v>0</v>
      </c>
      <c r="AL116" s="205">
        <v>0</v>
      </c>
      <c r="AM116" s="205">
        <v>0</v>
      </c>
      <c r="AN116" s="205">
        <v>0</v>
      </c>
      <c r="AO116" s="205">
        <v>0</v>
      </c>
      <c r="AP116" s="205">
        <v>0</v>
      </c>
      <c r="AQ116" s="205">
        <v>0</v>
      </c>
      <c r="AR116" s="205">
        <v>0</v>
      </c>
      <c r="AS116" s="205">
        <v>0</v>
      </c>
      <c r="AT116" s="205">
        <v>0</v>
      </c>
      <c r="AU116" s="205">
        <v>0</v>
      </c>
      <c r="AV116" s="205">
        <v>0</v>
      </c>
      <c r="AW116" s="205">
        <v>0</v>
      </c>
    </row>
    <row r="117" spans="1:49" hidden="1" outlineLevel="1">
      <c r="H117" s="220" t="s">
        <v>114</v>
      </c>
      <c r="I117" s="220"/>
      <c r="J117" s="204"/>
      <c r="K117" s="204"/>
      <c r="L117" s="204"/>
      <c r="M117" s="205"/>
      <c r="N117" s="205"/>
      <c r="O117" s="205"/>
      <c r="P117" s="204">
        <v>0</v>
      </c>
      <c r="Q117" s="204">
        <v>0</v>
      </c>
      <c r="R117" s="205">
        <v>0</v>
      </c>
      <c r="S117" s="205">
        <v>0</v>
      </c>
      <c r="T117" s="205">
        <v>0</v>
      </c>
      <c r="U117" s="205">
        <v>0</v>
      </c>
      <c r="V117" s="205">
        <v>0</v>
      </c>
      <c r="W117" s="205">
        <v>0</v>
      </c>
      <c r="X117" s="205">
        <v>0</v>
      </c>
      <c r="Y117" s="205">
        <v>0</v>
      </c>
      <c r="Z117" s="205">
        <v>0</v>
      </c>
      <c r="AA117" s="205">
        <v>0</v>
      </c>
      <c r="AB117" s="205">
        <v>0</v>
      </c>
      <c r="AC117" s="205">
        <v>0</v>
      </c>
      <c r="AD117" s="205">
        <v>0</v>
      </c>
      <c r="AE117" s="205">
        <v>0</v>
      </c>
      <c r="AF117" s="205">
        <v>0</v>
      </c>
      <c r="AG117" s="205">
        <v>0</v>
      </c>
      <c r="AH117" s="205">
        <v>0</v>
      </c>
      <c r="AI117" s="205">
        <v>0</v>
      </c>
      <c r="AJ117" s="205">
        <v>0</v>
      </c>
      <c r="AK117" s="205">
        <v>0</v>
      </c>
      <c r="AL117" s="205">
        <v>0</v>
      </c>
      <c r="AM117" s="205">
        <v>0</v>
      </c>
      <c r="AN117" s="205">
        <v>0</v>
      </c>
      <c r="AO117" s="205">
        <v>0</v>
      </c>
      <c r="AP117" s="205">
        <v>0</v>
      </c>
      <c r="AQ117" s="205">
        <v>0</v>
      </c>
      <c r="AR117" s="205">
        <v>0</v>
      </c>
      <c r="AS117" s="205">
        <v>0</v>
      </c>
      <c r="AT117" s="205">
        <v>0</v>
      </c>
      <c r="AU117" s="205">
        <v>0</v>
      </c>
      <c r="AV117" s="205">
        <v>0</v>
      </c>
      <c r="AW117" s="205">
        <v>0</v>
      </c>
    </row>
    <row r="118" spans="1:49" hidden="1" outlineLevel="1">
      <c r="H118" s="220" t="s">
        <v>100</v>
      </c>
      <c r="I118" s="220"/>
      <c r="J118" s="204"/>
      <c r="K118" s="204"/>
      <c r="L118" s="204"/>
      <c r="M118" s="205"/>
      <c r="N118" s="205"/>
      <c r="O118" s="205"/>
      <c r="P118" s="204">
        <v>0</v>
      </c>
      <c r="Q118" s="204">
        <v>0</v>
      </c>
      <c r="R118" s="205">
        <v>0</v>
      </c>
      <c r="S118" s="205">
        <v>0</v>
      </c>
      <c r="T118" s="205">
        <v>0</v>
      </c>
      <c r="U118" s="205">
        <v>0</v>
      </c>
      <c r="V118" s="205">
        <v>0</v>
      </c>
      <c r="W118" s="205">
        <v>0</v>
      </c>
      <c r="X118" s="205">
        <v>0</v>
      </c>
      <c r="Y118" s="205">
        <v>0</v>
      </c>
      <c r="Z118" s="205">
        <v>0</v>
      </c>
      <c r="AA118" s="205">
        <v>0</v>
      </c>
      <c r="AB118" s="205">
        <v>0</v>
      </c>
      <c r="AC118" s="205">
        <v>0</v>
      </c>
      <c r="AD118" s="205">
        <v>0</v>
      </c>
      <c r="AE118" s="205">
        <v>0</v>
      </c>
      <c r="AF118" s="205">
        <v>0</v>
      </c>
      <c r="AG118" s="205">
        <v>0</v>
      </c>
      <c r="AH118" s="205">
        <v>0</v>
      </c>
      <c r="AI118" s="205">
        <v>0</v>
      </c>
      <c r="AJ118" s="205">
        <v>0</v>
      </c>
      <c r="AK118" s="205">
        <v>0</v>
      </c>
      <c r="AL118" s="205">
        <v>0</v>
      </c>
      <c r="AM118" s="205">
        <v>0</v>
      </c>
      <c r="AN118" s="205">
        <v>0</v>
      </c>
      <c r="AO118" s="205">
        <v>0</v>
      </c>
      <c r="AP118" s="205">
        <v>0</v>
      </c>
      <c r="AQ118" s="205">
        <v>0</v>
      </c>
      <c r="AR118" s="205">
        <v>0</v>
      </c>
      <c r="AS118" s="205">
        <v>0</v>
      </c>
      <c r="AT118" s="205">
        <v>0</v>
      </c>
      <c r="AU118" s="205">
        <v>0</v>
      </c>
      <c r="AV118" s="205">
        <v>0</v>
      </c>
      <c r="AW118" s="205">
        <v>0</v>
      </c>
    </row>
    <row r="119" spans="1:49" hidden="1" outlineLevel="1">
      <c r="H119" s="220" t="s">
        <v>106</v>
      </c>
      <c r="I119" s="220"/>
      <c r="J119" s="204"/>
      <c r="K119" s="204"/>
      <c r="L119" s="204"/>
      <c r="M119" s="205"/>
      <c r="N119" s="205"/>
      <c r="O119" s="205"/>
      <c r="P119" s="204">
        <v>1.3600000000000001E-3</v>
      </c>
      <c r="Q119" s="204">
        <v>4.4999999999999999E-4</v>
      </c>
      <c r="R119" s="205">
        <v>4.4999999999999999E-4</v>
      </c>
      <c r="S119" s="205">
        <v>8.9999999999999998E-4</v>
      </c>
      <c r="T119" s="205">
        <v>2.2599999999999999E-3</v>
      </c>
      <c r="U119" s="205">
        <v>1.81E-3</v>
      </c>
      <c r="V119" s="205">
        <v>4.0700000000000007E-3</v>
      </c>
      <c r="W119" s="205">
        <v>3.1700000000000001E-3</v>
      </c>
      <c r="X119" s="205">
        <v>0</v>
      </c>
      <c r="Y119" s="205">
        <v>8.9999999999999998E-4</v>
      </c>
      <c r="Z119" s="205">
        <v>8.9999999999999998E-4</v>
      </c>
      <c r="AA119" s="205">
        <v>4.4999999999999999E-4</v>
      </c>
      <c r="AB119" s="205">
        <v>8.9999999999999998E-4</v>
      </c>
      <c r="AC119" s="205">
        <v>1.81E-3</v>
      </c>
      <c r="AD119" s="205">
        <v>2.7100000000000002E-3</v>
      </c>
      <c r="AE119" s="205">
        <v>2.2558099999999999</v>
      </c>
      <c r="AF119" s="205">
        <v>0</v>
      </c>
      <c r="AG119" s="205">
        <v>4.4999999999999999E-4</v>
      </c>
      <c r="AH119" s="205">
        <v>0.21903</v>
      </c>
      <c r="AI119" s="205">
        <v>6.8250000000000005E-2</v>
      </c>
      <c r="AJ119" s="205">
        <v>0</v>
      </c>
      <c r="AK119" s="205">
        <v>0</v>
      </c>
      <c r="AL119" s="205">
        <v>0.30260999999999999</v>
      </c>
      <c r="AM119" s="205">
        <v>0.16065000000000002</v>
      </c>
      <c r="AN119" s="205">
        <v>0</v>
      </c>
      <c r="AO119" s="205">
        <v>0</v>
      </c>
      <c r="AP119" s="205">
        <v>0</v>
      </c>
      <c r="AQ119" s="205">
        <v>0</v>
      </c>
      <c r="AR119" s="205">
        <v>0</v>
      </c>
      <c r="AS119" s="205">
        <v>0</v>
      </c>
      <c r="AT119" s="205">
        <v>0</v>
      </c>
      <c r="AU119" s="205">
        <v>0</v>
      </c>
      <c r="AV119" s="205">
        <v>0</v>
      </c>
      <c r="AW119" s="205">
        <v>5.5115299999999987</v>
      </c>
    </row>
    <row r="120" spans="1:49" hidden="1" outlineLevel="1">
      <c r="H120" s="220" t="s">
        <v>107</v>
      </c>
      <c r="I120" s="220"/>
      <c r="J120" s="204"/>
      <c r="K120" s="204"/>
      <c r="L120" s="204"/>
      <c r="M120" s="205"/>
      <c r="N120" s="205"/>
      <c r="O120" s="205"/>
      <c r="P120" s="204">
        <v>0</v>
      </c>
      <c r="Q120" s="204">
        <v>0</v>
      </c>
      <c r="R120" s="205">
        <v>0</v>
      </c>
      <c r="S120" s="205">
        <v>0</v>
      </c>
      <c r="T120" s="205">
        <v>0</v>
      </c>
      <c r="U120" s="205">
        <v>0</v>
      </c>
      <c r="V120" s="205">
        <v>0</v>
      </c>
      <c r="W120" s="205">
        <v>0</v>
      </c>
      <c r="X120" s="205">
        <v>0</v>
      </c>
      <c r="Y120" s="205">
        <v>0</v>
      </c>
      <c r="Z120" s="205">
        <v>0</v>
      </c>
      <c r="AA120" s="205">
        <v>0</v>
      </c>
      <c r="AB120" s="205">
        <v>0</v>
      </c>
      <c r="AC120" s="205">
        <v>0</v>
      </c>
      <c r="AD120" s="205">
        <v>0</v>
      </c>
      <c r="AE120" s="205">
        <v>0</v>
      </c>
      <c r="AF120" s="205">
        <v>0</v>
      </c>
      <c r="AG120" s="205">
        <v>0</v>
      </c>
      <c r="AH120" s="205">
        <v>0</v>
      </c>
      <c r="AI120" s="205">
        <v>0</v>
      </c>
      <c r="AJ120" s="205">
        <v>0</v>
      </c>
      <c r="AK120" s="205">
        <v>0</v>
      </c>
      <c r="AL120" s="205">
        <v>0</v>
      </c>
      <c r="AM120" s="205">
        <v>0</v>
      </c>
      <c r="AN120" s="205">
        <v>0</v>
      </c>
      <c r="AO120" s="205">
        <v>0</v>
      </c>
      <c r="AP120" s="205">
        <v>0</v>
      </c>
      <c r="AQ120" s="205">
        <v>0</v>
      </c>
      <c r="AR120" s="205">
        <v>0</v>
      </c>
      <c r="AS120" s="205">
        <v>0</v>
      </c>
      <c r="AT120" s="205">
        <v>0</v>
      </c>
      <c r="AU120" s="205">
        <v>0</v>
      </c>
      <c r="AV120" s="205">
        <v>0</v>
      </c>
      <c r="AW120" s="205">
        <v>0</v>
      </c>
    </row>
    <row r="121" spans="1:49" hidden="1" outlineLevel="1">
      <c r="H121" s="220" t="s">
        <v>108</v>
      </c>
      <c r="I121" s="220"/>
      <c r="J121" s="204"/>
      <c r="K121" s="204"/>
      <c r="L121" s="204"/>
      <c r="M121" s="205"/>
      <c r="N121" s="205"/>
      <c r="O121" s="205"/>
      <c r="P121" s="204">
        <v>0</v>
      </c>
      <c r="Q121" s="204">
        <v>0</v>
      </c>
      <c r="R121" s="205">
        <v>0</v>
      </c>
      <c r="S121" s="205">
        <v>0</v>
      </c>
      <c r="T121" s="205">
        <v>0</v>
      </c>
      <c r="U121" s="205">
        <v>0</v>
      </c>
      <c r="V121" s="205">
        <v>0</v>
      </c>
      <c r="W121" s="205">
        <v>0</v>
      </c>
      <c r="X121" s="205">
        <v>0</v>
      </c>
      <c r="Y121" s="205">
        <v>0</v>
      </c>
      <c r="Z121" s="205">
        <v>0</v>
      </c>
      <c r="AA121" s="205">
        <v>0</v>
      </c>
      <c r="AB121" s="205">
        <v>0</v>
      </c>
      <c r="AC121" s="205">
        <v>0</v>
      </c>
      <c r="AD121" s="205">
        <v>0</v>
      </c>
      <c r="AE121" s="205">
        <v>0</v>
      </c>
      <c r="AF121" s="205">
        <v>0</v>
      </c>
      <c r="AG121" s="205">
        <v>0</v>
      </c>
      <c r="AH121" s="205">
        <v>0</v>
      </c>
      <c r="AI121" s="205">
        <v>0</v>
      </c>
      <c r="AJ121" s="205">
        <v>0</v>
      </c>
      <c r="AK121" s="205">
        <v>0</v>
      </c>
      <c r="AL121" s="205">
        <v>0</v>
      </c>
      <c r="AM121" s="205">
        <v>0</v>
      </c>
      <c r="AN121" s="205">
        <v>0</v>
      </c>
      <c r="AO121" s="205">
        <v>0</v>
      </c>
      <c r="AP121" s="205">
        <v>0</v>
      </c>
      <c r="AQ121" s="205">
        <v>0</v>
      </c>
      <c r="AR121" s="205">
        <v>0</v>
      </c>
      <c r="AS121" s="205">
        <v>0</v>
      </c>
      <c r="AT121" s="205">
        <v>0</v>
      </c>
      <c r="AU121" s="205">
        <v>0</v>
      </c>
      <c r="AV121" s="205">
        <v>0</v>
      </c>
      <c r="AW121" s="205">
        <v>0</v>
      </c>
    </row>
    <row r="122" spans="1:49" hidden="1" outlineLevel="1">
      <c r="H122" s="220" t="s">
        <v>109</v>
      </c>
      <c r="I122" s="220"/>
      <c r="J122" s="204"/>
      <c r="K122" s="204"/>
      <c r="L122" s="204"/>
      <c r="M122" s="205"/>
      <c r="N122" s="205"/>
      <c r="O122" s="205"/>
      <c r="P122" s="204">
        <v>0</v>
      </c>
      <c r="Q122" s="204">
        <v>0</v>
      </c>
      <c r="R122" s="205">
        <v>0</v>
      </c>
      <c r="S122" s="205">
        <v>0</v>
      </c>
      <c r="T122" s="205">
        <v>0</v>
      </c>
      <c r="U122" s="205">
        <v>0</v>
      </c>
      <c r="V122" s="205">
        <v>0</v>
      </c>
      <c r="W122" s="205">
        <v>0</v>
      </c>
      <c r="X122" s="205">
        <v>0</v>
      </c>
      <c r="Y122" s="205">
        <v>0</v>
      </c>
      <c r="Z122" s="205">
        <v>0</v>
      </c>
      <c r="AA122" s="205">
        <v>0</v>
      </c>
      <c r="AB122" s="205">
        <v>0</v>
      </c>
      <c r="AC122" s="205">
        <v>0</v>
      </c>
      <c r="AD122" s="205">
        <v>0</v>
      </c>
      <c r="AE122" s="205">
        <v>0</v>
      </c>
      <c r="AF122" s="205">
        <v>0</v>
      </c>
      <c r="AG122" s="205">
        <v>0</v>
      </c>
      <c r="AH122" s="205">
        <v>0</v>
      </c>
      <c r="AI122" s="205">
        <v>0</v>
      </c>
      <c r="AJ122" s="205">
        <v>0</v>
      </c>
      <c r="AK122" s="205">
        <v>0</v>
      </c>
      <c r="AL122" s="205">
        <v>0</v>
      </c>
      <c r="AM122" s="205">
        <v>0</v>
      </c>
      <c r="AN122" s="205">
        <v>0</v>
      </c>
      <c r="AO122" s="205">
        <v>0</v>
      </c>
      <c r="AP122" s="205">
        <v>0</v>
      </c>
      <c r="AQ122" s="205">
        <v>0</v>
      </c>
      <c r="AR122" s="205">
        <v>0</v>
      </c>
      <c r="AS122" s="205">
        <v>0</v>
      </c>
      <c r="AT122" s="205">
        <v>0</v>
      </c>
      <c r="AU122" s="205">
        <v>0</v>
      </c>
      <c r="AV122" s="205">
        <v>0</v>
      </c>
      <c r="AW122" s="205">
        <v>0</v>
      </c>
    </row>
    <row r="123" spans="1:49" hidden="1" outlineLevel="1">
      <c r="H123" s="220" t="s">
        <v>110</v>
      </c>
      <c r="I123" s="220"/>
      <c r="J123" s="204"/>
      <c r="K123" s="204"/>
      <c r="L123" s="204"/>
      <c r="M123" s="205"/>
      <c r="N123" s="205"/>
      <c r="O123" s="205"/>
      <c r="P123" s="204">
        <v>0</v>
      </c>
      <c r="Q123" s="204">
        <v>0</v>
      </c>
      <c r="R123" s="205">
        <v>0</v>
      </c>
      <c r="S123" s="205">
        <v>0</v>
      </c>
      <c r="T123" s="205">
        <v>0</v>
      </c>
      <c r="U123" s="205">
        <v>0</v>
      </c>
      <c r="V123" s="205">
        <v>0</v>
      </c>
      <c r="W123" s="205">
        <v>0</v>
      </c>
      <c r="X123" s="205">
        <v>0</v>
      </c>
      <c r="Y123" s="205">
        <v>0</v>
      </c>
      <c r="Z123" s="205">
        <v>0</v>
      </c>
      <c r="AA123" s="205">
        <v>0</v>
      </c>
      <c r="AB123" s="205">
        <v>0</v>
      </c>
      <c r="AC123" s="205">
        <v>0</v>
      </c>
      <c r="AD123" s="205">
        <v>0</v>
      </c>
      <c r="AE123" s="205">
        <v>0</v>
      </c>
      <c r="AF123" s="205">
        <v>0</v>
      </c>
      <c r="AG123" s="205">
        <v>0</v>
      </c>
      <c r="AH123" s="205">
        <v>0</v>
      </c>
      <c r="AI123" s="205">
        <v>0</v>
      </c>
      <c r="AJ123" s="205">
        <v>0</v>
      </c>
      <c r="AK123" s="205">
        <v>0</v>
      </c>
      <c r="AL123" s="205">
        <v>0</v>
      </c>
      <c r="AM123" s="205">
        <v>0</v>
      </c>
      <c r="AN123" s="205">
        <v>0</v>
      </c>
      <c r="AO123" s="205">
        <v>0</v>
      </c>
      <c r="AP123" s="205">
        <v>0</v>
      </c>
      <c r="AQ123" s="205">
        <v>0</v>
      </c>
      <c r="AR123" s="205">
        <v>0</v>
      </c>
      <c r="AS123" s="205">
        <v>0</v>
      </c>
      <c r="AT123" s="205">
        <v>0</v>
      </c>
      <c r="AU123" s="205">
        <v>0</v>
      </c>
      <c r="AV123" s="205">
        <v>0</v>
      </c>
      <c r="AW123" s="205">
        <v>0</v>
      </c>
    </row>
    <row r="124" spans="1:49" collapsed="1">
      <c r="A124" t="s">
        <v>111</v>
      </c>
      <c r="H124" s="214" t="s">
        <v>111</v>
      </c>
      <c r="I124" s="214"/>
      <c r="J124" s="207">
        <f>SUMIFS($P124:$AW124,$P$3:$AW$3,J$4)</f>
        <v>2.2783999999999995</v>
      </c>
      <c r="K124" s="207">
        <f>J124-AE124-AF124</f>
        <v>2.2589999999999666E-2</v>
      </c>
      <c r="L124" s="207">
        <f t="shared" ref="L124:N124" si="35">SUMIFS($P124:$AW124,$P$3:$AW$3,L$4)</f>
        <v>0</v>
      </c>
      <c r="M124" s="207">
        <f t="shared" si="35"/>
        <v>0.68229000000000006</v>
      </c>
      <c r="N124" s="207">
        <f t="shared" si="35"/>
        <v>5.5115299999999987</v>
      </c>
      <c r="O124" s="208"/>
      <c r="P124" s="207">
        <f>SUBTOTAL(9,P113:P123)</f>
        <v>1.3600000000000001E-3</v>
      </c>
      <c r="Q124" s="207">
        <f t="shared" ref="Q124:AW124" si="36">SUBTOTAL(9,Q113:Q123)</f>
        <v>4.4999999999999999E-4</v>
      </c>
      <c r="R124" s="208">
        <f t="shared" si="36"/>
        <v>4.4999999999999999E-4</v>
      </c>
      <c r="S124" s="208">
        <f t="shared" si="36"/>
        <v>8.9999999999999998E-4</v>
      </c>
      <c r="T124" s="208">
        <f t="shared" si="36"/>
        <v>2.2599999999999999E-3</v>
      </c>
      <c r="U124" s="208">
        <f t="shared" si="36"/>
        <v>1.81E-3</v>
      </c>
      <c r="V124" s="208">
        <f t="shared" si="36"/>
        <v>4.0700000000000007E-3</v>
      </c>
      <c r="W124" s="208">
        <f t="shared" si="36"/>
        <v>3.1700000000000001E-3</v>
      </c>
      <c r="X124" s="208">
        <f t="shared" si="36"/>
        <v>0</v>
      </c>
      <c r="Y124" s="208">
        <f t="shared" si="36"/>
        <v>8.9999999999999998E-4</v>
      </c>
      <c r="Z124" s="208">
        <f t="shared" si="36"/>
        <v>8.9999999999999998E-4</v>
      </c>
      <c r="AA124" s="208">
        <f t="shared" si="36"/>
        <v>4.4999999999999999E-4</v>
      </c>
      <c r="AB124" s="208">
        <f t="shared" si="36"/>
        <v>8.9999999999999998E-4</v>
      </c>
      <c r="AC124" s="208">
        <f t="shared" si="36"/>
        <v>1.81E-3</v>
      </c>
      <c r="AD124" s="208">
        <f t="shared" si="36"/>
        <v>2.7100000000000002E-3</v>
      </c>
      <c r="AE124" s="208">
        <f t="shared" si="36"/>
        <v>2.2558099999999999</v>
      </c>
      <c r="AF124" s="208">
        <f t="shared" si="36"/>
        <v>0</v>
      </c>
      <c r="AG124" s="208">
        <f t="shared" si="36"/>
        <v>4.4999999999999999E-4</v>
      </c>
      <c r="AH124" s="208">
        <f t="shared" si="36"/>
        <v>0.21903</v>
      </c>
      <c r="AI124" s="208">
        <f t="shared" si="36"/>
        <v>6.8250000000000005E-2</v>
      </c>
      <c r="AJ124" s="208">
        <f t="shared" si="36"/>
        <v>0</v>
      </c>
      <c r="AK124" s="208">
        <f t="shared" si="36"/>
        <v>0</v>
      </c>
      <c r="AL124" s="208">
        <f t="shared" si="36"/>
        <v>0.30260999999999999</v>
      </c>
      <c r="AM124" s="208">
        <f t="shared" si="36"/>
        <v>0.16065000000000002</v>
      </c>
      <c r="AN124" s="208">
        <f t="shared" si="36"/>
        <v>0</v>
      </c>
      <c r="AO124" s="208">
        <f t="shared" si="36"/>
        <v>0</v>
      </c>
      <c r="AP124" s="208">
        <f t="shared" si="36"/>
        <v>0</v>
      </c>
      <c r="AQ124" s="208">
        <f t="shared" si="36"/>
        <v>0</v>
      </c>
      <c r="AR124" s="208">
        <f t="shared" si="36"/>
        <v>0</v>
      </c>
      <c r="AS124" s="208">
        <f t="shared" si="36"/>
        <v>0</v>
      </c>
      <c r="AT124" s="208">
        <f t="shared" si="36"/>
        <v>0</v>
      </c>
      <c r="AU124" s="208">
        <f t="shared" si="36"/>
        <v>0</v>
      </c>
      <c r="AV124" s="208">
        <f t="shared" si="36"/>
        <v>0</v>
      </c>
      <c r="AW124" s="208">
        <f t="shared" si="36"/>
        <v>5.5115299999999987</v>
      </c>
    </row>
    <row r="125" spans="1:49" hidden="1" outlineLevel="1">
      <c r="H125" s="220" t="s">
        <v>95</v>
      </c>
      <c r="I125" s="220"/>
      <c r="J125" s="204"/>
      <c r="K125" s="204"/>
      <c r="L125" s="204"/>
      <c r="M125" s="205"/>
      <c r="N125" s="205"/>
      <c r="O125" s="205"/>
      <c r="P125" s="204">
        <v>0</v>
      </c>
      <c r="Q125" s="204">
        <v>0</v>
      </c>
      <c r="R125" s="205">
        <v>0</v>
      </c>
      <c r="S125" s="205">
        <v>0</v>
      </c>
      <c r="T125" s="205">
        <v>0</v>
      </c>
      <c r="U125" s="205">
        <v>0</v>
      </c>
      <c r="V125" s="205">
        <v>0</v>
      </c>
      <c r="W125" s="205">
        <v>0</v>
      </c>
      <c r="X125" s="205">
        <v>1.2250000000000001</v>
      </c>
      <c r="Y125" s="205">
        <v>0</v>
      </c>
      <c r="Z125" s="205">
        <v>0</v>
      </c>
      <c r="AA125" s="205">
        <v>0</v>
      </c>
      <c r="AB125" s="205">
        <v>0</v>
      </c>
      <c r="AC125" s="205">
        <v>0</v>
      </c>
      <c r="AD125" s="205">
        <v>0</v>
      </c>
      <c r="AE125" s="205">
        <v>0</v>
      </c>
      <c r="AF125" s="205">
        <v>0</v>
      </c>
      <c r="AG125" s="205">
        <v>0</v>
      </c>
      <c r="AH125" s="205">
        <v>0</v>
      </c>
      <c r="AI125" s="205">
        <v>0</v>
      </c>
      <c r="AJ125" s="205">
        <v>0</v>
      </c>
      <c r="AK125" s="205">
        <v>0</v>
      </c>
      <c r="AL125" s="205">
        <v>0</v>
      </c>
      <c r="AM125" s="205">
        <v>0</v>
      </c>
      <c r="AN125" s="205">
        <v>0</v>
      </c>
      <c r="AO125" s="205">
        <v>0</v>
      </c>
      <c r="AP125" s="205">
        <v>0</v>
      </c>
      <c r="AQ125" s="205">
        <v>0</v>
      </c>
      <c r="AR125" s="205">
        <v>0</v>
      </c>
      <c r="AS125" s="205">
        <v>0</v>
      </c>
      <c r="AT125" s="205">
        <v>0</v>
      </c>
      <c r="AU125" s="205">
        <v>0</v>
      </c>
      <c r="AV125" s="205">
        <v>0</v>
      </c>
      <c r="AW125" s="205">
        <v>0</v>
      </c>
    </row>
    <row r="126" spans="1:49" hidden="1" outlineLevel="1">
      <c r="H126" s="220" t="s">
        <v>97</v>
      </c>
      <c r="I126" s="220"/>
      <c r="J126" s="204"/>
      <c r="K126" s="204"/>
      <c r="L126" s="204"/>
      <c r="M126" s="205"/>
      <c r="N126" s="205"/>
      <c r="O126" s="205"/>
      <c r="P126" s="204">
        <v>0.19406999999999999</v>
      </c>
      <c r="Q126" s="204">
        <v>2.2107000000000001</v>
      </c>
      <c r="R126" s="205">
        <v>0.74134999999999995</v>
      </c>
      <c r="S126" s="205">
        <v>40.815440000000002</v>
      </c>
      <c r="T126" s="205">
        <v>3.02434</v>
      </c>
      <c r="U126" s="205">
        <v>4.0233299999999996</v>
      </c>
      <c r="V126" s="205">
        <v>1.6289999999999999E-2</v>
      </c>
      <c r="W126" s="205">
        <v>2.5237499999999997</v>
      </c>
      <c r="X126" s="205">
        <v>0</v>
      </c>
      <c r="Y126" s="205">
        <v>0.10721000000000001</v>
      </c>
      <c r="Z126" s="205">
        <v>3.17117</v>
      </c>
      <c r="AA126" s="205">
        <v>0.30943999999999999</v>
      </c>
      <c r="AB126" s="205">
        <v>1.0243100000000001</v>
      </c>
      <c r="AC126" s="205">
        <v>2.8286500000000001</v>
      </c>
      <c r="AD126" s="205">
        <v>1.8973500000000001</v>
      </c>
      <c r="AE126" s="205">
        <v>1.71401</v>
      </c>
      <c r="AF126" s="205">
        <v>0</v>
      </c>
      <c r="AG126" s="205">
        <v>1.0298699999999998</v>
      </c>
      <c r="AH126" s="205">
        <v>1.29497</v>
      </c>
      <c r="AI126" s="205">
        <v>15.995280000000001</v>
      </c>
      <c r="AJ126" s="205">
        <v>0</v>
      </c>
      <c r="AK126" s="205">
        <v>0.60453999999999997</v>
      </c>
      <c r="AL126" s="205">
        <v>2.40612</v>
      </c>
      <c r="AM126" s="205">
        <v>1.4685700000000002</v>
      </c>
      <c r="AN126" s="205">
        <v>2.1155500000000003</v>
      </c>
      <c r="AO126" s="205">
        <v>0.12909999999999999</v>
      </c>
      <c r="AP126" s="205">
        <v>0.86782999999999988</v>
      </c>
      <c r="AQ126" s="205">
        <v>0</v>
      </c>
      <c r="AR126" s="205">
        <v>1.2297600000000002</v>
      </c>
      <c r="AS126" s="205">
        <v>1.32029</v>
      </c>
      <c r="AT126" s="205">
        <v>0.27823999999999999</v>
      </c>
      <c r="AU126" s="205">
        <v>1.4880499999999997</v>
      </c>
      <c r="AV126" s="205">
        <v>3.9533400000000003</v>
      </c>
      <c r="AW126" s="205">
        <v>0</v>
      </c>
    </row>
    <row r="127" spans="1:49" hidden="1" outlineLevel="1">
      <c r="H127" s="220" t="s">
        <v>115</v>
      </c>
      <c r="I127" s="220"/>
      <c r="J127" s="204"/>
      <c r="K127" s="204"/>
      <c r="L127" s="204"/>
      <c r="M127" s="205"/>
      <c r="N127" s="205"/>
      <c r="O127" s="205"/>
      <c r="P127" s="204">
        <v>12.96818</v>
      </c>
      <c r="Q127" s="204">
        <v>7.7352499999999988</v>
      </c>
      <c r="R127" s="205">
        <v>12.170669999999998</v>
      </c>
      <c r="S127" s="205">
        <v>17.751690000000004</v>
      </c>
      <c r="T127" s="205">
        <v>41.818580000000011</v>
      </c>
      <c r="U127" s="205">
        <v>14.318809999999999</v>
      </c>
      <c r="V127" s="205">
        <v>20.428999999999998</v>
      </c>
      <c r="W127" s="205">
        <v>25.396579999999997</v>
      </c>
      <c r="X127" s="205">
        <v>5.7233499999999999</v>
      </c>
      <c r="Y127" s="205">
        <v>9.0000299999999989</v>
      </c>
      <c r="Z127" s="205">
        <v>10.684370000000003</v>
      </c>
      <c r="AA127" s="205">
        <v>7.4337799999999996</v>
      </c>
      <c r="AB127" s="205">
        <v>28.111050000000002</v>
      </c>
      <c r="AC127" s="205">
        <v>29.368000000000002</v>
      </c>
      <c r="AD127" s="205">
        <v>18.901280000000003</v>
      </c>
      <c r="AE127" s="205">
        <v>39.517389999999999</v>
      </c>
      <c r="AF127" s="205">
        <v>8.3142400000000016</v>
      </c>
      <c r="AG127" s="205">
        <v>15.549860000000001</v>
      </c>
      <c r="AH127" s="205">
        <v>18.44857</v>
      </c>
      <c r="AI127" s="205">
        <v>15.483769999999998</v>
      </c>
      <c r="AJ127" s="205">
        <v>0</v>
      </c>
      <c r="AK127" s="205">
        <v>8.6208399999999994</v>
      </c>
      <c r="AL127" s="205">
        <v>10.28735</v>
      </c>
      <c r="AM127" s="205">
        <v>12.23939</v>
      </c>
      <c r="AN127" s="205">
        <v>5.7951100000000002</v>
      </c>
      <c r="AO127" s="205">
        <v>20.995619999999999</v>
      </c>
      <c r="AP127" s="205">
        <v>21.394180000000002</v>
      </c>
      <c r="AQ127" s="205">
        <v>0.27610000000000001</v>
      </c>
      <c r="AR127" s="205">
        <v>14.209200000000001</v>
      </c>
      <c r="AS127" s="205">
        <v>6.6319999999999997</v>
      </c>
      <c r="AT127" s="205">
        <v>16.10568</v>
      </c>
      <c r="AU127" s="205">
        <v>16.131420000000002</v>
      </c>
      <c r="AV127" s="205">
        <v>42.020809999999997</v>
      </c>
      <c r="AW127" s="205">
        <v>100.26927000000001</v>
      </c>
    </row>
    <row r="128" spans="1:49" hidden="1" outlineLevel="1">
      <c r="H128" s="220" t="s">
        <v>112</v>
      </c>
      <c r="I128" s="220"/>
      <c r="J128" s="204"/>
      <c r="K128" s="204"/>
      <c r="L128" s="204"/>
      <c r="M128" s="205"/>
      <c r="N128" s="205"/>
      <c r="O128" s="205"/>
      <c r="P128" s="204">
        <v>50.631769999999989</v>
      </c>
      <c r="Q128" s="204">
        <v>18.286429999999999</v>
      </c>
      <c r="R128" s="205">
        <v>56.453399999999995</v>
      </c>
      <c r="S128" s="205">
        <v>49.000589999999995</v>
      </c>
      <c r="T128" s="205">
        <v>79.684790000000007</v>
      </c>
      <c r="U128" s="205">
        <v>40.832029999999996</v>
      </c>
      <c r="V128" s="205">
        <v>89.935629999999989</v>
      </c>
      <c r="W128" s="205">
        <v>55.555240000000005</v>
      </c>
      <c r="X128" s="205">
        <v>21.92032</v>
      </c>
      <c r="Y128" s="205">
        <v>23.007380000000001</v>
      </c>
      <c r="Z128" s="205">
        <v>23.702650000000002</v>
      </c>
      <c r="AA128" s="205">
        <v>23.96313</v>
      </c>
      <c r="AB128" s="205">
        <v>43.230439999999994</v>
      </c>
      <c r="AC128" s="205">
        <v>62.092649999999999</v>
      </c>
      <c r="AD128" s="205">
        <v>54.424650000000007</v>
      </c>
      <c r="AE128" s="205">
        <v>167.13767000000004</v>
      </c>
      <c r="AF128" s="205">
        <v>29.889010000000003</v>
      </c>
      <c r="AG128" s="205">
        <v>29.946780000000004</v>
      </c>
      <c r="AH128" s="205">
        <v>74.58738000000001</v>
      </c>
      <c r="AI128" s="205">
        <v>49.137209999999996</v>
      </c>
      <c r="AJ128" s="205">
        <v>0</v>
      </c>
      <c r="AK128" s="205">
        <v>27.94896</v>
      </c>
      <c r="AL128" s="205">
        <v>46.807790000000004</v>
      </c>
      <c r="AM128" s="205">
        <v>50.71990000000001</v>
      </c>
      <c r="AN128" s="205">
        <v>20.895520000000001</v>
      </c>
      <c r="AO128" s="205">
        <v>50.919820000000001</v>
      </c>
      <c r="AP128" s="205">
        <v>62.371809999999996</v>
      </c>
      <c r="AQ128" s="205">
        <v>11.27937</v>
      </c>
      <c r="AR128" s="205">
        <v>34.869020000000006</v>
      </c>
      <c r="AS128" s="205">
        <v>11.192449999999999</v>
      </c>
      <c r="AT128" s="205">
        <v>38.585470000000001</v>
      </c>
      <c r="AU128" s="205">
        <v>47.706460000000007</v>
      </c>
      <c r="AV128" s="205">
        <v>134.16887999999997</v>
      </c>
      <c r="AW128" s="205">
        <v>137.58541999999997</v>
      </c>
    </row>
    <row r="129" spans="1:49" hidden="1" outlineLevel="1">
      <c r="H129" s="220" t="s">
        <v>94</v>
      </c>
      <c r="I129" s="220"/>
      <c r="J129" s="204"/>
      <c r="K129" s="204"/>
      <c r="L129" s="204"/>
      <c r="M129" s="205"/>
      <c r="N129" s="205"/>
      <c r="O129" s="205"/>
      <c r="P129" s="204">
        <v>6.0819400000000003</v>
      </c>
      <c r="Q129" s="204">
        <v>1.5090000000000001</v>
      </c>
      <c r="R129" s="205">
        <v>7.6502799999999995</v>
      </c>
      <c r="S129" s="205">
        <v>9.8769400000000012</v>
      </c>
      <c r="T129" s="205">
        <v>13.055939999999998</v>
      </c>
      <c r="U129" s="205">
        <v>6.1103300000000003</v>
      </c>
      <c r="V129" s="205">
        <v>13.991400000000001</v>
      </c>
      <c r="W129" s="205">
        <v>1.2036300000000002</v>
      </c>
      <c r="X129" s="205">
        <v>2.3610000000000002</v>
      </c>
      <c r="Y129" s="205">
        <v>5.2050299999999998</v>
      </c>
      <c r="Z129" s="205">
        <v>6.5465000000000009</v>
      </c>
      <c r="AA129" s="205">
        <v>6.9248700000000003</v>
      </c>
      <c r="AB129" s="205">
        <v>4.3558699999999995</v>
      </c>
      <c r="AC129" s="205">
        <v>12.669009999999998</v>
      </c>
      <c r="AD129" s="205">
        <v>8.6337399999999995</v>
      </c>
      <c r="AE129" s="205">
        <v>11.714279999999999</v>
      </c>
      <c r="AF129" s="205">
        <v>6.6630000000000003</v>
      </c>
      <c r="AG129" s="205">
        <v>2.2403599999999995</v>
      </c>
      <c r="AH129" s="205">
        <v>9.1980000000000004</v>
      </c>
      <c r="AI129" s="205">
        <v>14.853899999999999</v>
      </c>
      <c r="AJ129" s="205">
        <v>0</v>
      </c>
      <c r="AK129" s="205">
        <v>0.91639999999999999</v>
      </c>
      <c r="AL129" s="205">
        <v>5.0357099999999999</v>
      </c>
      <c r="AM129" s="205">
        <v>0.56076000000000004</v>
      </c>
      <c r="AN129" s="205">
        <v>3.1818500000000003</v>
      </c>
      <c r="AO129" s="205">
        <v>4.3407399999999994</v>
      </c>
      <c r="AP129" s="205">
        <v>0</v>
      </c>
      <c r="AQ129" s="205">
        <v>0</v>
      </c>
      <c r="AR129" s="205">
        <v>3.1409900000000004</v>
      </c>
      <c r="AS129" s="205">
        <v>8.9311699999999998</v>
      </c>
      <c r="AT129" s="205">
        <v>1.86473</v>
      </c>
      <c r="AU129" s="205">
        <v>12.805459999999998</v>
      </c>
      <c r="AV129" s="205">
        <v>50.912920000000007</v>
      </c>
      <c r="AW129" s="205">
        <v>0</v>
      </c>
    </row>
    <row r="130" spans="1:49" hidden="1" outlineLevel="1">
      <c r="H130" s="220" t="s">
        <v>116</v>
      </c>
      <c r="I130" s="220"/>
      <c r="J130" s="204"/>
      <c r="K130" s="204"/>
      <c r="L130" s="204"/>
      <c r="M130" s="205"/>
      <c r="N130" s="205"/>
      <c r="O130" s="205"/>
      <c r="P130" s="204">
        <v>7.3526600000000002</v>
      </c>
      <c r="Q130" s="204">
        <v>3.0851199999999999</v>
      </c>
      <c r="R130" s="205">
        <v>5.2979400000000005</v>
      </c>
      <c r="S130" s="205">
        <v>6.4067499999999997</v>
      </c>
      <c r="T130" s="205">
        <v>14.241380000000001</v>
      </c>
      <c r="U130" s="205">
        <v>8.5424399999999991</v>
      </c>
      <c r="V130" s="205">
        <v>11.53476</v>
      </c>
      <c r="W130" s="205">
        <v>9.2824299999999997</v>
      </c>
      <c r="X130" s="205">
        <v>10.703059999999997</v>
      </c>
      <c r="Y130" s="205">
        <v>3.8369999999999997</v>
      </c>
      <c r="Z130" s="205">
        <v>3.8610799999999994</v>
      </c>
      <c r="AA130" s="205">
        <v>2.7093799999999999</v>
      </c>
      <c r="AB130" s="205">
        <v>4.6535200000000003</v>
      </c>
      <c r="AC130" s="205">
        <v>14.522859999999998</v>
      </c>
      <c r="AD130" s="205">
        <v>12.76233</v>
      </c>
      <c r="AE130" s="205">
        <v>28.796680000000006</v>
      </c>
      <c r="AF130" s="205">
        <v>4.7790499999999998</v>
      </c>
      <c r="AG130" s="205">
        <v>5.026320000000001</v>
      </c>
      <c r="AH130" s="205">
        <v>8.9907799999999991</v>
      </c>
      <c r="AI130" s="205">
        <v>7.1980999999999984</v>
      </c>
      <c r="AJ130" s="205">
        <v>0</v>
      </c>
      <c r="AK130" s="205">
        <v>3.1648400000000003</v>
      </c>
      <c r="AL130" s="205">
        <v>6.92225</v>
      </c>
      <c r="AM130" s="205">
        <v>8.4183800000000009</v>
      </c>
      <c r="AN130" s="205">
        <v>2.5349400000000006</v>
      </c>
      <c r="AO130" s="205">
        <v>10.164530000000001</v>
      </c>
      <c r="AP130" s="205">
        <v>9.9545700000000004</v>
      </c>
      <c r="AQ130" s="205">
        <v>11.61782</v>
      </c>
      <c r="AR130" s="205">
        <v>6.7312699999999994</v>
      </c>
      <c r="AS130" s="205">
        <v>6.0051799999999993</v>
      </c>
      <c r="AT130" s="205">
        <v>8.798980000000002</v>
      </c>
      <c r="AU130" s="205">
        <v>14.573310000000001</v>
      </c>
      <c r="AV130" s="205">
        <v>34.114049999999999</v>
      </c>
      <c r="AW130" s="205">
        <v>24.84564</v>
      </c>
    </row>
    <row r="131" spans="1:49" hidden="1" outlineLevel="1">
      <c r="H131" s="220" t="s">
        <v>113</v>
      </c>
      <c r="I131" s="220"/>
      <c r="J131" s="204"/>
      <c r="K131" s="204"/>
      <c r="L131" s="204"/>
      <c r="M131" s="205"/>
      <c r="N131" s="205"/>
      <c r="O131" s="205"/>
      <c r="P131" s="204">
        <v>24.297099999999997</v>
      </c>
      <c r="Q131" s="204">
        <v>9.0112899999999989</v>
      </c>
      <c r="R131" s="205">
        <v>28.271470000000001</v>
      </c>
      <c r="S131" s="205">
        <v>19.25853</v>
      </c>
      <c r="T131" s="205">
        <v>62.328360000000004</v>
      </c>
      <c r="U131" s="205">
        <v>16.60568</v>
      </c>
      <c r="V131" s="205">
        <v>38.978919999999995</v>
      </c>
      <c r="W131" s="205">
        <v>26.481529999999999</v>
      </c>
      <c r="X131" s="205">
        <v>12.765540000000001</v>
      </c>
      <c r="Y131" s="205">
        <v>17.02572</v>
      </c>
      <c r="Z131" s="205">
        <v>11.356509999999998</v>
      </c>
      <c r="AA131" s="205">
        <v>13.969200000000001</v>
      </c>
      <c r="AB131" s="205">
        <v>43.738930000000003</v>
      </c>
      <c r="AC131" s="205">
        <v>49.108580000000011</v>
      </c>
      <c r="AD131" s="205">
        <v>27.487939999999995</v>
      </c>
      <c r="AE131" s="205">
        <v>67.654890000000009</v>
      </c>
      <c r="AF131" s="205">
        <v>16.366430000000001</v>
      </c>
      <c r="AG131" s="205">
        <v>25.797650000000004</v>
      </c>
      <c r="AH131" s="205">
        <v>46.269690000000004</v>
      </c>
      <c r="AI131" s="205">
        <v>33.666789999999999</v>
      </c>
      <c r="AJ131" s="205">
        <v>0</v>
      </c>
      <c r="AK131" s="205">
        <v>19.491729999999997</v>
      </c>
      <c r="AL131" s="205">
        <v>26.186859999999999</v>
      </c>
      <c r="AM131" s="205">
        <v>31.376360000000002</v>
      </c>
      <c r="AN131" s="205">
        <v>14.125030000000002</v>
      </c>
      <c r="AO131" s="205">
        <v>75.159199999999998</v>
      </c>
      <c r="AP131" s="205">
        <v>74.876519999999999</v>
      </c>
      <c r="AQ131" s="205">
        <v>0.93471000000000004</v>
      </c>
      <c r="AR131" s="205">
        <v>48.172560000000004</v>
      </c>
      <c r="AS131" s="205">
        <v>23.476069999999996</v>
      </c>
      <c r="AT131" s="205">
        <v>58.291470000000011</v>
      </c>
      <c r="AU131" s="205">
        <v>57.719979999999993</v>
      </c>
      <c r="AV131" s="205">
        <v>148.56973000000002</v>
      </c>
      <c r="AW131" s="205">
        <v>146.80250999999998</v>
      </c>
    </row>
    <row r="132" spans="1:49" hidden="1" outlineLevel="1">
      <c r="H132" s="220" t="s">
        <v>117</v>
      </c>
      <c r="I132" s="220"/>
      <c r="J132" s="204"/>
      <c r="K132" s="204"/>
      <c r="L132" s="204"/>
      <c r="M132" s="205"/>
      <c r="N132" s="205"/>
      <c r="O132" s="205"/>
      <c r="P132" s="204">
        <v>0</v>
      </c>
      <c r="Q132" s="204">
        <v>0</v>
      </c>
      <c r="R132" s="205">
        <v>0</v>
      </c>
      <c r="S132" s="205">
        <v>0</v>
      </c>
      <c r="T132" s="205">
        <v>0</v>
      </c>
      <c r="U132" s="205">
        <v>0</v>
      </c>
      <c r="V132" s="205">
        <v>0</v>
      </c>
      <c r="W132" s="205">
        <v>0</v>
      </c>
      <c r="X132" s="205">
        <v>0</v>
      </c>
      <c r="Y132" s="205">
        <v>0</v>
      </c>
      <c r="Z132" s="205">
        <v>0</v>
      </c>
      <c r="AA132" s="205">
        <v>0</v>
      </c>
      <c r="AB132" s="205">
        <v>0</v>
      </c>
      <c r="AC132" s="205">
        <v>0</v>
      </c>
      <c r="AD132" s="205">
        <v>0</v>
      </c>
      <c r="AE132" s="205">
        <v>0</v>
      </c>
      <c r="AF132" s="205">
        <v>0</v>
      </c>
      <c r="AG132" s="205">
        <v>0</v>
      </c>
      <c r="AH132" s="205">
        <v>0</v>
      </c>
      <c r="AI132" s="205">
        <v>0</v>
      </c>
      <c r="AJ132" s="205">
        <v>0</v>
      </c>
      <c r="AK132" s="205">
        <v>0</v>
      </c>
      <c r="AL132" s="205">
        <v>0</v>
      </c>
      <c r="AM132" s="205">
        <v>0</v>
      </c>
      <c r="AN132" s="205">
        <v>0</v>
      </c>
      <c r="AO132" s="205">
        <v>0</v>
      </c>
      <c r="AP132" s="205">
        <v>0</v>
      </c>
      <c r="AQ132" s="205">
        <v>0</v>
      </c>
      <c r="AR132" s="205">
        <v>0</v>
      </c>
      <c r="AS132" s="205">
        <v>0</v>
      </c>
      <c r="AT132" s="205">
        <v>0</v>
      </c>
      <c r="AU132" s="205">
        <v>0</v>
      </c>
      <c r="AV132" s="205">
        <v>0</v>
      </c>
      <c r="AW132" s="205">
        <v>0</v>
      </c>
    </row>
    <row r="133" spans="1:49" hidden="1" outlineLevel="1">
      <c r="H133" s="220" t="s">
        <v>118</v>
      </c>
      <c r="I133" s="220"/>
      <c r="J133" s="204"/>
      <c r="K133" s="204"/>
      <c r="L133" s="204"/>
      <c r="M133" s="205"/>
      <c r="N133" s="205"/>
      <c r="O133" s="205"/>
      <c r="P133" s="204">
        <v>0</v>
      </c>
      <c r="Q133" s="204">
        <v>0</v>
      </c>
      <c r="R133" s="205">
        <v>0</v>
      </c>
      <c r="S133" s="205">
        <v>0</v>
      </c>
      <c r="T133" s="205">
        <v>0</v>
      </c>
      <c r="U133" s="205">
        <v>0</v>
      </c>
      <c r="V133" s="205">
        <v>0</v>
      </c>
      <c r="W133" s="205">
        <v>0</v>
      </c>
      <c r="X133" s="205">
        <v>0</v>
      </c>
      <c r="Y133" s="205">
        <v>0</v>
      </c>
      <c r="Z133" s="205">
        <v>0</v>
      </c>
      <c r="AA133" s="205">
        <v>0</v>
      </c>
      <c r="AB133" s="205">
        <v>0</v>
      </c>
      <c r="AC133" s="205">
        <v>0</v>
      </c>
      <c r="AD133" s="205">
        <v>0</v>
      </c>
      <c r="AE133" s="205">
        <v>0</v>
      </c>
      <c r="AF133" s="205">
        <v>0</v>
      </c>
      <c r="AG133" s="205">
        <v>0</v>
      </c>
      <c r="AH133" s="205">
        <v>0</v>
      </c>
      <c r="AI133" s="205">
        <v>0</v>
      </c>
      <c r="AJ133" s="205">
        <v>0</v>
      </c>
      <c r="AK133" s="205">
        <v>0</v>
      </c>
      <c r="AL133" s="205">
        <v>0</v>
      </c>
      <c r="AM133" s="205">
        <v>0</v>
      </c>
      <c r="AN133" s="205">
        <v>0</v>
      </c>
      <c r="AO133" s="205">
        <v>0</v>
      </c>
      <c r="AP133" s="205">
        <v>0</v>
      </c>
      <c r="AQ133" s="205">
        <v>0</v>
      </c>
      <c r="AR133" s="205">
        <v>0</v>
      </c>
      <c r="AS133" s="205">
        <v>0</v>
      </c>
      <c r="AT133" s="205">
        <v>0</v>
      </c>
      <c r="AU133" s="205">
        <v>0</v>
      </c>
      <c r="AV133" s="205">
        <v>0</v>
      </c>
      <c r="AW133" s="205">
        <v>0</v>
      </c>
    </row>
    <row r="134" spans="1:49" collapsed="1">
      <c r="A134" t="s">
        <v>119</v>
      </c>
      <c r="H134" s="214" t="s">
        <v>119</v>
      </c>
      <c r="I134" s="214"/>
      <c r="J134" s="207">
        <f>SUMIFS($P134:$AW134,$P$3:$AW$3,J$4)</f>
        <v>2106.4351000000001</v>
      </c>
      <c r="K134" s="207">
        <f>J134-AE134-AF134</f>
        <v>1723.8884500000001</v>
      </c>
      <c r="L134" s="207">
        <f t="shared" ref="L134:N134" si="37">SUMIFS($P134:$AW134,$P$3:$AW$3,L$4)</f>
        <v>1185.1728600000001</v>
      </c>
      <c r="M134" s="207">
        <f t="shared" si="37"/>
        <v>470.61414000000002</v>
      </c>
      <c r="N134" s="207">
        <f t="shared" si="37"/>
        <v>409.50283999999994</v>
      </c>
      <c r="O134" s="208"/>
      <c r="P134" s="207">
        <f>SUBTOTAL(9,P125:P133)</f>
        <v>101.52571999999999</v>
      </c>
      <c r="Q134" s="207">
        <f t="shared" ref="Q134:AW134" si="38">SUBTOTAL(9,Q125:Q133)</f>
        <v>41.837789999999998</v>
      </c>
      <c r="R134" s="208">
        <f t="shared" si="38"/>
        <v>110.58510999999999</v>
      </c>
      <c r="S134" s="208">
        <f t="shared" si="38"/>
        <v>143.10994000000002</v>
      </c>
      <c r="T134" s="208">
        <f t="shared" si="38"/>
        <v>214.15339</v>
      </c>
      <c r="U134" s="208">
        <f t="shared" si="38"/>
        <v>90.432619999999986</v>
      </c>
      <c r="V134" s="208">
        <f t="shared" si="38"/>
        <v>174.88599999999997</v>
      </c>
      <c r="W134" s="208">
        <f t="shared" si="38"/>
        <v>120.44316000000001</v>
      </c>
      <c r="X134" s="208">
        <f t="shared" si="38"/>
        <v>54.698270000000001</v>
      </c>
      <c r="Y134" s="208">
        <f t="shared" si="38"/>
        <v>58.182369999999999</v>
      </c>
      <c r="Z134" s="208">
        <f t="shared" si="38"/>
        <v>59.322280000000006</v>
      </c>
      <c r="AA134" s="208">
        <f t="shared" si="38"/>
        <v>55.309800000000003</v>
      </c>
      <c r="AB134" s="208">
        <f t="shared" si="38"/>
        <v>125.11411999999999</v>
      </c>
      <c r="AC134" s="208">
        <f t="shared" si="38"/>
        <v>170.58975000000001</v>
      </c>
      <c r="AD134" s="208">
        <f t="shared" si="38"/>
        <v>124.10729000000002</v>
      </c>
      <c r="AE134" s="208">
        <f t="shared" si="38"/>
        <v>316.53492000000006</v>
      </c>
      <c r="AF134" s="208">
        <f t="shared" si="38"/>
        <v>66.01173</v>
      </c>
      <c r="AG134" s="208">
        <f t="shared" si="38"/>
        <v>79.590840000000014</v>
      </c>
      <c r="AH134" s="208">
        <f t="shared" si="38"/>
        <v>158.78939</v>
      </c>
      <c r="AI134" s="208">
        <f t="shared" si="38"/>
        <v>136.33505</v>
      </c>
      <c r="AJ134" s="208">
        <f t="shared" si="38"/>
        <v>0</v>
      </c>
      <c r="AK134" s="208">
        <f t="shared" si="38"/>
        <v>60.747309999999999</v>
      </c>
      <c r="AL134" s="208">
        <f t="shared" si="38"/>
        <v>97.646079999999998</v>
      </c>
      <c r="AM134" s="208">
        <f t="shared" si="38"/>
        <v>104.78336000000002</v>
      </c>
      <c r="AN134" s="208">
        <f t="shared" si="38"/>
        <v>48.648000000000003</v>
      </c>
      <c r="AO134" s="208">
        <f t="shared" si="38"/>
        <v>161.70900999999998</v>
      </c>
      <c r="AP134" s="208">
        <f t="shared" si="38"/>
        <v>169.46491</v>
      </c>
      <c r="AQ134" s="208">
        <f t="shared" si="38"/>
        <v>24.108000000000001</v>
      </c>
      <c r="AR134" s="208">
        <f t="shared" si="38"/>
        <v>108.35280000000002</v>
      </c>
      <c r="AS134" s="208">
        <f t="shared" si="38"/>
        <v>57.557159999999996</v>
      </c>
      <c r="AT134" s="208">
        <f t="shared" si="38"/>
        <v>123.92457000000002</v>
      </c>
      <c r="AU134" s="208">
        <f t="shared" si="38"/>
        <v>150.42468000000002</v>
      </c>
      <c r="AV134" s="208">
        <f t="shared" si="38"/>
        <v>413.73973000000001</v>
      </c>
      <c r="AW134" s="208">
        <f t="shared" si="38"/>
        <v>409.50283999999994</v>
      </c>
    </row>
    <row r="135" spans="1:49" hidden="1" outlineLevel="1">
      <c r="H135" s="220" t="s">
        <v>86</v>
      </c>
      <c r="I135" s="220"/>
      <c r="J135" s="204"/>
      <c r="K135" s="204"/>
      <c r="L135" s="204"/>
      <c r="M135" s="205"/>
      <c r="N135" s="205"/>
      <c r="O135" s="205"/>
      <c r="P135" s="204">
        <v>54.564509999999991</v>
      </c>
      <c r="Q135" s="204">
        <v>37.06812</v>
      </c>
      <c r="R135" s="205">
        <v>29.5913</v>
      </c>
      <c r="S135" s="205">
        <v>25.546259999999997</v>
      </c>
      <c r="T135" s="205">
        <v>94.444670000000002</v>
      </c>
      <c r="U135" s="205">
        <v>53.765900000000002</v>
      </c>
      <c r="V135" s="205">
        <v>83.764620000000008</v>
      </c>
      <c r="W135" s="205">
        <v>82.39528</v>
      </c>
      <c r="X135" s="205">
        <v>0</v>
      </c>
      <c r="Y135" s="205">
        <v>31.248870000000004</v>
      </c>
      <c r="Z135" s="205">
        <v>16.804869999999998</v>
      </c>
      <c r="AA135" s="205">
        <v>18.872</v>
      </c>
      <c r="AB135" s="205">
        <v>24.982290000000006</v>
      </c>
      <c r="AC135" s="205">
        <v>59.56521</v>
      </c>
      <c r="AD135" s="205">
        <v>64.106870000000001</v>
      </c>
      <c r="AE135" s="205">
        <v>154.47942999999998</v>
      </c>
      <c r="AF135" s="205">
        <v>31.071059999999999</v>
      </c>
      <c r="AG135" s="205">
        <v>29.482770000000002</v>
      </c>
      <c r="AH135" s="205">
        <v>52.541789999999999</v>
      </c>
      <c r="AI135" s="205">
        <v>39.677730000000004</v>
      </c>
      <c r="AJ135" s="205">
        <v>0</v>
      </c>
      <c r="AK135" s="205">
        <v>16.506810000000002</v>
      </c>
      <c r="AL135" s="205">
        <v>28.090289999999996</v>
      </c>
      <c r="AM135" s="205">
        <v>37.68262</v>
      </c>
      <c r="AN135" s="205">
        <v>12.04608</v>
      </c>
      <c r="AO135" s="205">
        <v>72.592760000000013</v>
      </c>
      <c r="AP135" s="205">
        <v>42.344540000000002</v>
      </c>
      <c r="AQ135" s="205">
        <v>0</v>
      </c>
      <c r="AR135" s="205">
        <v>36.661899999999996</v>
      </c>
      <c r="AS135" s="205">
        <v>4.4827899999999996</v>
      </c>
      <c r="AT135" s="205">
        <v>62.392549999999993</v>
      </c>
      <c r="AU135" s="205">
        <v>62.60528</v>
      </c>
      <c r="AV135" s="205">
        <v>164.67562000000001</v>
      </c>
      <c r="AW135" s="205">
        <v>164.90124</v>
      </c>
    </row>
    <row r="136" spans="1:49" hidden="1" outlineLevel="1">
      <c r="H136" s="220" t="s">
        <v>87</v>
      </c>
      <c r="I136" s="220"/>
      <c r="J136" s="204"/>
      <c r="K136" s="204"/>
      <c r="L136" s="204"/>
      <c r="M136" s="205"/>
      <c r="N136" s="205"/>
      <c r="O136" s="205"/>
      <c r="P136" s="204">
        <v>63.430140000000002</v>
      </c>
      <c r="Q136" s="204">
        <v>35.826340000000002</v>
      </c>
      <c r="R136" s="205">
        <v>29.072410000000001</v>
      </c>
      <c r="S136" s="205">
        <v>28.508220000000001</v>
      </c>
      <c r="T136" s="205">
        <v>104.40059000000001</v>
      </c>
      <c r="U136" s="205">
        <v>55.854510000000005</v>
      </c>
      <c r="V136" s="205">
        <v>106.11940000000001</v>
      </c>
      <c r="W136" s="205">
        <v>97.176860000000005</v>
      </c>
      <c r="X136" s="205">
        <v>0</v>
      </c>
      <c r="Y136" s="205">
        <v>33.028060000000004</v>
      </c>
      <c r="Z136" s="205">
        <v>22.015340000000002</v>
      </c>
      <c r="AA136" s="205">
        <v>24.540100000000002</v>
      </c>
      <c r="AB136" s="205">
        <v>29.517160000000004</v>
      </c>
      <c r="AC136" s="205">
        <v>63.007940000000005</v>
      </c>
      <c r="AD136" s="205">
        <v>62.530649999999994</v>
      </c>
      <c r="AE136" s="205">
        <v>291.27859999999998</v>
      </c>
      <c r="AF136" s="205">
        <v>19.40353</v>
      </c>
      <c r="AG136" s="205">
        <v>31.792619999999999</v>
      </c>
      <c r="AH136" s="205">
        <v>86.565789999999993</v>
      </c>
      <c r="AI136" s="205">
        <v>82.959990000000019</v>
      </c>
      <c r="AJ136" s="205">
        <v>0</v>
      </c>
      <c r="AK136" s="205">
        <v>24.801530000000003</v>
      </c>
      <c r="AL136" s="205">
        <v>46.752769999999998</v>
      </c>
      <c r="AM136" s="205">
        <v>47.519200000000005</v>
      </c>
      <c r="AN136" s="205">
        <v>17.577749999999995</v>
      </c>
      <c r="AO136" s="205">
        <v>65.969420000000014</v>
      </c>
      <c r="AP136" s="205">
        <v>39.517389999999999</v>
      </c>
      <c r="AQ136" s="205">
        <v>0</v>
      </c>
      <c r="AR136" s="205">
        <v>26.450490000000002</v>
      </c>
      <c r="AS136" s="205">
        <v>3.0030599999999996</v>
      </c>
      <c r="AT136" s="205">
        <v>58.501349999999988</v>
      </c>
      <c r="AU136" s="205">
        <v>60.704389999999997</v>
      </c>
      <c r="AV136" s="205">
        <v>169.89171999999996</v>
      </c>
      <c r="AW136" s="205">
        <v>124.31376999999999</v>
      </c>
    </row>
    <row r="137" spans="1:49" hidden="1" outlineLevel="1">
      <c r="H137" s="220" t="s">
        <v>88</v>
      </c>
      <c r="I137" s="220"/>
      <c r="J137" s="204"/>
      <c r="K137" s="204"/>
      <c r="L137" s="204"/>
      <c r="M137" s="205"/>
      <c r="N137" s="205"/>
      <c r="O137" s="205"/>
      <c r="P137" s="204">
        <v>31.180660000000003</v>
      </c>
      <c r="Q137" s="204">
        <v>17.63607</v>
      </c>
      <c r="R137" s="205">
        <v>20.278860000000002</v>
      </c>
      <c r="S137" s="205">
        <v>14.94036</v>
      </c>
      <c r="T137" s="205">
        <v>51.928060000000009</v>
      </c>
      <c r="U137" s="205">
        <v>27.834349999999997</v>
      </c>
      <c r="V137" s="205">
        <v>46.986059999999988</v>
      </c>
      <c r="W137" s="205">
        <v>48.529040000000002</v>
      </c>
      <c r="X137" s="205">
        <v>0</v>
      </c>
      <c r="Y137" s="205">
        <v>17.043810000000001</v>
      </c>
      <c r="Z137" s="205">
        <v>10.100680000000001</v>
      </c>
      <c r="AA137" s="205">
        <v>13.050799999999999</v>
      </c>
      <c r="AB137" s="205">
        <v>16.903099999999998</v>
      </c>
      <c r="AC137" s="205">
        <v>33.285719999999998</v>
      </c>
      <c r="AD137" s="205">
        <v>40.038249999999998</v>
      </c>
      <c r="AE137" s="205">
        <v>66.604780000000005</v>
      </c>
      <c r="AF137" s="205">
        <v>11.024080000000001</v>
      </c>
      <c r="AG137" s="205">
        <v>15.8307</v>
      </c>
      <c r="AH137" s="205">
        <v>54.882560000000005</v>
      </c>
      <c r="AI137" s="205">
        <v>44.567320000000002</v>
      </c>
      <c r="AJ137" s="205">
        <v>0</v>
      </c>
      <c r="AK137" s="205">
        <v>20.342610000000001</v>
      </c>
      <c r="AL137" s="205">
        <v>29.450449999999996</v>
      </c>
      <c r="AM137" s="205">
        <v>36.432090000000002</v>
      </c>
      <c r="AN137" s="205">
        <v>11.82178</v>
      </c>
      <c r="AO137" s="205">
        <v>49.24738</v>
      </c>
      <c r="AP137" s="205">
        <v>28.540220000000001</v>
      </c>
      <c r="AQ137" s="205">
        <v>0</v>
      </c>
      <c r="AR137" s="205">
        <v>20.328769999999999</v>
      </c>
      <c r="AS137" s="205">
        <v>2.6097100000000002</v>
      </c>
      <c r="AT137" s="205">
        <v>38.111989999999999</v>
      </c>
      <c r="AU137" s="205">
        <v>38.521600000000007</v>
      </c>
      <c r="AV137" s="205">
        <v>92.921569999999988</v>
      </c>
      <c r="AW137" s="205">
        <v>120.02623000000001</v>
      </c>
    </row>
    <row r="138" spans="1:49" hidden="1" outlineLevel="1">
      <c r="H138" s="220" t="s">
        <v>89</v>
      </c>
      <c r="I138" s="220"/>
      <c r="J138" s="204"/>
      <c r="K138" s="204"/>
      <c r="L138" s="204"/>
      <c r="M138" s="205"/>
      <c r="N138" s="205"/>
      <c r="O138" s="205"/>
      <c r="P138" s="204">
        <v>14.228250000000001</v>
      </c>
      <c r="Q138" s="204">
        <v>9.9980999999999991</v>
      </c>
      <c r="R138" s="205">
        <v>6.8345000000000002</v>
      </c>
      <c r="S138" s="205">
        <v>5.3811200000000001</v>
      </c>
      <c r="T138" s="205">
        <v>26.273699999999998</v>
      </c>
      <c r="U138" s="205">
        <v>13.64456</v>
      </c>
      <c r="V138" s="205">
        <v>24.786750000000001</v>
      </c>
      <c r="W138" s="205">
        <v>23.473459999999999</v>
      </c>
      <c r="X138" s="205">
        <v>0</v>
      </c>
      <c r="Y138" s="205">
        <v>8.0219100000000001</v>
      </c>
      <c r="Z138" s="205">
        <v>4.5308200000000003</v>
      </c>
      <c r="AA138" s="205">
        <v>6.7732799999999989</v>
      </c>
      <c r="AB138" s="205">
        <v>7.2541899999999995</v>
      </c>
      <c r="AC138" s="205">
        <v>14.258779999999998</v>
      </c>
      <c r="AD138" s="205">
        <v>15.208440000000001</v>
      </c>
      <c r="AE138" s="205">
        <v>40.999809999999997</v>
      </c>
      <c r="AF138" s="205">
        <v>3.3055500000000002</v>
      </c>
      <c r="AG138" s="205">
        <v>7.58385</v>
      </c>
      <c r="AH138" s="205">
        <v>22.446460000000002</v>
      </c>
      <c r="AI138" s="205">
        <v>20.436940000000003</v>
      </c>
      <c r="AJ138" s="205">
        <v>0</v>
      </c>
      <c r="AK138" s="205">
        <v>7.1349000000000009</v>
      </c>
      <c r="AL138" s="205">
        <v>12.407489999999999</v>
      </c>
      <c r="AM138" s="205">
        <v>13.876659999999999</v>
      </c>
      <c r="AN138" s="205">
        <v>5.6200200000000002</v>
      </c>
      <c r="AO138" s="205">
        <v>16.00386</v>
      </c>
      <c r="AP138" s="205">
        <v>8.2248799999999989</v>
      </c>
      <c r="AQ138" s="205">
        <v>0</v>
      </c>
      <c r="AR138" s="205">
        <v>8.1306499999999993</v>
      </c>
      <c r="AS138" s="205">
        <v>0.93410000000000004</v>
      </c>
      <c r="AT138" s="205">
        <v>12.819870000000002</v>
      </c>
      <c r="AU138" s="205">
        <v>13.695130000000001</v>
      </c>
      <c r="AV138" s="205">
        <v>33.631389999999996</v>
      </c>
      <c r="AW138" s="205">
        <v>18.73235</v>
      </c>
    </row>
    <row r="139" spans="1:49" hidden="1" outlineLevel="1">
      <c r="H139" s="220" t="s">
        <v>90</v>
      </c>
      <c r="I139" s="220"/>
      <c r="J139" s="204"/>
      <c r="K139" s="204"/>
      <c r="L139" s="204"/>
      <c r="M139" s="205"/>
      <c r="N139" s="205"/>
      <c r="O139" s="205"/>
      <c r="P139" s="204">
        <v>7.5202600000000004</v>
      </c>
      <c r="Q139" s="204">
        <v>3.94286</v>
      </c>
      <c r="R139" s="205">
        <v>4.8161499999999995</v>
      </c>
      <c r="S139" s="205">
        <v>3.4072800000000001</v>
      </c>
      <c r="T139" s="205">
        <v>12.643229999999999</v>
      </c>
      <c r="U139" s="205">
        <v>6.4329799999999997</v>
      </c>
      <c r="V139" s="205">
        <v>11.96955</v>
      </c>
      <c r="W139" s="205">
        <v>11.49259</v>
      </c>
      <c r="X139" s="205">
        <v>0</v>
      </c>
      <c r="Y139" s="205">
        <v>4.2137399999999996</v>
      </c>
      <c r="Z139" s="205">
        <v>2.1519300000000001</v>
      </c>
      <c r="AA139" s="205">
        <v>2.5753100000000004</v>
      </c>
      <c r="AB139" s="205">
        <v>3.4333</v>
      </c>
      <c r="AC139" s="205">
        <v>7.9714699999999992</v>
      </c>
      <c r="AD139" s="205">
        <v>8.7595999999999989</v>
      </c>
      <c r="AE139" s="205">
        <v>15.907190000000002</v>
      </c>
      <c r="AF139" s="205">
        <v>2.62344</v>
      </c>
      <c r="AG139" s="205">
        <v>4.1719400000000002</v>
      </c>
      <c r="AH139" s="205">
        <v>9.8255099999999995</v>
      </c>
      <c r="AI139" s="205">
        <v>8.2191600000000005</v>
      </c>
      <c r="AJ139" s="205">
        <v>0</v>
      </c>
      <c r="AK139" s="205">
        <v>2.8818299999999999</v>
      </c>
      <c r="AL139" s="205">
        <v>5.8437200000000002</v>
      </c>
      <c r="AM139" s="205">
        <v>6.3177100000000008</v>
      </c>
      <c r="AN139" s="205">
        <v>1.8993000000000002</v>
      </c>
      <c r="AO139" s="205">
        <v>8.9116400000000002</v>
      </c>
      <c r="AP139" s="205">
        <v>5.4182099999999993</v>
      </c>
      <c r="AQ139" s="205">
        <v>0</v>
      </c>
      <c r="AR139" s="205">
        <v>4.1241500000000002</v>
      </c>
      <c r="AS139" s="205">
        <v>0.47101000000000004</v>
      </c>
      <c r="AT139" s="205">
        <v>6.1493700000000011</v>
      </c>
      <c r="AU139" s="205">
        <v>7.39656</v>
      </c>
      <c r="AV139" s="205">
        <v>16.239630000000002</v>
      </c>
      <c r="AW139" s="205">
        <v>25.576550000000005</v>
      </c>
    </row>
    <row r="140" spans="1:49" hidden="1" outlineLevel="1">
      <c r="H140" s="220" t="s">
        <v>93</v>
      </c>
      <c r="I140" s="220"/>
      <c r="J140" s="204"/>
      <c r="K140" s="204"/>
      <c r="L140" s="204"/>
      <c r="M140" s="205"/>
      <c r="N140" s="205"/>
      <c r="O140" s="205"/>
      <c r="P140" s="204">
        <v>2.5499999999999998</v>
      </c>
      <c r="Q140" s="204">
        <v>0</v>
      </c>
      <c r="R140" s="205">
        <v>0</v>
      </c>
      <c r="S140" s="205">
        <v>0</v>
      </c>
      <c r="T140" s="205">
        <v>3.6</v>
      </c>
      <c r="U140" s="205">
        <v>0</v>
      </c>
      <c r="V140" s="205">
        <v>0</v>
      </c>
      <c r="W140" s="205">
        <v>0</v>
      </c>
      <c r="X140" s="205">
        <v>2.9194800000000001</v>
      </c>
      <c r="Y140" s="205">
        <v>0</v>
      </c>
      <c r="Z140" s="205">
        <v>0</v>
      </c>
      <c r="AA140" s="205">
        <v>0</v>
      </c>
      <c r="AB140" s="205">
        <v>3.45</v>
      </c>
      <c r="AC140" s="205">
        <v>0</v>
      </c>
      <c r="AD140" s="205">
        <v>0</v>
      </c>
      <c r="AE140" s="205">
        <v>5.65</v>
      </c>
      <c r="AF140" s="205">
        <v>0</v>
      </c>
      <c r="AG140" s="205">
        <v>0</v>
      </c>
      <c r="AH140" s="205">
        <v>0</v>
      </c>
      <c r="AI140" s="205">
        <v>0.8</v>
      </c>
      <c r="AJ140" s="205">
        <v>0</v>
      </c>
      <c r="AK140" s="205">
        <v>0</v>
      </c>
      <c r="AL140" s="205">
        <v>1.8</v>
      </c>
      <c r="AM140" s="205">
        <v>0</v>
      </c>
      <c r="AN140" s="205">
        <v>0</v>
      </c>
      <c r="AO140" s="205">
        <v>0</v>
      </c>
      <c r="AP140" s="205">
        <v>0</v>
      </c>
      <c r="AQ140" s="205">
        <v>0</v>
      </c>
      <c r="AR140" s="205">
        <v>0</v>
      </c>
      <c r="AS140" s="205">
        <v>0</v>
      </c>
      <c r="AT140" s="205">
        <v>0</v>
      </c>
      <c r="AU140" s="205">
        <v>0</v>
      </c>
      <c r="AV140" s="205">
        <v>0</v>
      </c>
      <c r="AW140" s="205">
        <v>0</v>
      </c>
    </row>
    <row r="141" spans="1:49" hidden="1" outlineLevel="1">
      <c r="H141" s="220" t="s">
        <v>91</v>
      </c>
      <c r="I141" s="220"/>
      <c r="J141" s="204"/>
      <c r="K141" s="204"/>
      <c r="L141" s="204"/>
      <c r="M141" s="205"/>
      <c r="N141" s="205"/>
      <c r="O141" s="205"/>
      <c r="P141" s="204">
        <v>0.53528999999999993</v>
      </c>
      <c r="Q141" s="204">
        <v>0.33341999999999994</v>
      </c>
      <c r="R141" s="205">
        <v>0.45036999999999999</v>
      </c>
      <c r="S141" s="205">
        <v>0.32328000000000001</v>
      </c>
      <c r="T141" s="205">
        <v>1.1411100000000001</v>
      </c>
      <c r="U141" s="205">
        <v>0.58305999999999991</v>
      </c>
      <c r="V141" s="205">
        <v>2.1132000000000004</v>
      </c>
      <c r="W141" s="205">
        <v>1.0005299999999999</v>
      </c>
      <c r="X141" s="205">
        <v>0</v>
      </c>
      <c r="Y141" s="205">
        <v>0.28045999999999999</v>
      </c>
      <c r="Z141" s="205">
        <v>0.30307999999999996</v>
      </c>
      <c r="AA141" s="205">
        <v>0.26989999999999997</v>
      </c>
      <c r="AB141" s="205">
        <v>0.42698000000000003</v>
      </c>
      <c r="AC141" s="205">
        <v>0.75029999999999997</v>
      </c>
      <c r="AD141" s="205">
        <v>0.59471000000000007</v>
      </c>
      <c r="AE141" s="205">
        <v>6.7423500000000001</v>
      </c>
      <c r="AF141" s="205">
        <v>0.29467000000000004</v>
      </c>
      <c r="AG141" s="205">
        <v>0</v>
      </c>
      <c r="AH141" s="205">
        <v>0</v>
      </c>
      <c r="AI141" s="205">
        <v>0</v>
      </c>
      <c r="AJ141" s="205">
        <v>0</v>
      </c>
      <c r="AK141" s="205">
        <v>0</v>
      </c>
      <c r="AL141" s="205">
        <v>0</v>
      </c>
      <c r="AM141" s="205">
        <v>0</v>
      </c>
      <c r="AN141" s="205">
        <v>0</v>
      </c>
      <c r="AO141" s="205">
        <v>8.8020000000000001E-2</v>
      </c>
      <c r="AP141" s="205">
        <v>0</v>
      </c>
      <c r="AQ141" s="205">
        <v>0</v>
      </c>
      <c r="AR141" s="205">
        <v>0</v>
      </c>
      <c r="AS141" s="205">
        <v>0</v>
      </c>
      <c r="AT141" s="205">
        <v>0</v>
      </c>
      <c r="AU141" s="205">
        <v>0</v>
      </c>
      <c r="AV141" s="205">
        <v>0</v>
      </c>
      <c r="AW141" s="205">
        <v>4.25</v>
      </c>
    </row>
    <row r="142" spans="1:49" collapsed="1">
      <c r="A142" t="s">
        <v>92</v>
      </c>
      <c r="H142" s="214" t="s">
        <v>92</v>
      </c>
      <c r="I142" s="214"/>
      <c r="J142" s="207">
        <f>SUMIFS($P142:$AW142,$P$3:$AW$3,J$4)</f>
        <v>2853.3539599999999</v>
      </c>
      <c r="K142" s="207">
        <f>J142-AE142-AF142</f>
        <v>2203.96947</v>
      </c>
      <c r="L142" s="207">
        <f t="shared" ref="L142:N142" si="39">SUMIFS($P142:$AW142,$P$3:$AW$3,L$4)</f>
        <v>1282.31297</v>
      </c>
      <c r="M142" s="207">
        <f t="shared" si="39"/>
        <v>613.06772000000001</v>
      </c>
      <c r="N142" s="207">
        <f t="shared" si="39"/>
        <v>457.80014</v>
      </c>
      <c r="O142" s="208"/>
      <c r="P142" s="207">
        <f>SUBTOTAL(9,P135:P141)</f>
        <v>174.00911000000002</v>
      </c>
      <c r="Q142" s="207">
        <f t="shared" ref="Q142:AW142" si="40">SUBTOTAL(9,Q135:Q141)</f>
        <v>104.80491000000001</v>
      </c>
      <c r="R142" s="208">
        <f t="shared" si="40"/>
        <v>91.043590000000009</v>
      </c>
      <c r="S142" s="208">
        <f t="shared" si="40"/>
        <v>78.106519999999989</v>
      </c>
      <c r="T142" s="208">
        <f t="shared" si="40"/>
        <v>294.4313600000001</v>
      </c>
      <c r="U142" s="208">
        <f t="shared" si="40"/>
        <v>158.11535999999998</v>
      </c>
      <c r="V142" s="208">
        <f t="shared" si="40"/>
        <v>275.73958000000005</v>
      </c>
      <c r="W142" s="208">
        <f t="shared" si="40"/>
        <v>264.06776000000002</v>
      </c>
      <c r="X142" s="208">
        <f t="shared" si="40"/>
        <v>2.9194800000000001</v>
      </c>
      <c r="Y142" s="208">
        <f t="shared" si="40"/>
        <v>93.836850000000013</v>
      </c>
      <c r="Z142" s="208">
        <f t="shared" si="40"/>
        <v>55.90672</v>
      </c>
      <c r="AA142" s="208">
        <f t="shared" si="40"/>
        <v>66.081390000000013</v>
      </c>
      <c r="AB142" s="208">
        <f t="shared" si="40"/>
        <v>85.967020000000005</v>
      </c>
      <c r="AC142" s="208">
        <f t="shared" si="40"/>
        <v>178.83942000000002</v>
      </c>
      <c r="AD142" s="208">
        <f t="shared" si="40"/>
        <v>191.23851999999999</v>
      </c>
      <c r="AE142" s="208">
        <f t="shared" si="40"/>
        <v>581.66215999999997</v>
      </c>
      <c r="AF142" s="208">
        <f t="shared" si="40"/>
        <v>67.722329999999999</v>
      </c>
      <c r="AG142" s="208">
        <f t="shared" si="40"/>
        <v>88.861879999999999</v>
      </c>
      <c r="AH142" s="208">
        <f t="shared" si="40"/>
        <v>226.26211000000001</v>
      </c>
      <c r="AI142" s="208">
        <f t="shared" si="40"/>
        <v>196.66114000000002</v>
      </c>
      <c r="AJ142" s="208">
        <f t="shared" si="40"/>
        <v>0</v>
      </c>
      <c r="AK142" s="208">
        <f t="shared" si="40"/>
        <v>71.66767999999999</v>
      </c>
      <c r="AL142" s="208">
        <f t="shared" si="40"/>
        <v>124.34472</v>
      </c>
      <c r="AM142" s="208">
        <f t="shared" si="40"/>
        <v>141.82828000000001</v>
      </c>
      <c r="AN142" s="208">
        <f t="shared" si="40"/>
        <v>48.964929999999995</v>
      </c>
      <c r="AO142" s="208">
        <f t="shared" si="40"/>
        <v>212.81308000000001</v>
      </c>
      <c r="AP142" s="208">
        <f t="shared" si="40"/>
        <v>124.04524000000001</v>
      </c>
      <c r="AQ142" s="208">
        <f t="shared" si="40"/>
        <v>0</v>
      </c>
      <c r="AR142" s="208">
        <f t="shared" si="40"/>
        <v>95.695959999999999</v>
      </c>
      <c r="AS142" s="208">
        <f t="shared" si="40"/>
        <v>11.50067</v>
      </c>
      <c r="AT142" s="208">
        <f t="shared" si="40"/>
        <v>177.97512999999998</v>
      </c>
      <c r="AU142" s="208">
        <f t="shared" si="40"/>
        <v>182.92296000000002</v>
      </c>
      <c r="AV142" s="208">
        <f t="shared" si="40"/>
        <v>477.35992999999991</v>
      </c>
      <c r="AW142" s="208">
        <f t="shared" si="40"/>
        <v>457.80014</v>
      </c>
    </row>
    <row r="143" spans="1:49" hidden="1" outlineLevel="1">
      <c r="H143" s="220" t="s">
        <v>120</v>
      </c>
      <c r="I143" s="220"/>
      <c r="J143" s="204"/>
      <c r="K143" s="204"/>
      <c r="L143" s="204"/>
      <c r="M143" s="205"/>
      <c r="N143" s="205"/>
      <c r="O143" s="205"/>
      <c r="P143" s="204">
        <v>35.337249999999997</v>
      </c>
      <c r="Q143" s="204">
        <v>15.996540000000001</v>
      </c>
      <c r="R143" s="205">
        <v>23.13618</v>
      </c>
      <c r="S143" s="205">
        <v>28.580789999999997</v>
      </c>
      <c r="T143" s="205">
        <v>71.141770000000008</v>
      </c>
      <c r="U143" s="205">
        <v>27.204789999999999</v>
      </c>
      <c r="V143" s="205">
        <v>49.290189999999996</v>
      </c>
      <c r="W143" s="205">
        <v>44.344959999999993</v>
      </c>
      <c r="X143" s="205">
        <v>11.51172</v>
      </c>
      <c r="Y143" s="205">
        <v>19.228359999999999</v>
      </c>
      <c r="Z143" s="205">
        <v>15.34033</v>
      </c>
      <c r="AA143" s="205">
        <v>15.843219999999999</v>
      </c>
      <c r="AB143" s="205">
        <v>42.865749999999998</v>
      </c>
      <c r="AC143" s="205">
        <v>55.129240000000003</v>
      </c>
      <c r="AD143" s="205">
        <v>42.409699999999994</v>
      </c>
      <c r="AE143" s="205">
        <v>119.72190000000002</v>
      </c>
      <c r="AF143" s="205">
        <v>32.478250000000003</v>
      </c>
      <c r="AG143" s="205">
        <v>33.742950000000008</v>
      </c>
      <c r="AH143" s="205">
        <v>56.99006</v>
      </c>
      <c r="AI143" s="205">
        <v>45.082319999999996</v>
      </c>
      <c r="AJ143" s="205">
        <v>0</v>
      </c>
      <c r="AK143" s="205">
        <v>25.308109999999999</v>
      </c>
      <c r="AL143" s="205">
        <v>33.505949999999999</v>
      </c>
      <c r="AM143" s="205">
        <v>39.601350000000004</v>
      </c>
      <c r="AN143" s="205">
        <v>15.244009999999998</v>
      </c>
      <c r="AO143" s="205">
        <v>49.267180000000003</v>
      </c>
      <c r="AP143" s="205">
        <v>43.980509999999995</v>
      </c>
      <c r="AQ143" s="205">
        <v>5.3522600000000002</v>
      </c>
      <c r="AR143" s="205">
        <v>29.995920000000002</v>
      </c>
      <c r="AS143" s="205">
        <v>10.145520000000001</v>
      </c>
      <c r="AT143" s="205">
        <v>40.83267</v>
      </c>
      <c r="AU143" s="205">
        <v>38.190620000000003</v>
      </c>
      <c r="AV143" s="205">
        <v>101.09675</v>
      </c>
      <c r="AW143" s="205">
        <v>111.05686999999999</v>
      </c>
    </row>
    <row r="144" spans="1:49" hidden="1" outlineLevel="1">
      <c r="H144" s="220" t="s">
        <v>121</v>
      </c>
      <c r="I144" s="220"/>
      <c r="J144" s="204"/>
      <c r="K144" s="204"/>
      <c r="L144" s="204"/>
      <c r="M144" s="205"/>
      <c r="N144" s="205"/>
      <c r="O144" s="205"/>
      <c r="P144" s="204">
        <v>15.597100000000003</v>
      </c>
      <c r="Q144" s="204">
        <v>10.166360000000001</v>
      </c>
      <c r="R144" s="205">
        <v>11.626999999999999</v>
      </c>
      <c r="S144" s="205">
        <v>19.056989999999999</v>
      </c>
      <c r="T144" s="205">
        <v>41.267870000000002</v>
      </c>
      <c r="U144" s="205">
        <v>17.53276</v>
      </c>
      <c r="V144" s="205">
        <v>31.187899999999999</v>
      </c>
      <c r="W144" s="205">
        <v>27.636849999999999</v>
      </c>
      <c r="X144" s="205">
        <v>4.9080500000000002</v>
      </c>
      <c r="Y144" s="205">
        <v>9.4194800000000001</v>
      </c>
      <c r="Z144" s="205">
        <v>8.6417599999999997</v>
      </c>
      <c r="AA144" s="205">
        <v>7.1873800000000001</v>
      </c>
      <c r="AB144" s="205">
        <v>23.505310000000005</v>
      </c>
      <c r="AC144" s="205">
        <v>26.456130000000002</v>
      </c>
      <c r="AD144" s="205">
        <v>19.25564</v>
      </c>
      <c r="AE144" s="205">
        <v>68.200120000000013</v>
      </c>
      <c r="AF144" s="205">
        <v>10.21921</v>
      </c>
      <c r="AG144" s="205">
        <v>22.070309999999999</v>
      </c>
      <c r="AH144" s="205">
        <v>32.956470000000003</v>
      </c>
      <c r="AI144" s="205">
        <v>25.171670000000002</v>
      </c>
      <c r="AJ144" s="205">
        <v>0</v>
      </c>
      <c r="AK144" s="205">
        <v>9.5623400000000007</v>
      </c>
      <c r="AL144" s="205">
        <v>17.312039999999996</v>
      </c>
      <c r="AM144" s="205">
        <v>18.17315</v>
      </c>
      <c r="AN144" s="205">
        <v>7.4654699999999989</v>
      </c>
      <c r="AO144" s="205">
        <v>27.354040000000001</v>
      </c>
      <c r="AP144" s="205">
        <v>24.379459999999998</v>
      </c>
      <c r="AQ144" s="205">
        <v>1.0165200000000001</v>
      </c>
      <c r="AR144" s="205">
        <v>18.301599999999997</v>
      </c>
      <c r="AS144" s="205">
        <v>8.7692399999999999</v>
      </c>
      <c r="AT144" s="205">
        <v>20.652919999999998</v>
      </c>
      <c r="AU144" s="205">
        <v>22.888960000000001</v>
      </c>
      <c r="AV144" s="205">
        <v>49.228110000000008</v>
      </c>
      <c r="AW144" s="205">
        <v>61.921950000000002</v>
      </c>
    </row>
    <row r="145" spans="1:49" hidden="1" outlineLevel="1">
      <c r="H145" s="220" t="s">
        <v>122</v>
      </c>
      <c r="I145" s="220"/>
      <c r="J145" s="204"/>
      <c r="K145" s="204"/>
      <c r="L145" s="204"/>
      <c r="M145" s="205"/>
      <c r="N145" s="205"/>
      <c r="O145" s="205"/>
      <c r="P145" s="204">
        <v>0</v>
      </c>
      <c r="Q145" s="204">
        <v>0</v>
      </c>
      <c r="R145" s="205">
        <v>-2.0000000000000002E-5</v>
      </c>
      <c r="S145" s="205">
        <v>-2.0000000000000002E-5</v>
      </c>
      <c r="T145" s="205">
        <v>0</v>
      </c>
      <c r="U145" s="205">
        <v>-8.0000000000000007E-5</v>
      </c>
      <c r="V145" s="205">
        <v>-1E-4</v>
      </c>
      <c r="W145" s="205">
        <v>-4.0000000000000003E-5</v>
      </c>
      <c r="X145" s="205">
        <v>0</v>
      </c>
      <c r="Y145" s="205">
        <v>0</v>
      </c>
      <c r="Z145" s="205">
        <v>0</v>
      </c>
      <c r="AA145" s="205">
        <v>-2.0000000000000002E-5</v>
      </c>
      <c r="AB145" s="205">
        <v>0</v>
      </c>
      <c r="AC145" s="205">
        <v>-1.33E-3</v>
      </c>
      <c r="AD145" s="205">
        <v>-5.9999999999999995E-5</v>
      </c>
      <c r="AE145" s="205">
        <v>-1.077E-2</v>
      </c>
      <c r="AF145" s="205">
        <v>0</v>
      </c>
      <c r="AG145" s="205">
        <v>0</v>
      </c>
      <c r="AH145" s="205">
        <v>0</v>
      </c>
      <c r="AI145" s="205">
        <v>0</v>
      </c>
      <c r="AJ145" s="205">
        <v>0</v>
      </c>
      <c r="AK145" s="205">
        <v>0</v>
      </c>
      <c r="AL145" s="205">
        <v>0</v>
      </c>
      <c r="AM145" s="205">
        <v>0</v>
      </c>
      <c r="AN145" s="205">
        <v>-2.7499999999999998E-3</v>
      </c>
      <c r="AO145" s="205">
        <v>0</v>
      </c>
      <c r="AP145" s="205">
        <v>0</v>
      </c>
      <c r="AQ145" s="205">
        <v>0</v>
      </c>
      <c r="AR145" s="205">
        <v>0</v>
      </c>
      <c r="AS145" s="205">
        <v>0</v>
      </c>
      <c r="AT145" s="205">
        <v>-3.7599999999999999E-3</v>
      </c>
      <c r="AU145" s="205">
        <v>0</v>
      </c>
      <c r="AV145" s="205">
        <v>0</v>
      </c>
      <c r="AW145" s="205">
        <v>0</v>
      </c>
    </row>
    <row r="146" spans="1:49" hidden="1" outlineLevel="1">
      <c r="H146" s="220" t="s">
        <v>123</v>
      </c>
      <c r="I146" s="220"/>
      <c r="J146" s="204"/>
      <c r="K146" s="204"/>
      <c r="L146" s="204"/>
      <c r="M146" s="205"/>
      <c r="N146" s="205"/>
      <c r="O146" s="205"/>
      <c r="P146" s="204">
        <v>0</v>
      </c>
      <c r="Q146" s="204">
        <v>0</v>
      </c>
      <c r="R146" s="205">
        <v>0</v>
      </c>
      <c r="S146" s="205">
        <v>0</v>
      </c>
      <c r="T146" s="205">
        <v>0</v>
      </c>
      <c r="U146" s="205">
        <v>0</v>
      </c>
      <c r="V146" s="205">
        <v>0</v>
      </c>
      <c r="W146" s="205">
        <v>0</v>
      </c>
      <c r="X146" s="205">
        <v>0</v>
      </c>
      <c r="Y146" s="205">
        <v>0</v>
      </c>
      <c r="Z146" s="205">
        <v>0</v>
      </c>
      <c r="AA146" s="205">
        <v>0</v>
      </c>
      <c r="AB146" s="205">
        <v>0</v>
      </c>
      <c r="AC146" s="205">
        <v>0</v>
      </c>
      <c r="AD146" s="205">
        <v>0</v>
      </c>
      <c r="AE146" s="205">
        <v>-4.7999999999999996E-3</v>
      </c>
      <c r="AF146" s="205">
        <v>0</v>
      </c>
      <c r="AG146" s="205">
        <v>0</v>
      </c>
      <c r="AH146" s="205">
        <v>0</v>
      </c>
      <c r="AI146" s="205">
        <v>0</v>
      </c>
      <c r="AJ146" s="205">
        <v>0</v>
      </c>
      <c r="AK146" s="205">
        <v>0</v>
      </c>
      <c r="AL146" s="205">
        <v>0</v>
      </c>
      <c r="AM146" s="205">
        <v>0</v>
      </c>
      <c r="AN146" s="205">
        <v>0</v>
      </c>
      <c r="AO146" s="205">
        <v>0</v>
      </c>
      <c r="AP146" s="205">
        <v>0</v>
      </c>
      <c r="AQ146" s="205">
        <v>0</v>
      </c>
      <c r="AR146" s="205">
        <v>0</v>
      </c>
      <c r="AS146" s="205">
        <v>0</v>
      </c>
      <c r="AT146" s="205">
        <v>0</v>
      </c>
      <c r="AU146" s="205">
        <v>0</v>
      </c>
      <c r="AV146" s="205">
        <v>0</v>
      </c>
      <c r="AW146" s="205">
        <v>0</v>
      </c>
    </row>
    <row r="147" spans="1:49" hidden="1" outlineLevel="1">
      <c r="H147" s="220" t="s">
        <v>124</v>
      </c>
      <c r="I147" s="220"/>
      <c r="J147" s="204"/>
      <c r="K147" s="204"/>
      <c r="L147" s="204"/>
      <c r="M147" s="205"/>
      <c r="N147" s="205"/>
      <c r="O147" s="205"/>
      <c r="P147" s="204">
        <v>2.12791</v>
      </c>
      <c r="Q147" s="204">
        <v>1.1029900000000001</v>
      </c>
      <c r="R147" s="205">
        <v>1.8130499999999998</v>
      </c>
      <c r="S147" s="205">
        <v>1.41089</v>
      </c>
      <c r="T147" s="205">
        <v>3.8194499999999998</v>
      </c>
      <c r="U147" s="205">
        <v>1.8551000000000002</v>
      </c>
      <c r="V147" s="205">
        <v>3.1224599999999998</v>
      </c>
      <c r="W147" s="205">
        <v>2.7190599999999998</v>
      </c>
      <c r="X147" s="205">
        <v>0.67454999999999998</v>
      </c>
      <c r="Y147" s="205">
        <v>1.19781</v>
      </c>
      <c r="Z147" s="205">
        <v>0.86360999999999999</v>
      </c>
      <c r="AA147" s="205">
        <v>1.2249699999999999</v>
      </c>
      <c r="AB147" s="205">
        <v>1.8706599999999998</v>
      </c>
      <c r="AC147" s="205">
        <v>2.9338699999999998</v>
      </c>
      <c r="AD147" s="205">
        <v>2.38219</v>
      </c>
      <c r="AE147" s="205">
        <v>7.3450400000000009</v>
      </c>
      <c r="AF147" s="205">
        <v>1.7732699999999999</v>
      </c>
      <c r="AG147" s="205">
        <v>1.4605999999999999</v>
      </c>
      <c r="AH147" s="205">
        <v>3.5846999999999989</v>
      </c>
      <c r="AI147" s="205">
        <v>2.8872300000000002</v>
      </c>
      <c r="AJ147" s="205">
        <v>4.6500000000000005E-3</v>
      </c>
      <c r="AK147" s="205">
        <v>1.7556599999999998</v>
      </c>
      <c r="AL147" s="205">
        <v>2.1821999999999999</v>
      </c>
      <c r="AM147" s="205">
        <v>2.5680800000000001</v>
      </c>
      <c r="AN147" s="205">
        <v>1.2874700000000001</v>
      </c>
      <c r="AO147" s="205">
        <v>3.4365700000000006</v>
      </c>
      <c r="AP147" s="205">
        <v>2.64886</v>
      </c>
      <c r="AQ147" s="205">
        <v>0.70125999999999999</v>
      </c>
      <c r="AR147" s="205">
        <v>2.1495100000000003</v>
      </c>
      <c r="AS147" s="205">
        <v>0.50214000000000003</v>
      </c>
      <c r="AT147" s="205">
        <v>2.6487600000000002</v>
      </c>
      <c r="AU147" s="205">
        <v>2.6510400000000001</v>
      </c>
      <c r="AV147" s="205">
        <v>6.5691799999999994</v>
      </c>
      <c r="AW147" s="205">
        <v>2.0834000000000001</v>
      </c>
    </row>
    <row r="148" spans="1:49" hidden="1" outlineLevel="1">
      <c r="H148" s="220" t="s">
        <v>125</v>
      </c>
      <c r="I148" s="220"/>
      <c r="J148" s="204"/>
      <c r="K148" s="204"/>
      <c r="L148" s="204"/>
      <c r="M148" s="205"/>
      <c r="N148" s="205"/>
      <c r="O148" s="205"/>
      <c r="P148" s="204">
        <v>0</v>
      </c>
      <c r="Q148" s="204">
        <v>0</v>
      </c>
      <c r="R148" s="205">
        <v>0</v>
      </c>
      <c r="S148" s="205">
        <v>0</v>
      </c>
      <c r="T148" s="205">
        <v>0</v>
      </c>
      <c r="U148" s="205">
        <v>0</v>
      </c>
      <c r="V148" s="205">
        <v>0</v>
      </c>
      <c r="W148" s="205">
        <v>0</v>
      </c>
      <c r="X148" s="205">
        <v>0</v>
      </c>
      <c r="Y148" s="205">
        <v>0</v>
      </c>
      <c r="Z148" s="205">
        <v>0</v>
      </c>
      <c r="AA148" s="205">
        <v>0</v>
      </c>
      <c r="AB148" s="205">
        <v>0</v>
      </c>
      <c r="AC148" s="205">
        <v>0</v>
      </c>
      <c r="AD148" s="205">
        <v>0</v>
      </c>
      <c r="AE148" s="205">
        <v>0</v>
      </c>
      <c r="AF148" s="205">
        <v>0</v>
      </c>
      <c r="AG148" s="205">
        <v>0</v>
      </c>
      <c r="AH148" s="205">
        <v>0</v>
      </c>
      <c r="AI148" s="205">
        <v>0</v>
      </c>
      <c r="AJ148" s="205">
        <v>0</v>
      </c>
      <c r="AK148" s="205">
        <v>0</v>
      </c>
      <c r="AL148" s="205">
        <v>0</v>
      </c>
      <c r="AM148" s="205">
        <v>0</v>
      </c>
      <c r="AN148" s="205">
        <v>0</v>
      </c>
      <c r="AO148" s="205">
        <v>0</v>
      </c>
      <c r="AP148" s="205">
        <v>0</v>
      </c>
      <c r="AQ148" s="205">
        <v>0</v>
      </c>
      <c r="AR148" s="205">
        <v>0</v>
      </c>
      <c r="AS148" s="205">
        <v>0</v>
      </c>
      <c r="AT148" s="205">
        <v>0</v>
      </c>
      <c r="AU148" s="205">
        <v>0</v>
      </c>
      <c r="AV148" s="205">
        <v>0</v>
      </c>
      <c r="AW148" s="205">
        <v>0</v>
      </c>
    </row>
    <row r="149" spans="1:49" hidden="1" outlineLevel="1">
      <c r="H149" s="220" t="s">
        <v>126</v>
      </c>
      <c r="I149" s="220"/>
      <c r="J149" s="204"/>
      <c r="K149" s="204"/>
      <c r="L149" s="204"/>
      <c r="M149" s="205"/>
      <c r="N149" s="205"/>
      <c r="O149" s="205"/>
      <c r="P149" s="204">
        <v>0.82495999999999992</v>
      </c>
      <c r="Q149" s="204">
        <v>0.42299000000000003</v>
      </c>
      <c r="R149" s="205">
        <v>0.70101000000000002</v>
      </c>
      <c r="S149" s="205">
        <v>0.55376000000000003</v>
      </c>
      <c r="T149" s="205">
        <v>1.4607799999999997</v>
      </c>
      <c r="U149" s="205">
        <v>0.70704</v>
      </c>
      <c r="V149" s="205">
        <v>1.18354</v>
      </c>
      <c r="W149" s="205">
        <v>1.0132100000000002</v>
      </c>
      <c r="X149" s="205">
        <v>0.26527000000000001</v>
      </c>
      <c r="Y149" s="205">
        <v>0.45142000000000015</v>
      </c>
      <c r="Z149" s="205">
        <v>0.32569999999999993</v>
      </c>
      <c r="AA149" s="205">
        <v>0.45894000000000001</v>
      </c>
      <c r="AB149" s="205">
        <v>0.71751999999999982</v>
      </c>
      <c r="AC149" s="205">
        <v>1.1048499999999999</v>
      </c>
      <c r="AD149" s="205">
        <v>0.88576999999999995</v>
      </c>
      <c r="AE149" s="205">
        <v>2.7408200000000003</v>
      </c>
      <c r="AF149" s="205">
        <v>0.63276999999999994</v>
      </c>
      <c r="AG149" s="205">
        <v>0.53947999999999996</v>
      </c>
      <c r="AH149" s="205">
        <v>1.3236700000000001</v>
      </c>
      <c r="AI149" s="205">
        <v>1.0664</v>
      </c>
      <c r="AJ149" s="205">
        <v>1.5200000000000001E-3</v>
      </c>
      <c r="AK149" s="205">
        <v>0.66671999999999998</v>
      </c>
      <c r="AL149" s="205">
        <v>0.83901999999999999</v>
      </c>
      <c r="AM149" s="205">
        <v>0.95609999999999995</v>
      </c>
      <c r="AN149" s="205">
        <v>0.48405000000000004</v>
      </c>
      <c r="AO149" s="205">
        <v>1.3072600000000003</v>
      </c>
      <c r="AP149" s="205">
        <v>0.99426999999999999</v>
      </c>
      <c r="AQ149" s="205">
        <v>0.29810000000000003</v>
      </c>
      <c r="AR149" s="205">
        <v>0.82359999999999989</v>
      </c>
      <c r="AS149" s="205">
        <v>0.19293999999999997</v>
      </c>
      <c r="AT149" s="205">
        <v>1.0206099999999998</v>
      </c>
      <c r="AU149" s="205">
        <v>1.0066299999999999</v>
      </c>
      <c r="AV149" s="205">
        <v>2.4655699999999996</v>
      </c>
      <c r="AW149" s="205">
        <v>2.81555</v>
      </c>
    </row>
    <row r="150" spans="1:49" hidden="1" outlineLevel="1">
      <c r="H150" s="220" t="s">
        <v>127</v>
      </c>
      <c r="I150" s="220"/>
      <c r="J150" s="204"/>
      <c r="K150" s="204"/>
      <c r="L150" s="204"/>
      <c r="M150" s="205"/>
      <c r="N150" s="205"/>
      <c r="O150" s="205"/>
      <c r="P150" s="204">
        <v>0</v>
      </c>
      <c r="Q150" s="204">
        <v>0</v>
      </c>
      <c r="R150" s="205">
        <v>0</v>
      </c>
      <c r="S150" s="205">
        <v>0</v>
      </c>
      <c r="T150" s="205">
        <v>0</v>
      </c>
      <c r="U150" s="205">
        <v>0</v>
      </c>
      <c r="V150" s="205">
        <v>0</v>
      </c>
      <c r="W150" s="205">
        <v>0</v>
      </c>
      <c r="X150" s="205">
        <v>0</v>
      </c>
      <c r="Y150" s="205">
        <v>0</v>
      </c>
      <c r="Z150" s="205">
        <v>0</v>
      </c>
      <c r="AA150" s="205">
        <v>0</v>
      </c>
      <c r="AB150" s="205">
        <v>0</v>
      </c>
      <c r="AC150" s="205">
        <v>0</v>
      </c>
      <c r="AD150" s="205">
        <v>0</v>
      </c>
      <c r="AE150" s="205">
        <v>0</v>
      </c>
      <c r="AF150" s="205">
        <v>0</v>
      </c>
      <c r="AG150" s="205">
        <v>0</v>
      </c>
      <c r="AH150" s="205">
        <v>0</v>
      </c>
      <c r="AI150" s="205">
        <v>0</v>
      </c>
      <c r="AJ150" s="205">
        <v>0</v>
      </c>
      <c r="AK150" s="205">
        <v>0</v>
      </c>
      <c r="AL150" s="205">
        <v>0</v>
      </c>
      <c r="AM150" s="205">
        <v>0</v>
      </c>
      <c r="AN150" s="205">
        <v>0</v>
      </c>
      <c r="AO150" s="205">
        <v>0</v>
      </c>
      <c r="AP150" s="205">
        <v>0</v>
      </c>
      <c r="AQ150" s="205">
        <v>0</v>
      </c>
      <c r="AR150" s="205">
        <v>0</v>
      </c>
      <c r="AS150" s="205">
        <v>0</v>
      </c>
      <c r="AT150" s="205">
        <v>0</v>
      </c>
      <c r="AU150" s="205">
        <v>0</v>
      </c>
      <c r="AV150" s="205">
        <v>0</v>
      </c>
      <c r="AW150" s="205">
        <v>0</v>
      </c>
    </row>
    <row r="151" spans="1:49" collapsed="1">
      <c r="A151" t="s">
        <v>128</v>
      </c>
      <c r="H151" s="214" t="s">
        <v>128</v>
      </c>
      <c r="I151" s="214"/>
      <c r="J151" s="207">
        <f>SUMIFS($P151:$AW151,$P$3:$AW$3,J$4)</f>
        <v>1111.9101799999999</v>
      </c>
      <c r="K151" s="207">
        <f>J151-AE151-AF151</f>
        <v>868.81436999999971</v>
      </c>
      <c r="L151" s="207">
        <f t="shared" ref="L151:N151" si="41">SUMIFS($P151:$AW151,$P$3:$AW$3,L$4)</f>
        <v>513.49667999999997</v>
      </c>
      <c r="M151" s="207">
        <f t="shared" si="41"/>
        <v>271.77003999999999</v>
      </c>
      <c r="N151" s="207">
        <f t="shared" si="41"/>
        <v>177.87777</v>
      </c>
      <c r="O151" s="208"/>
      <c r="P151" s="207">
        <f>SUBTOTAL(9,P143:P150)</f>
        <v>53.887219999999999</v>
      </c>
      <c r="Q151" s="207">
        <f t="shared" ref="Q151:AW151" si="42">SUBTOTAL(9,Q143:Q150)</f>
        <v>27.688879999999997</v>
      </c>
      <c r="R151" s="208">
        <f t="shared" si="42"/>
        <v>37.277219999999993</v>
      </c>
      <c r="S151" s="208">
        <f t="shared" si="42"/>
        <v>49.602409999999992</v>
      </c>
      <c r="T151" s="208">
        <f t="shared" si="42"/>
        <v>117.68987000000001</v>
      </c>
      <c r="U151" s="208">
        <f t="shared" si="42"/>
        <v>47.299610000000001</v>
      </c>
      <c r="V151" s="208">
        <f t="shared" si="42"/>
        <v>84.783989999999989</v>
      </c>
      <c r="W151" s="208">
        <f t="shared" si="42"/>
        <v>75.714039999999997</v>
      </c>
      <c r="X151" s="208">
        <f t="shared" si="42"/>
        <v>17.359590000000001</v>
      </c>
      <c r="Y151" s="208">
        <f t="shared" si="42"/>
        <v>30.297069999999998</v>
      </c>
      <c r="Z151" s="208">
        <f t="shared" si="42"/>
        <v>25.171400000000002</v>
      </c>
      <c r="AA151" s="208">
        <f t="shared" si="42"/>
        <v>24.714489999999998</v>
      </c>
      <c r="AB151" s="208">
        <f t="shared" si="42"/>
        <v>68.959239999999994</v>
      </c>
      <c r="AC151" s="208">
        <f t="shared" si="42"/>
        <v>85.622760000000014</v>
      </c>
      <c r="AD151" s="208">
        <f t="shared" si="42"/>
        <v>64.933239999999984</v>
      </c>
      <c r="AE151" s="208">
        <f t="shared" si="42"/>
        <v>197.99231000000006</v>
      </c>
      <c r="AF151" s="208">
        <f t="shared" si="42"/>
        <v>45.103500000000004</v>
      </c>
      <c r="AG151" s="208">
        <f t="shared" si="42"/>
        <v>57.813340000000004</v>
      </c>
      <c r="AH151" s="208">
        <f t="shared" si="42"/>
        <v>94.854900000000001</v>
      </c>
      <c r="AI151" s="208">
        <f t="shared" si="42"/>
        <v>74.207620000000006</v>
      </c>
      <c r="AJ151" s="208">
        <f t="shared" si="42"/>
        <v>6.1700000000000001E-3</v>
      </c>
      <c r="AK151" s="208">
        <f t="shared" si="42"/>
        <v>37.292829999999995</v>
      </c>
      <c r="AL151" s="208">
        <f t="shared" si="42"/>
        <v>53.839209999999994</v>
      </c>
      <c r="AM151" s="208">
        <f t="shared" si="42"/>
        <v>61.298680000000004</v>
      </c>
      <c r="AN151" s="208">
        <f t="shared" si="42"/>
        <v>24.478249999999996</v>
      </c>
      <c r="AO151" s="208">
        <f t="shared" si="42"/>
        <v>81.365050000000011</v>
      </c>
      <c r="AP151" s="208">
        <f t="shared" si="42"/>
        <v>72.003099999999989</v>
      </c>
      <c r="AQ151" s="208">
        <f t="shared" si="42"/>
        <v>7.3681400000000004</v>
      </c>
      <c r="AR151" s="208">
        <f t="shared" si="42"/>
        <v>51.270629999999997</v>
      </c>
      <c r="AS151" s="208">
        <f t="shared" si="42"/>
        <v>19.609840000000002</v>
      </c>
      <c r="AT151" s="208">
        <f t="shared" si="42"/>
        <v>65.151200000000003</v>
      </c>
      <c r="AU151" s="208">
        <f t="shared" si="42"/>
        <v>64.737250000000003</v>
      </c>
      <c r="AV151" s="208">
        <f t="shared" si="42"/>
        <v>159.35960999999998</v>
      </c>
      <c r="AW151" s="208">
        <f t="shared" si="42"/>
        <v>177.87777</v>
      </c>
    </row>
    <row r="152" spans="1:49" hidden="1" outlineLevel="1">
      <c r="H152" s="220" t="s">
        <v>129</v>
      </c>
      <c r="I152" s="220"/>
      <c r="J152" s="204"/>
      <c r="K152" s="204"/>
      <c r="L152" s="204"/>
      <c r="M152" s="205"/>
      <c r="N152" s="205"/>
      <c r="O152" s="205"/>
      <c r="P152" s="204">
        <v>1.2075799999999999</v>
      </c>
      <c r="Q152" s="204">
        <v>0.80504999999999993</v>
      </c>
      <c r="R152" s="205">
        <v>1.0063200000000001</v>
      </c>
      <c r="S152" s="205">
        <v>1.2075799999999999</v>
      </c>
      <c r="T152" s="205">
        <v>1.2075799999999999</v>
      </c>
      <c r="U152" s="205">
        <v>0.60378999999999994</v>
      </c>
      <c r="V152" s="205">
        <v>0.80504999999999993</v>
      </c>
      <c r="W152" s="205">
        <v>1.6101099999999999</v>
      </c>
      <c r="X152" s="205">
        <v>0</v>
      </c>
      <c r="Y152" s="205">
        <v>0.40253</v>
      </c>
      <c r="Z152" s="205">
        <v>0.20125999999999999</v>
      </c>
      <c r="AA152" s="205">
        <v>0.80504999999999993</v>
      </c>
      <c r="AB152" s="205">
        <v>0.53452999999999995</v>
      </c>
      <c r="AC152" s="205">
        <v>0.61908999999999992</v>
      </c>
      <c r="AD152" s="205">
        <v>0.40253</v>
      </c>
      <c r="AE152" s="205">
        <v>0.60378999999999994</v>
      </c>
      <c r="AF152" s="205">
        <v>0</v>
      </c>
      <c r="AG152" s="205">
        <v>28.826540000000005</v>
      </c>
      <c r="AH152" s="205">
        <v>0.40253</v>
      </c>
      <c r="AI152" s="205">
        <v>0.80504999999999993</v>
      </c>
      <c r="AJ152" s="205">
        <v>0</v>
      </c>
      <c r="AK152" s="205">
        <v>0.80504999999999993</v>
      </c>
      <c r="AL152" s="205">
        <v>0.20125999999999999</v>
      </c>
      <c r="AM152" s="205">
        <v>0.20125999999999999</v>
      </c>
      <c r="AN152" s="205">
        <v>0.40253</v>
      </c>
      <c r="AO152" s="205">
        <v>1.0063200000000001</v>
      </c>
      <c r="AP152" s="205">
        <v>0.40253</v>
      </c>
      <c r="AQ152" s="205">
        <v>0</v>
      </c>
      <c r="AR152" s="205">
        <v>0.60378999999999994</v>
      </c>
      <c r="AS152" s="205">
        <v>0</v>
      </c>
      <c r="AT152" s="205">
        <v>1.0063200000000001</v>
      </c>
      <c r="AU152" s="205">
        <v>0.40253</v>
      </c>
      <c r="AV152" s="205">
        <v>1.2075799999999999</v>
      </c>
      <c r="AW152" s="205">
        <v>2.2139000000000002</v>
      </c>
    </row>
    <row r="153" spans="1:49" hidden="1" outlineLevel="1">
      <c r="H153" s="220" t="s">
        <v>130</v>
      </c>
      <c r="I153" s="220"/>
      <c r="J153" s="204"/>
      <c r="K153" s="204"/>
      <c r="L153" s="204"/>
      <c r="M153" s="205"/>
      <c r="N153" s="205"/>
      <c r="O153" s="205"/>
      <c r="P153" s="204">
        <v>0</v>
      </c>
      <c r="Q153" s="204">
        <v>0</v>
      </c>
      <c r="R153" s="205">
        <v>0</v>
      </c>
      <c r="S153" s="205">
        <v>0</v>
      </c>
      <c r="T153" s="205">
        <v>0</v>
      </c>
      <c r="U153" s="205">
        <v>0</v>
      </c>
      <c r="V153" s="205">
        <v>0</v>
      </c>
      <c r="W153" s="205">
        <v>0</v>
      </c>
      <c r="X153" s="205">
        <v>0</v>
      </c>
      <c r="Y153" s="205">
        <v>0</v>
      </c>
      <c r="Z153" s="205">
        <v>0</v>
      </c>
      <c r="AA153" s="205">
        <v>0</v>
      </c>
      <c r="AB153" s="205">
        <v>0</v>
      </c>
      <c r="AC153" s="205">
        <v>0</v>
      </c>
      <c r="AD153" s="205">
        <v>0</v>
      </c>
      <c r="AE153" s="205">
        <v>0</v>
      </c>
      <c r="AF153" s="205">
        <v>0</v>
      </c>
      <c r="AG153" s="205">
        <v>0</v>
      </c>
      <c r="AH153" s="205">
        <v>0</v>
      </c>
      <c r="AI153" s="205">
        <v>0</v>
      </c>
      <c r="AJ153" s="205">
        <v>0</v>
      </c>
      <c r="AK153" s="205">
        <v>0</v>
      </c>
      <c r="AL153" s="205">
        <v>0</v>
      </c>
      <c r="AM153" s="205">
        <v>0</v>
      </c>
      <c r="AN153" s="205">
        <v>0</v>
      </c>
      <c r="AO153" s="205">
        <v>0</v>
      </c>
      <c r="AP153" s="205">
        <v>0</v>
      </c>
      <c r="AQ153" s="205">
        <v>0</v>
      </c>
      <c r="AR153" s="205">
        <v>0</v>
      </c>
      <c r="AS153" s="205">
        <v>0</v>
      </c>
      <c r="AT153" s="205">
        <v>0</v>
      </c>
      <c r="AU153" s="205">
        <v>0</v>
      </c>
      <c r="AV153" s="205">
        <v>0</v>
      </c>
      <c r="AW153" s="205">
        <v>0</v>
      </c>
    </row>
    <row r="154" spans="1:49" hidden="1" outlineLevel="1">
      <c r="H154" s="220" t="s">
        <v>131</v>
      </c>
      <c r="I154" s="220"/>
      <c r="J154" s="204"/>
      <c r="K154" s="204"/>
      <c r="L154" s="204"/>
      <c r="M154" s="205"/>
      <c r="N154" s="205"/>
      <c r="O154" s="205"/>
      <c r="P154" s="204">
        <v>0</v>
      </c>
      <c r="Q154" s="204">
        <v>0</v>
      </c>
      <c r="R154" s="205">
        <v>0</v>
      </c>
      <c r="S154" s="205">
        <v>0</v>
      </c>
      <c r="T154" s="205">
        <v>0</v>
      </c>
      <c r="U154" s="205">
        <v>0</v>
      </c>
      <c r="V154" s="205">
        <v>0</v>
      </c>
      <c r="W154" s="205">
        <v>0</v>
      </c>
      <c r="X154" s="205">
        <v>0</v>
      </c>
      <c r="Y154" s="205">
        <v>0</v>
      </c>
      <c r="Z154" s="205">
        <v>0</v>
      </c>
      <c r="AA154" s="205">
        <v>0</v>
      </c>
      <c r="AB154" s="205">
        <v>0</v>
      </c>
      <c r="AC154" s="205">
        <v>0</v>
      </c>
      <c r="AD154" s="205">
        <v>0</v>
      </c>
      <c r="AE154" s="205">
        <v>3.952</v>
      </c>
      <c r="AF154" s="205">
        <v>0</v>
      </c>
      <c r="AG154" s="205">
        <v>0</v>
      </c>
      <c r="AH154" s="205">
        <v>0.44461000000000001</v>
      </c>
      <c r="AI154" s="205">
        <v>0.67088000000000003</v>
      </c>
      <c r="AJ154" s="205">
        <v>0</v>
      </c>
      <c r="AK154" s="205">
        <v>0.34167999999999998</v>
      </c>
      <c r="AL154" s="205">
        <v>0.32359000000000004</v>
      </c>
      <c r="AM154" s="205">
        <v>0.80918999999999996</v>
      </c>
      <c r="AN154" s="205">
        <v>0.11497</v>
      </c>
      <c r="AO154" s="205">
        <v>3.25787</v>
      </c>
      <c r="AP154" s="205">
        <v>3.4196900000000006</v>
      </c>
      <c r="AQ154" s="205">
        <v>0</v>
      </c>
      <c r="AR154" s="205">
        <v>2.5752700000000002</v>
      </c>
      <c r="AS154" s="205">
        <v>0.75261</v>
      </c>
      <c r="AT154" s="205">
        <v>2.9654600000000002</v>
      </c>
      <c r="AU154" s="205">
        <v>2.1456</v>
      </c>
      <c r="AV154" s="205">
        <v>6.3362600000000002</v>
      </c>
      <c r="AW154" s="205">
        <v>0</v>
      </c>
    </row>
    <row r="155" spans="1:49" hidden="1" outlineLevel="1">
      <c r="H155" s="220" t="s">
        <v>132</v>
      </c>
      <c r="I155" s="220"/>
      <c r="J155" s="204"/>
      <c r="K155" s="204"/>
      <c r="L155" s="204"/>
      <c r="M155" s="205"/>
      <c r="N155" s="205"/>
      <c r="O155" s="205"/>
      <c r="P155" s="204">
        <v>0</v>
      </c>
      <c r="Q155" s="204">
        <v>0</v>
      </c>
      <c r="R155" s="205">
        <v>0</v>
      </c>
      <c r="S155" s="205">
        <v>0</v>
      </c>
      <c r="T155" s="205">
        <v>0</v>
      </c>
      <c r="U155" s="205">
        <v>0</v>
      </c>
      <c r="V155" s="205">
        <v>0</v>
      </c>
      <c r="W155" s="205">
        <v>0</v>
      </c>
      <c r="X155" s="205">
        <v>0</v>
      </c>
      <c r="Y155" s="205">
        <v>0</v>
      </c>
      <c r="Z155" s="205">
        <v>0</v>
      </c>
      <c r="AA155" s="205">
        <v>0</v>
      </c>
      <c r="AB155" s="205">
        <v>0</v>
      </c>
      <c r="AC155" s="205">
        <v>0</v>
      </c>
      <c r="AD155" s="205">
        <v>0</v>
      </c>
      <c r="AE155" s="205">
        <v>0</v>
      </c>
      <c r="AF155" s="205">
        <v>0</v>
      </c>
      <c r="AG155" s="205">
        <v>0</v>
      </c>
      <c r="AH155" s="205">
        <v>0</v>
      </c>
      <c r="AI155" s="205">
        <v>0</v>
      </c>
      <c r="AJ155" s="205">
        <v>0</v>
      </c>
      <c r="AK155" s="205">
        <v>0</v>
      </c>
      <c r="AL155" s="205">
        <v>0</v>
      </c>
      <c r="AM155" s="205">
        <v>0</v>
      </c>
      <c r="AN155" s="205">
        <v>0</v>
      </c>
      <c r="AO155" s="205">
        <v>0</v>
      </c>
      <c r="AP155" s="205">
        <v>0</v>
      </c>
      <c r="AQ155" s="205">
        <v>0</v>
      </c>
      <c r="AR155" s="205">
        <v>0</v>
      </c>
      <c r="AS155" s="205">
        <v>0</v>
      </c>
      <c r="AT155" s="205">
        <v>0</v>
      </c>
      <c r="AU155" s="205">
        <v>0</v>
      </c>
      <c r="AV155" s="205">
        <v>0</v>
      </c>
      <c r="AW155" s="205">
        <v>0</v>
      </c>
    </row>
    <row r="156" spans="1:49" collapsed="1">
      <c r="A156" t="s">
        <v>133</v>
      </c>
      <c r="H156" s="214" t="s">
        <v>133</v>
      </c>
      <c r="I156" s="214"/>
      <c r="J156" s="207">
        <f>SUMIFS($P156:$AW156,$P$3:$AW$3,J$4)</f>
        <v>44.800380000000004</v>
      </c>
      <c r="K156" s="207">
        <f>J156-AE156-AF156</f>
        <v>40.244590000000002</v>
      </c>
      <c r="L156" s="207">
        <f t="shared" ref="L156:N156" si="43">SUMIFS($P156:$AW156,$P$3:$AW$3,L$4)</f>
        <v>26.08183</v>
      </c>
      <c r="M156" s="207">
        <f t="shared" si="43"/>
        <v>4.0466699999999998</v>
      </c>
      <c r="N156" s="207">
        <f t="shared" si="43"/>
        <v>2.2139000000000002</v>
      </c>
      <c r="O156" s="208"/>
      <c r="P156" s="207">
        <f>SUBTOTAL(9,P152:P155)</f>
        <v>1.2075799999999999</v>
      </c>
      <c r="Q156" s="207">
        <f t="shared" ref="Q156:AW156" si="44">SUBTOTAL(9,Q152:Q155)</f>
        <v>0.80504999999999993</v>
      </c>
      <c r="R156" s="208">
        <f t="shared" si="44"/>
        <v>1.0063200000000001</v>
      </c>
      <c r="S156" s="208">
        <f t="shared" si="44"/>
        <v>1.2075799999999999</v>
      </c>
      <c r="T156" s="208">
        <f t="shared" si="44"/>
        <v>1.2075799999999999</v>
      </c>
      <c r="U156" s="208">
        <f t="shared" si="44"/>
        <v>0.60378999999999994</v>
      </c>
      <c r="V156" s="208">
        <f t="shared" si="44"/>
        <v>0.80504999999999993</v>
      </c>
      <c r="W156" s="208">
        <f t="shared" si="44"/>
        <v>1.6101099999999999</v>
      </c>
      <c r="X156" s="208">
        <f t="shared" si="44"/>
        <v>0</v>
      </c>
      <c r="Y156" s="208">
        <f t="shared" si="44"/>
        <v>0.40253</v>
      </c>
      <c r="Z156" s="208">
        <f t="shared" si="44"/>
        <v>0.20125999999999999</v>
      </c>
      <c r="AA156" s="208">
        <f t="shared" si="44"/>
        <v>0.80504999999999993</v>
      </c>
      <c r="AB156" s="208">
        <f t="shared" si="44"/>
        <v>0.53452999999999995</v>
      </c>
      <c r="AC156" s="208">
        <f t="shared" si="44"/>
        <v>0.61908999999999992</v>
      </c>
      <c r="AD156" s="208">
        <f t="shared" si="44"/>
        <v>0.40253</v>
      </c>
      <c r="AE156" s="208">
        <f t="shared" si="44"/>
        <v>4.55579</v>
      </c>
      <c r="AF156" s="208">
        <f t="shared" si="44"/>
        <v>0</v>
      </c>
      <c r="AG156" s="208">
        <f t="shared" si="44"/>
        <v>28.826540000000005</v>
      </c>
      <c r="AH156" s="208">
        <f t="shared" si="44"/>
        <v>0.84714</v>
      </c>
      <c r="AI156" s="208">
        <f t="shared" si="44"/>
        <v>1.47593</v>
      </c>
      <c r="AJ156" s="208">
        <f t="shared" si="44"/>
        <v>0</v>
      </c>
      <c r="AK156" s="208">
        <f t="shared" si="44"/>
        <v>1.1467299999999998</v>
      </c>
      <c r="AL156" s="208">
        <f t="shared" si="44"/>
        <v>0.52485000000000004</v>
      </c>
      <c r="AM156" s="208">
        <f t="shared" si="44"/>
        <v>1.0104500000000001</v>
      </c>
      <c r="AN156" s="208">
        <f t="shared" si="44"/>
        <v>0.51749999999999996</v>
      </c>
      <c r="AO156" s="208">
        <f t="shared" si="44"/>
        <v>4.2641900000000001</v>
      </c>
      <c r="AP156" s="208">
        <f t="shared" si="44"/>
        <v>3.8222200000000006</v>
      </c>
      <c r="AQ156" s="208">
        <f t="shared" si="44"/>
        <v>0</v>
      </c>
      <c r="AR156" s="208">
        <f t="shared" si="44"/>
        <v>3.1790600000000002</v>
      </c>
      <c r="AS156" s="208">
        <f t="shared" si="44"/>
        <v>0.75261</v>
      </c>
      <c r="AT156" s="208">
        <f t="shared" si="44"/>
        <v>3.9717800000000003</v>
      </c>
      <c r="AU156" s="208">
        <f t="shared" si="44"/>
        <v>2.54813</v>
      </c>
      <c r="AV156" s="208">
        <f t="shared" si="44"/>
        <v>7.5438400000000003</v>
      </c>
      <c r="AW156" s="208">
        <f t="shared" si="44"/>
        <v>2.2139000000000002</v>
      </c>
    </row>
    <row r="157" spans="1:49">
      <c r="H157" s="214"/>
      <c r="I157" s="214"/>
      <c r="J157" s="207"/>
      <c r="K157" s="207"/>
      <c r="L157" s="207"/>
      <c r="M157" s="208"/>
      <c r="N157" s="208"/>
      <c r="O157" s="208"/>
      <c r="P157" s="207"/>
      <c r="Q157" s="207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</row>
    <row r="158" spans="1:49">
      <c r="A158" t="s">
        <v>456</v>
      </c>
      <c r="H158" s="210" t="s">
        <v>398</v>
      </c>
      <c r="I158" s="210"/>
      <c r="J158" s="221">
        <f t="shared" ref="J158:N158" si="45">SUBTOTAL(9,J97:J156)</f>
        <v>10660.206850000002</v>
      </c>
      <c r="K158" s="221">
        <f t="shared" ref="K158" si="46">SUBTOTAL(9,K97:K156)</f>
        <v>8324.9586999999992</v>
      </c>
      <c r="L158" s="221">
        <f t="shared" si="45"/>
        <v>5303.6433999999999</v>
      </c>
      <c r="M158" s="221">
        <f t="shared" si="45"/>
        <v>2678.2928699999998</v>
      </c>
      <c r="N158" s="221">
        <f t="shared" si="45"/>
        <v>1722.92732</v>
      </c>
      <c r="O158" s="227"/>
      <c r="P158" s="221">
        <f>SUBTOTAL(9,P97:P156)</f>
        <v>499.32254999999992</v>
      </c>
      <c r="Q158" s="221">
        <f t="shared" ref="Q158:AW158" si="47">SUBTOTAL(9,Q97:Q156)</f>
        <v>249.31825999999998</v>
      </c>
      <c r="R158" s="222">
        <f t="shared" si="47"/>
        <v>400.07904000000002</v>
      </c>
      <c r="S158" s="222">
        <f t="shared" si="47"/>
        <v>437.03735</v>
      </c>
      <c r="T158" s="222">
        <f t="shared" si="47"/>
        <v>1184.2570099999996</v>
      </c>
      <c r="U158" s="222">
        <f t="shared" si="47"/>
        <v>431.58391999999998</v>
      </c>
      <c r="V158" s="222">
        <f t="shared" si="47"/>
        <v>791.10854000000018</v>
      </c>
      <c r="W158" s="222">
        <f t="shared" si="47"/>
        <v>688.80286000000001</v>
      </c>
      <c r="X158" s="222">
        <f t="shared" si="47"/>
        <v>152.40944999999999</v>
      </c>
      <c r="Y158" s="222">
        <f t="shared" si="47"/>
        <v>293.42345000000006</v>
      </c>
      <c r="Z158" s="222">
        <f t="shared" si="47"/>
        <v>236.25245999999999</v>
      </c>
      <c r="AA158" s="222">
        <f t="shared" si="47"/>
        <v>248.70002000000002</v>
      </c>
      <c r="AB158" s="222">
        <f t="shared" si="47"/>
        <v>660.11650000000009</v>
      </c>
      <c r="AC158" s="222">
        <f t="shared" si="47"/>
        <v>841.25198999999986</v>
      </c>
      <c r="AD158" s="222">
        <f t="shared" si="47"/>
        <v>683.65205999999989</v>
      </c>
      <c r="AE158" s="222">
        <f t="shared" si="47"/>
        <v>2034.8997299999996</v>
      </c>
      <c r="AF158" s="222">
        <f t="shared" si="47"/>
        <v>300.34842000000003</v>
      </c>
      <c r="AG158" s="222">
        <f t="shared" si="47"/>
        <v>527.64323999999999</v>
      </c>
      <c r="AH158" s="222">
        <f t="shared" si="47"/>
        <v>950.84108999999989</v>
      </c>
      <c r="AI158" s="222">
        <f t="shared" si="47"/>
        <v>735.52684000000011</v>
      </c>
      <c r="AJ158" s="222">
        <f t="shared" si="47"/>
        <v>0.40973000000000004</v>
      </c>
      <c r="AK158" s="222">
        <f t="shared" si="47"/>
        <v>364.01878999999997</v>
      </c>
      <c r="AL158" s="222">
        <f t="shared" si="47"/>
        <v>492.45995000000011</v>
      </c>
      <c r="AM158" s="222">
        <f t="shared" si="47"/>
        <v>590.76502000000005</v>
      </c>
      <c r="AN158" s="222">
        <f t="shared" si="47"/>
        <v>279.79829000000001</v>
      </c>
      <c r="AO158" s="222">
        <f t="shared" si="47"/>
        <v>797.69060000000025</v>
      </c>
      <c r="AP158" s="222">
        <f t="shared" si="47"/>
        <v>731.45186000000001</v>
      </c>
      <c r="AQ158" s="222">
        <f t="shared" si="47"/>
        <v>92.122979999999998</v>
      </c>
      <c r="AR158" s="222">
        <f t="shared" si="47"/>
        <v>498.14845000000003</v>
      </c>
      <c r="AS158" s="222">
        <f t="shared" si="47"/>
        <v>210.20782</v>
      </c>
      <c r="AT158" s="222">
        <f t="shared" si="47"/>
        <v>632.87316999999996</v>
      </c>
      <c r="AU158" s="222">
        <f t="shared" si="47"/>
        <v>691.86395999999968</v>
      </c>
      <c r="AV158" s="222">
        <f t="shared" si="47"/>
        <v>1741.4075399999999</v>
      </c>
      <c r="AW158" s="222">
        <f t="shared" si="47"/>
        <v>1722.9273199999996</v>
      </c>
    </row>
    <row r="159" spans="1:49" s="22" customFormat="1">
      <c r="H159" s="217" t="s">
        <v>457</v>
      </c>
      <c r="I159" s="217"/>
      <c r="J159" s="223">
        <f t="shared" ref="J159:N159" si="48">J158/J$57</f>
        <v>0.29406415842346717</v>
      </c>
      <c r="K159" s="223">
        <f t="shared" si="48"/>
        <v>0.29982457888159453</v>
      </c>
      <c r="L159" s="223">
        <f t="shared" si="48"/>
        <v>0.30398548365758354</v>
      </c>
      <c r="M159" s="223">
        <f t="shared" si="48"/>
        <v>0.34176931383500536</v>
      </c>
      <c r="N159" s="223">
        <f t="shared" si="48"/>
        <v>0.24426783864070178</v>
      </c>
      <c r="O159" s="234"/>
      <c r="P159" s="223">
        <f>P158/P$57</f>
        <v>0.24587211040194243</v>
      </c>
      <c r="Q159" s="223">
        <f t="shared" ref="Q159:AW159" si="49">Q158/Q$57</f>
        <v>0.30534548652449717</v>
      </c>
      <c r="R159" s="224">
        <f t="shared" si="49"/>
        <v>0.23885291293909833</v>
      </c>
      <c r="S159" s="224">
        <f t="shared" si="49"/>
        <v>0.25228208755780479</v>
      </c>
      <c r="T159" s="224">
        <f t="shared" si="49"/>
        <v>0.33004045621300931</v>
      </c>
      <c r="U159" s="224">
        <f t="shared" si="49"/>
        <v>0.21270314554085223</v>
      </c>
      <c r="V159" s="224">
        <f t="shared" si="49"/>
        <v>0.22134951101088476</v>
      </c>
      <c r="W159" s="224">
        <f t="shared" si="49"/>
        <v>0.30524409481870335</v>
      </c>
      <c r="X159" s="224">
        <f t="shared" si="49"/>
        <v>0.2021694997271743</v>
      </c>
      <c r="Y159" s="224">
        <f t="shared" si="49"/>
        <v>0.29686035071034911</v>
      </c>
      <c r="Z159" s="224">
        <f t="shared" si="49"/>
        <v>0.24438544130451412</v>
      </c>
      <c r="AA159" s="224">
        <f t="shared" si="49"/>
        <v>0.33214147040606384</v>
      </c>
      <c r="AB159" s="224">
        <f t="shared" si="49"/>
        <v>0.57141488709700561</v>
      </c>
      <c r="AC159" s="224">
        <f t="shared" si="49"/>
        <v>0.34757261745731749</v>
      </c>
      <c r="AD159" s="224">
        <f t="shared" si="49"/>
        <v>0.31613768395802866</v>
      </c>
      <c r="AE159" s="224">
        <f t="shared" si="49"/>
        <v>0.26405359185385435</v>
      </c>
      <c r="AF159" s="224">
        <f t="shared" si="49"/>
        <v>0.38565109964684918</v>
      </c>
      <c r="AG159" s="224">
        <f t="shared" si="49"/>
        <v>0.60810952708641453</v>
      </c>
      <c r="AH159" s="224">
        <f t="shared" si="49"/>
        <v>0.29687247559632929</v>
      </c>
      <c r="AI159" s="224">
        <f t="shared" si="49"/>
        <v>0.34717163571430992</v>
      </c>
      <c r="AJ159" s="224">
        <f t="shared" si="49"/>
        <v>-5.183189630635277E-3</v>
      </c>
      <c r="AK159" s="224">
        <f t="shared" si="49"/>
        <v>0.46695141108254523</v>
      </c>
      <c r="AL159" s="224">
        <f t="shared" si="49"/>
        <v>0.28713945536101398</v>
      </c>
      <c r="AM159" s="224">
        <f t="shared" si="49"/>
        <v>0.35482753729954952</v>
      </c>
      <c r="AN159" s="224">
        <f t="shared" si="49"/>
        <v>0.50579442758281989</v>
      </c>
      <c r="AO159" s="224">
        <f t="shared" si="49"/>
        <v>0.32302665833917327</v>
      </c>
      <c r="AP159" s="224">
        <f t="shared" si="49"/>
        <v>0.36882880745895863</v>
      </c>
      <c r="AQ159" s="224">
        <f t="shared" si="49"/>
        <v>0.18862944806437784</v>
      </c>
      <c r="AR159" s="224">
        <f t="shared" si="49"/>
        <v>0.36302966531847414</v>
      </c>
      <c r="AS159" s="224">
        <f t="shared" si="49"/>
        <v>0.29165944540397259</v>
      </c>
      <c r="AT159" s="224">
        <f t="shared" si="49"/>
        <v>0.36648411366758787</v>
      </c>
      <c r="AU159" s="224">
        <f t="shared" si="49"/>
        <v>0.2612797213847971</v>
      </c>
      <c r="AV159" s="224">
        <f t="shared" si="49"/>
        <v>0.26681531221349586</v>
      </c>
      <c r="AW159" s="224">
        <f t="shared" si="49"/>
        <v>0.24426783864070173</v>
      </c>
    </row>
    <row r="160" spans="1:49">
      <c r="H160" s="217"/>
      <c r="I160" s="217"/>
      <c r="J160" s="218"/>
      <c r="K160" s="218"/>
      <c r="L160" s="218"/>
      <c r="M160" s="225"/>
      <c r="N160" s="225"/>
      <c r="O160" s="235"/>
      <c r="P160" s="218"/>
      <c r="Q160" s="218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/>
      <c r="AF160" s="225"/>
      <c r="AG160" s="225"/>
      <c r="AH160" s="225"/>
      <c r="AI160" s="225"/>
      <c r="AJ160" s="225"/>
      <c r="AK160" s="225"/>
      <c r="AL160" s="225"/>
      <c r="AM160" s="225"/>
      <c r="AN160" s="225"/>
      <c r="AO160" s="225"/>
      <c r="AP160" s="225"/>
      <c r="AQ160" s="225"/>
      <c r="AR160" s="225"/>
      <c r="AS160" s="225"/>
      <c r="AT160" s="225"/>
      <c r="AU160" s="225"/>
      <c r="AV160" s="225"/>
      <c r="AW160" s="225"/>
    </row>
    <row r="161" spans="1:49" hidden="1" outlineLevel="1">
      <c r="H161" s="226" t="s">
        <v>134</v>
      </c>
      <c r="I161" s="226"/>
      <c r="J161" s="204"/>
      <c r="K161" s="204"/>
      <c r="L161" s="204"/>
      <c r="M161" s="205"/>
      <c r="N161" s="205"/>
      <c r="O161" s="205"/>
      <c r="P161" s="204">
        <v>94.381450000000015</v>
      </c>
      <c r="Q161" s="204">
        <v>83.255880000000005</v>
      </c>
      <c r="R161" s="205">
        <v>89.150790000000015</v>
      </c>
      <c r="S161" s="205">
        <v>94.19941</v>
      </c>
      <c r="T161" s="205">
        <v>90.665149999999983</v>
      </c>
      <c r="U161" s="205">
        <v>87.33471999999999</v>
      </c>
      <c r="V161" s="205">
        <v>90.584819999999993</v>
      </c>
      <c r="W161" s="205">
        <v>89.215440000000001</v>
      </c>
      <c r="X161" s="205">
        <v>66.790549999999996</v>
      </c>
      <c r="Y161" s="205">
        <v>87.674250000000001</v>
      </c>
      <c r="Z161" s="205">
        <v>88.48272</v>
      </c>
      <c r="AA161" s="205">
        <v>87.115809999999996</v>
      </c>
      <c r="AB161" s="205">
        <v>84.707950000000011</v>
      </c>
      <c r="AC161" s="205">
        <v>96.853940000000009</v>
      </c>
      <c r="AD161" s="205">
        <v>92.721730000000008</v>
      </c>
      <c r="AE161" s="205">
        <v>90.093180000000004</v>
      </c>
      <c r="AF161" s="205">
        <v>97.58135</v>
      </c>
      <c r="AG161" s="205">
        <v>90.549590000000009</v>
      </c>
      <c r="AH161" s="205">
        <v>123.85075999999998</v>
      </c>
      <c r="AI161" s="205">
        <v>121.29376000000001</v>
      </c>
      <c r="AJ161" s="205">
        <v>118.24798</v>
      </c>
      <c r="AK161" s="205">
        <v>115.41938</v>
      </c>
      <c r="AL161" s="205">
        <v>119.43648000000002</v>
      </c>
      <c r="AM161" s="205">
        <v>124.81847</v>
      </c>
      <c r="AN161" s="205">
        <v>114.22881</v>
      </c>
      <c r="AO161" s="205">
        <v>108.32884000000001</v>
      </c>
      <c r="AP161" s="205">
        <v>108.33259999999999</v>
      </c>
      <c r="AQ161" s="205">
        <v>36.089660000000002</v>
      </c>
      <c r="AR161" s="205">
        <v>99.823660000000004</v>
      </c>
      <c r="AS161" s="205">
        <v>93.983699999999999</v>
      </c>
      <c r="AT161" s="205">
        <v>117.73857</v>
      </c>
      <c r="AU161" s="205">
        <v>130.31625</v>
      </c>
      <c r="AV161" s="205">
        <v>137.98709999999997</v>
      </c>
      <c r="AW161" s="205">
        <v>126.3511</v>
      </c>
    </row>
    <row r="162" spans="1:49" hidden="1" outlineLevel="1">
      <c r="H162" s="226" t="s">
        <v>135</v>
      </c>
      <c r="I162" s="226"/>
      <c r="J162" s="204"/>
      <c r="K162" s="204"/>
      <c r="L162" s="204"/>
      <c r="M162" s="205"/>
      <c r="N162" s="205"/>
      <c r="O162" s="205"/>
      <c r="P162" s="204">
        <v>4.4152500000000003</v>
      </c>
      <c r="Q162" s="204">
        <v>3.5190699999999997</v>
      </c>
      <c r="R162" s="205">
        <v>4.4388300000000003</v>
      </c>
      <c r="S162" s="205">
        <v>4.2330699999999997</v>
      </c>
      <c r="T162" s="205">
        <v>3.6657999999999999</v>
      </c>
      <c r="U162" s="205">
        <v>3.5422799999999999</v>
      </c>
      <c r="V162" s="205">
        <v>3.7583800000000003</v>
      </c>
      <c r="W162" s="205">
        <v>3.8290100000000002</v>
      </c>
      <c r="X162" s="205">
        <v>2.6891800000000003</v>
      </c>
      <c r="Y162" s="205">
        <v>3.6099399999999999</v>
      </c>
      <c r="Z162" s="205">
        <v>3.4742300000000004</v>
      </c>
      <c r="AA162" s="205">
        <v>3.75631</v>
      </c>
      <c r="AB162" s="205">
        <v>3.3984099999999997</v>
      </c>
      <c r="AC162" s="205">
        <v>3.7311899999999998</v>
      </c>
      <c r="AD162" s="205">
        <v>3.6114000000000002</v>
      </c>
      <c r="AE162" s="205">
        <v>5.9835899999999995</v>
      </c>
      <c r="AF162" s="205">
        <v>12.00787</v>
      </c>
      <c r="AG162" s="205">
        <v>3.5495199999999993</v>
      </c>
      <c r="AH162" s="205">
        <v>4.4823899999999997</v>
      </c>
      <c r="AI162" s="205">
        <v>3.6517900000000001</v>
      </c>
      <c r="AJ162" s="205">
        <v>3.56846</v>
      </c>
      <c r="AK162" s="205">
        <v>3.4076500000000003</v>
      </c>
      <c r="AL162" s="205">
        <v>3.7587700000000002</v>
      </c>
      <c r="AM162" s="205">
        <v>3.7942399999999998</v>
      </c>
      <c r="AN162" s="205">
        <v>5.5537199999999993</v>
      </c>
      <c r="AO162" s="205">
        <v>3.8672900000000001</v>
      </c>
      <c r="AP162" s="205">
        <v>4.0839999999999996</v>
      </c>
      <c r="AQ162" s="205">
        <v>1.53302</v>
      </c>
      <c r="AR162" s="205">
        <v>3.4815600000000004</v>
      </c>
      <c r="AS162" s="205">
        <v>4.4091199999999997</v>
      </c>
      <c r="AT162" s="205">
        <v>3.9558599999999995</v>
      </c>
      <c r="AU162" s="205">
        <v>6.5671800000000005</v>
      </c>
      <c r="AV162" s="205">
        <v>5.4626599999999996</v>
      </c>
      <c r="AW162" s="205">
        <v>6.5908700000000007</v>
      </c>
    </row>
    <row r="163" spans="1:49" hidden="1" outlineLevel="1">
      <c r="H163" s="226" t="s">
        <v>136</v>
      </c>
      <c r="I163" s="226"/>
      <c r="J163" s="204"/>
      <c r="K163" s="204"/>
      <c r="L163" s="204"/>
      <c r="M163" s="205"/>
      <c r="N163" s="205"/>
      <c r="O163" s="205"/>
      <c r="P163" s="204">
        <v>7.3740000000000014E-2</v>
      </c>
      <c r="Q163" s="204">
        <v>3.8660000000000007E-2</v>
      </c>
      <c r="R163" s="205">
        <v>3.5619999999999999E-2</v>
      </c>
      <c r="S163" s="205">
        <v>2.5669999999999998E-2</v>
      </c>
      <c r="T163" s="205">
        <v>0.28682000000000002</v>
      </c>
      <c r="U163" s="205">
        <v>4.4829999999999995E-2</v>
      </c>
      <c r="V163" s="205">
        <v>0.12465999999999998</v>
      </c>
      <c r="W163" s="205">
        <v>0.10704999999999998</v>
      </c>
      <c r="X163" s="205">
        <v>0</v>
      </c>
      <c r="Y163" s="205">
        <v>4.0149999999999998E-2</v>
      </c>
      <c r="Z163" s="205">
        <v>2.1720000000000003E-2</v>
      </c>
      <c r="AA163" s="205">
        <v>1.8919999999999999E-2</v>
      </c>
      <c r="AB163" s="205">
        <v>0.16720999999999997</v>
      </c>
      <c r="AC163" s="205">
        <v>0.18299000000000001</v>
      </c>
      <c r="AD163" s="205">
        <v>0.13294999999999998</v>
      </c>
      <c r="AE163" s="205">
        <v>0.81998000000000004</v>
      </c>
      <c r="AF163" s="205">
        <v>4.3099999999999992E-2</v>
      </c>
      <c r="AG163" s="205">
        <v>5.5170000000000004E-2</v>
      </c>
      <c r="AH163" s="205">
        <v>0.88190000000000013</v>
      </c>
      <c r="AI163" s="205">
        <v>0.86324000000000001</v>
      </c>
      <c r="AJ163" s="205">
        <v>0</v>
      </c>
      <c r="AK163" s="205">
        <v>0.34433999999999992</v>
      </c>
      <c r="AL163" s="205">
        <v>0.30351000000000006</v>
      </c>
      <c r="AM163" s="205">
        <v>0.23896999999999999</v>
      </c>
      <c r="AN163" s="205">
        <v>0.16996</v>
      </c>
      <c r="AO163" s="205">
        <v>0.21601999999999999</v>
      </c>
      <c r="AP163" s="205">
        <v>0.2235</v>
      </c>
      <c r="AQ163" s="205">
        <v>0.19600000000000001</v>
      </c>
      <c r="AR163" s="205">
        <v>6.0160000000000005E-2</v>
      </c>
      <c r="AS163" s="205">
        <v>0.58935000000000004</v>
      </c>
      <c r="AT163" s="205">
        <v>0.73611000000000004</v>
      </c>
      <c r="AU163" s="205">
        <v>16.19304</v>
      </c>
      <c r="AV163" s="205">
        <v>1.37202</v>
      </c>
      <c r="AW163" s="205">
        <v>0.49857999999999997</v>
      </c>
    </row>
    <row r="164" spans="1:49" hidden="1" outlineLevel="1">
      <c r="H164" s="226" t="s">
        <v>137</v>
      </c>
      <c r="I164" s="226"/>
      <c r="J164" s="204"/>
      <c r="K164" s="204"/>
      <c r="L164" s="204"/>
      <c r="M164" s="205"/>
      <c r="N164" s="205"/>
      <c r="O164" s="205"/>
      <c r="P164" s="204">
        <v>0</v>
      </c>
      <c r="Q164" s="204">
        <v>0</v>
      </c>
      <c r="R164" s="205">
        <v>0</v>
      </c>
      <c r="S164" s="205">
        <v>0</v>
      </c>
      <c r="T164" s="205">
        <v>0</v>
      </c>
      <c r="U164" s="205">
        <v>0</v>
      </c>
      <c r="V164" s="205">
        <v>0</v>
      </c>
      <c r="W164" s="205">
        <v>0</v>
      </c>
      <c r="X164" s="205">
        <v>0</v>
      </c>
      <c r="Y164" s="205">
        <v>0</v>
      </c>
      <c r="Z164" s="205">
        <v>0</v>
      </c>
      <c r="AA164" s="205">
        <v>0</v>
      </c>
      <c r="AB164" s="205">
        <v>0</v>
      </c>
      <c r="AC164" s="205">
        <v>0</v>
      </c>
      <c r="AD164" s="205">
        <v>0</v>
      </c>
      <c r="AE164" s="205">
        <v>0</v>
      </c>
      <c r="AF164" s="205">
        <v>0</v>
      </c>
      <c r="AG164" s="205">
        <v>0</v>
      </c>
      <c r="AH164" s="205">
        <v>0</v>
      </c>
      <c r="AI164" s="205">
        <v>0</v>
      </c>
      <c r="AJ164" s="205">
        <v>0</v>
      </c>
      <c r="AK164" s="205">
        <v>0</v>
      </c>
      <c r="AL164" s="205">
        <v>0</v>
      </c>
      <c r="AM164" s="205">
        <v>0</v>
      </c>
      <c r="AN164" s="205">
        <v>0</v>
      </c>
      <c r="AO164" s="205">
        <v>0</v>
      </c>
      <c r="AP164" s="205">
        <v>0</v>
      </c>
      <c r="AQ164" s="205">
        <v>0</v>
      </c>
      <c r="AR164" s="205">
        <v>0</v>
      </c>
      <c r="AS164" s="205">
        <v>0</v>
      </c>
      <c r="AT164" s="205">
        <v>0</v>
      </c>
      <c r="AU164" s="205">
        <v>0</v>
      </c>
      <c r="AV164" s="205">
        <v>0</v>
      </c>
      <c r="AW164" s="205">
        <v>0</v>
      </c>
    </row>
    <row r="165" spans="1:49" collapsed="1">
      <c r="A165" t="s">
        <v>138</v>
      </c>
      <c r="H165" s="206" t="s">
        <v>138</v>
      </c>
      <c r="I165" s="206"/>
      <c r="J165" s="207">
        <f>SUMIFS($P165:$AW165,$P$3:$AW$3,J$4)</f>
        <v>1680.7913000000001</v>
      </c>
      <c r="K165" s="207">
        <f>J165-AE165-AF165</f>
        <v>1474.26223</v>
      </c>
      <c r="L165" s="207">
        <f t="shared" ref="L165:N165" si="50">SUMIFS($P165:$AW165,$P$3:$AW$3,L$4)</f>
        <v>847.72858999999994</v>
      </c>
      <c r="M165" s="207">
        <f t="shared" si="50"/>
        <v>742.50579000000005</v>
      </c>
      <c r="N165" s="207">
        <f t="shared" si="50"/>
        <v>133.44055</v>
      </c>
      <c r="O165" s="208"/>
      <c r="P165" s="207">
        <f>SUBTOTAL(9,P161:P164)</f>
        <v>98.870440000000016</v>
      </c>
      <c r="Q165" s="207">
        <f t="shared" ref="Q165:AW165" si="51">SUBTOTAL(9,Q161:Q164)</f>
        <v>86.813609999999997</v>
      </c>
      <c r="R165" s="208">
        <f t="shared" si="51"/>
        <v>93.625240000000005</v>
      </c>
      <c r="S165" s="208">
        <f t="shared" si="51"/>
        <v>98.458150000000003</v>
      </c>
      <c r="T165" s="208">
        <f t="shared" si="51"/>
        <v>94.617769999999993</v>
      </c>
      <c r="U165" s="208">
        <f t="shared" si="51"/>
        <v>90.92183</v>
      </c>
      <c r="V165" s="208">
        <f t="shared" si="51"/>
        <v>94.467860000000002</v>
      </c>
      <c r="W165" s="208">
        <f t="shared" si="51"/>
        <v>93.151499999999999</v>
      </c>
      <c r="X165" s="208">
        <f t="shared" si="51"/>
        <v>69.479729999999989</v>
      </c>
      <c r="Y165" s="208">
        <f t="shared" si="51"/>
        <v>91.324339999999992</v>
      </c>
      <c r="Z165" s="208">
        <f t="shared" si="51"/>
        <v>91.978670000000008</v>
      </c>
      <c r="AA165" s="208">
        <f t="shared" si="51"/>
        <v>90.89103999999999</v>
      </c>
      <c r="AB165" s="208">
        <f t="shared" si="51"/>
        <v>88.273570000000007</v>
      </c>
      <c r="AC165" s="208">
        <f t="shared" si="51"/>
        <v>100.76812000000001</v>
      </c>
      <c r="AD165" s="208">
        <f t="shared" si="51"/>
        <v>96.466080000000005</v>
      </c>
      <c r="AE165" s="208">
        <f t="shared" si="51"/>
        <v>96.896750000000011</v>
      </c>
      <c r="AF165" s="208">
        <f t="shared" si="51"/>
        <v>109.63231999999999</v>
      </c>
      <c r="AG165" s="208">
        <f t="shared" si="51"/>
        <v>94.154280000000014</v>
      </c>
      <c r="AH165" s="208">
        <f t="shared" si="51"/>
        <v>129.21504999999999</v>
      </c>
      <c r="AI165" s="208">
        <f t="shared" si="51"/>
        <v>125.80879000000002</v>
      </c>
      <c r="AJ165" s="208">
        <f t="shared" si="51"/>
        <v>121.81644</v>
      </c>
      <c r="AK165" s="208">
        <f t="shared" si="51"/>
        <v>119.17137000000001</v>
      </c>
      <c r="AL165" s="208">
        <f t="shared" si="51"/>
        <v>123.49876000000002</v>
      </c>
      <c r="AM165" s="208">
        <f t="shared" si="51"/>
        <v>128.85167999999999</v>
      </c>
      <c r="AN165" s="208">
        <f t="shared" si="51"/>
        <v>119.95249</v>
      </c>
      <c r="AO165" s="208">
        <f t="shared" si="51"/>
        <v>112.41215000000001</v>
      </c>
      <c r="AP165" s="208">
        <f t="shared" si="51"/>
        <v>112.64009999999999</v>
      </c>
      <c r="AQ165" s="208">
        <f t="shared" si="51"/>
        <v>37.818680000000001</v>
      </c>
      <c r="AR165" s="208">
        <f t="shared" si="51"/>
        <v>103.36538</v>
      </c>
      <c r="AS165" s="208">
        <f t="shared" si="51"/>
        <v>98.982169999999996</v>
      </c>
      <c r="AT165" s="208">
        <f t="shared" si="51"/>
        <v>122.43053999999999</v>
      </c>
      <c r="AU165" s="208">
        <f t="shared" si="51"/>
        <v>153.07647</v>
      </c>
      <c r="AV165" s="208">
        <f t="shared" si="51"/>
        <v>144.82177999999996</v>
      </c>
      <c r="AW165" s="208">
        <f t="shared" si="51"/>
        <v>133.44055</v>
      </c>
    </row>
    <row r="166" spans="1:49" hidden="1" outlineLevel="1">
      <c r="H166" s="226" t="s">
        <v>139</v>
      </c>
      <c r="I166" s="226"/>
      <c r="J166" s="204"/>
      <c r="K166" s="204"/>
      <c r="L166" s="204"/>
      <c r="M166" s="205"/>
      <c r="N166" s="205"/>
      <c r="O166" s="205"/>
      <c r="P166" s="204">
        <v>2.60005</v>
      </c>
      <c r="Q166" s="204">
        <v>17.106150000000003</v>
      </c>
      <c r="R166" s="205">
        <v>45.839859999999994</v>
      </c>
      <c r="S166" s="205">
        <v>27.189510000000002</v>
      </c>
      <c r="T166" s="205">
        <v>10.179690000000001</v>
      </c>
      <c r="U166" s="205">
        <v>30.765970000000003</v>
      </c>
      <c r="V166" s="205">
        <v>10.293470000000001</v>
      </c>
      <c r="W166" s="205">
        <v>10.275599999999999</v>
      </c>
      <c r="X166" s="205">
        <v>33.743029999999997</v>
      </c>
      <c r="Y166" s="205">
        <v>14.883499999999998</v>
      </c>
      <c r="Z166" s="205">
        <v>30.109920000000002</v>
      </c>
      <c r="AA166" s="205">
        <v>13.794909999999998</v>
      </c>
      <c r="AB166" s="205">
        <v>7.0094399999999997</v>
      </c>
      <c r="AC166" s="205">
        <v>54.51292999999999</v>
      </c>
      <c r="AD166" s="205">
        <v>39.635769999999987</v>
      </c>
      <c r="AE166" s="205">
        <v>82.983829999999983</v>
      </c>
      <c r="AF166" s="205">
        <v>49.759620000000005</v>
      </c>
      <c r="AG166" s="205">
        <v>25.92332</v>
      </c>
      <c r="AH166" s="205">
        <v>92.606749999999991</v>
      </c>
      <c r="AI166" s="205">
        <v>27.258080000000003</v>
      </c>
      <c r="AJ166" s="205">
        <v>8.5062799999999985</v>
      </c>
      <c r="AK166" s="205">
        <v>27.919300000000003</v>
      </c>
      <c r="AL166" s="205">
        <v>21.829879999999999</v>
      </c>
      <c r="AM166" s="205">
        <v>69.640100000000004</v>
      </c>
      <c r="AN166" s="205">
        <v>30.337979999999998</v>
      </c>
      <c r="AO166" s="205">
        <v>36.82752</v>
      </c>
      <c r="AP166" s="205">
        <v>24.359440000000003</v>
      </c>
      <c r="AQ166" s="205">
        <v>21.556939999999997</v>
      </c>
      <c r="AR166" s="205">
        <v>42.170010000000005</v>
      </c>
      <c r="AS166" s="205">
        <v>30.446289999999998</v>
      </c>
      <c r="AT166" s="205">
        <v>40.114089999999997</v>
      </c>
      <c r="AU166" s="205">
        <v>39.312270000000005</v>
      </c>
      <c r="AV166" s="205">
        <v>99.743679999999998</v>
      </c>
      <c r="AW166" s="205">
        <v>10.723000000000001</v>
      </c>
    </row>
    <row r="167" spans="1:49" hidden="1" outlineLevel="1">
      <c r="H167" s="226" t="s">
        <v>140</v>
      </c>
      <c r="I167" s="226"/>
      <c r="J167" s="204"/>
      <c r="K167" s="204"/>
      <c r="L167" s="204"/>
      <c r="M167" s="205"/>
      <c r="N167" s="205"/>
      <c r="O167" s="205"/>
      <c r="P167" s="204">
        <v>23.192950000000003</v>
      </c>
      <c r="Q167" s="204">
        <v>8.5199800000000003</v>
      </c>
      <c r="R167" s="205">
        <v>21.11673</v>
      </c>
      <c r="S167" s="205">
        <v>19.55331</v>
      </c>
      <c r="T167" s="205">
        <v>46.951980000000006</v>
      </c>
      <c r="U167" s="205">
        <v>16.737599999999997</v>
      </c>
      <c r="V167" s="205">
        <v>36.478490000000001</v>
      </c>
      <c r="W167" s="205">
        <v>14.586490000000001</v>
      </c>
      <c r="X167" s="205">
        <v>17.976710000000001</v>
      </c>
      <c r="Y167" s="205">
        <v>10.772009999999998</v>
      </c>
      <c r="Z167" s="205">
        <v>9.7937700000000003</v>
      </c>
      <c r="AA167" s="205">
        <v>10.45027</v>
      </c>
      <c r="AB167" s="205">
        <v>26.249129999999997</v>
      </c>
      <c r="AC167" s="205">
        <v>41.187060000000002</v>
      </c>
      <c r="AD167" s="205">
        <v>18.871629999999996</v>
      </c>
      <c r="AE167" s="205">
        <v>169.69457999999997</v>
      </c>
      <c r="AF167" s="205">
        <v>6.4782599999999997</v>
      </c>
      <c r="AG167" s="205">
        <v>34.716560000000001</v>
      </c>
      <c r="AH167" s="205">
        <v>107.45077999999999</v>
      </c>
      <c r="AI167" s="205">
        <v>30.417850000000001</v>
      </c>
      <c r="AJ167" s="205">
        <v>0.40495999999999999</v>
      </c>
      <c r="AK167" s="205">
        <v>23.760070000000002</v>
      </c>
      <c r="AL167" s="205">
        <v>24.438479999999998</v>
      </c>
      <c r="AM167" s="205">
        <v>41.195279999999997</v>
      </c>
      <c r="AN167" s="205">
        <v>51.737550000000006</v>
      </c>
      <c r="AO167" s="205">
        <v>82.028840000000002</v>
      </c>
      <c r="AP167" s="205">
        <v>67.862819999999999</v>
      </c>
      <c r="AQ167" s="205">
        <v>10.71368</v>
      </c>
      <c r="AR167" s="205">
        <v>63.872920000000008</v>
      </c>
      <c r="AS167" s="205">
        <v>41.173839999999998</v>
      </c>
      <c r="AT167" s="205">
        <v>47.459990000000005</v>
      </c>
      <c r="AU167" s="205">
        <v>81.134149999999991</v>
      </c>
      <c r="AV167" s="205">
        <v>89.527399999999986</v>
      </c>
      <c r="AW167" s="205">
        <v>38.363729999999997</v>
      </c>
    </row>
    <row r="168" spans="1:49" hidden="1" outlineLevel="1">
      <c r="H168" s="226" t="s">
        <v>141</v>
      </c>
      <c r="I168" s="226"/>
      <c r="J168" s="204"/>
      <c r="K168" s="204"/>
      <c r="L168" s="204"/>
      <c r="M168" s="205"/>
      <c r="N168" s="205"/>
      <c r="O168" s="205"/>
      <c r="P168" s="204">
        <v>4.3493099999999991</v>
      </c>
      <c r="Q168" s="204">
        <v>1.3735599999999999</v>
      </c>
      <c r="R168" s="205">
        <v>4.9697299999999993</v>
      </c>
      <c r="S168" s="205">
        <v>4.5155000000000003</v>
      </c>
      <c r="T168" s="205">
        <v>4.9315800000000003</v>
      </c>
      <c r="U168" s="205">
        <v>8.0804599999999986</v>
      </c>
      <c r="V168" s="205">
        <v>10.357759999999999</v>
      </c>
      <c r="W168" s="205">
        <v>3.6970699999999996</v>
      </c>
      <c r="X168" s="205">
        <v>0</v>
      </c>
      <c r="Y168" s="205">
        <v>4.3597599999999996</v>
      </c>
      <c r="Z168" s="205">
        <v>2.67157</v>
      </c>
      <c r="AA168" s="205">
        <v>3.13558</v>
      </c>
      <c r="AB168" s="205">
        <v>2.5170500000000002</v>
      </c>
      <c r="AC168" s="205">
        <v>3.5130400000000002</v>
      </c>
      <c r="AD168" s="205">
        <v>2.50251</v>
      </c>
      <c r="AE168" s="205">
        <v>19.134790000000002</v>
      </c>
      <c r="AF168" s="205">
        <v>6.8177399999999997</v>
      </c>
      <c r="AG168" s="205">
        <v>2.4033100000000003</v>
      </c>
      <c r="AH168" s="205">
        <v>11.983499999999999</v>
      </c>
      <c r="AI168" s="205">
        <v>8.0301600000000004</v>
      </c>
      <c r="AJ168" s="205">
        <v>0</v>
      </c>
      <c r="AK168" s="205">
        <v>5.5854399999999993</v>
      </c>
      <c r="AL168" s="205">
        <v>5.9525999999999994</v>
      </c>
      <c r="AM168" s="205">
        <v>14.798439999999999</v>
      </c>
      <c r="AN168" s="205">
        <v>3.5086200000000001</v>
      </c>
      <c r="AO168" s="205">
        <v>8.0195000000000007</v>
      </c>
      <c r="AP168" s="205">
        <v>5.4718299999999989</v>
      </c>
      <c r="AQ168" s="205">
        <v>0.52722999999999998</v>
      </c>
      <c r="AR168" s="205">
        <v>7.2972900000000003</v>
      </c>
      <c r="AS168" s="205">
        <v>2.2338100000000001</v>
      </c>
      <c r="AT168" s="205">
        <v>7.2766100000000007</v>
      </c>
      <c r="AU168" s="205">
        <v>9.8048100000000016</v>
      </c>
      <c r="AV168" s="205">
        <v>24.025230000000004</v>
      </c>
      <c r="AW168" s="205">
        <v>3.07694</v>
      </c>
    </row>
    <row r="169" spans="1:49" hidden="1" outlineLevel="1">
      <c r="H169" s="226" t="s">
        <v>142</v>
      </c>
      <c r="I169" s="226"/>
      <c r="J169" s="204"/>
      <c r="K169" s="204"/>
      <c r="L169" s="204"/>
      <c r="M169" s="205"/>
      <c r="N169" s="205"/>
      <c r="O169" s="205"/>
      <c r="P169" s="204">
        <v>4.50753</v>
      </c>
      <c r="Q169" s="204">
        <v>2.415</v>
      </c>
      <c r="R169" s="205">
        <v>1.5954699999999997</v>
      </c>
      <c r="S169" s="205">
        <v>3.6966700000000001</v>
      </c>
      <c r="T169" s="205">
        <v>3.5311100000000004</v>
      </c>
      <c r="U169" s="205">
        <v>5.7759999999999999E-2</v>
      </c>
      <c r="V169" s="205">
        <v>0.79581999999999997</v>
      </c>
      <c r="W169" s="205">
        <v>0.11105</v>
      </c>
      <c r="X169" s="205">
        <v>0</v>
      </c>
      <c r="Y169" s="205">
        <v>4.6579999999999996E-2</v>
      </c>
      <c r="Z169" s="205">
        <v>1.02948</v>
      </c>
      <c r="AA169" s="205">
        <v>1.2199999999999999E-2</v>
      </c>
      <c r="AB169" s="205">
        <v>1.13601</v>
      </c>
      <c r="AC169" s="205">
        <v>3.5908999999999995</v>
      </c>
      <c r="AD169" s="205">
        <v>4.9262800000000002</v>
      </c>
      <c r="AE169" s="205">
        <v>4.5590200000000003</v>
      </c>
      <c r="AF169" s="205">
        <v>0.98333999999999999</v>
      </c>
      <c r="AG169" s="205">
        <v>1.04179</v>
      </c>
      <c r="AH169" s="205">
        <v>14.446780000000002</v>
      </c>
      <c r="AI169" s="205">
        <v>0.63857999999999993</v>
      </c>
      <c r="AJ169" s="205">
        <v>2.4879999999999999E-2</v>
      </c>
      <c r="AK169" s="205">
        <v>9.3459999999999988E-2</v>
      </c>
      <c r="AL169" s="205">
        <v>1.1061400000000001</v>
      </c>
      <c r="AM169" s="205">
        <v>2.9212899999999999</v>
      </c>
      <c r="AN169" s="205">
        <v>5.4943500000000007</v>
      </c>
      <c r="AO169" s="205">
        <v>7.7215199999999999</v>
      </c>
      <c r="AP169" s="205">
        <v>14.724539999999998</v>
      </c>
      <c r="AQ169" s="205">
        <v>4.8999999999999998E-4</v>
      </c>
      <c r="AR169" s="205">
        <v>0.68474000000000013</v>
      </c>
      <c r="AS169" s="205">
        <v>0.69350000000000001</v>
      </c>
      <c r="AT169" s="205">
        <v>1.4420000000000002</v>
      </c>
      <c r="AU169" s="205">
        <v>3.9902899999999999</v>
      </c>
      <c r="AV169" s="205">
        <v>5.8829599999999997</v>
      </c>
      <c r="AW169" s="205">
        <v>4.4194599999999999</v>
      </c>
    </row>
    <row r="170" spans="1:49" hidden="1" outlineLevel="1">
      <c r="H170" s="226" t="s">
        <v>143</v>
      </c>
      <c r="I170" s="226"/>
      <c r="J170" s="204"/>
      <c r="K170" s="204"/>
      <c r="L170" s="204"/>
      <c r="M170" s="205"/>
      <c r="N170" s="205"/>
      <c r="O170" s="205"/>
      <c r="P170" s="204">
        <v>1.2115799999999999</v>
      </c>
      <c r="Q170" s="204">
        <v>1.4754900000000002</v>
      </c>
      <c r="R170" s="205">
        <v>2.5613300000000003</v>
      </c>
      <c r="S170" s="205">
        <v>6.6197600000000003</v>
      </c>
      <c r="T170" s="205">
        <v>2.3915500000000005</v>
      </c>
      <c r="U170" s="205">
        <v>1.6292499999999996</v>
      </c>
      <c r="V170" s="205">
        <v>2.8176100000000006</v>
      </c>
      <c r="W170" s="205">
        <v>1.5198</v>
      </c>
      <c r="X170" s="205">
        <v>0</v>
      </c>
      <c r="Y170" s="205">
        <v>0.86247000000000007</v>
      </c>
      <c r="Z170" s="205">
        <v>1.36392</v>
      </c>
      <c r="AA170" s="205">
        <v>0.86597999999999986</v>
      </c>
      <c r="AB170" s="205">
        <v>0.98260000000000003</v>
      </c>
      <c r="AC170" s="205">
        <v>3.3306799999999996</v>
      </c>
      <c r="AD170" s="205">
        <v>2.48319</v>
      </c>
      <c r="AE170" s="205">
        <v>3.6933199999999995</v>
      </c>
      <c r="AF170" s="205">
        <v>3.0742999999999996</v>
      </c>
      <c r="AG170" s="205">
        <v>1.8811800000000001</v>
      </c>
      <c r="AH170" s="205">
        <v>9.2955500000000004</v>
      </c>
      <c r="AI170" s="205">
        <v>2.8783999999999996</v>
      </c>
      <c r="AJ170" s="205">
        <v>0</v>
      </c>
      <c r="AK170" s="205">
        <v>2.0005200000000003</v>
      </c>
      <c r="AL170" s="205">
        <v>2.5330799999999996</v>
      </c>
      <c r="AM170" s="205">
        <v>4.0009199999999998</v>
      </c>
      <c r="AN170" s="205">
        <v>8.1154600000000006</v>
      </c>
      <c r="AO170" s="205">
        <v>3.4744000000000002</v>
      </c>
      <c r="AP170" s="205">
        <v>2.6574700000000004</v>
      </c>
      <c r="AQ170" s="205">
        <v>0.29769000000000001</v>
      </c>
      <c r="AR170" s="205">
        <v>4.8183900000000008</v>
      </c>
      <c r="AS170" s="205">
        <v>2.3404199999999999</v>
      </c>
      <c r="AT170" s="205">
        <v>3.580169999999999</v>
      </c>
      <c r="AU170" s="205">
        <v>4.4752200000000002</v>
      </c>
      <c r="AV170" s="205">
        <v>24.884340000000005</v>
      </c>
      <c r="AW170" s="205">
        <v>5.0960000000000001</v>
      </c>
    </row>
    <row r="171" spans="1:49" hidden="1" outlineLevel="1">
      <c r="H171" s="226" t="s">
        <v>153</v>
      </c>
      <c r="I171" s="226"/>
      <c r="J171" s="204"/>
      <c r="K171" s="204"/>
      <c r="L171" s="204"/>
      <c r="M171" s="205"/>
      <c r="N171" s="205"/>
      <c r="O171" s="205"/>
      <c r="P171" s="204">
        <v>6.5366600000000004</v>
      </c>
      <c r="Q171" s="204">
        <v>2.4499499999999999</v>
      </c>
      <c r="R171" s="205">
        <v>6.0033599999999989</v>
      </c>
      <c r="S171" s="205">
        <v>5.96279</v>
      </c>
      <c r="T171" s="205">
        <v>11.323550000000001</v>
      </c>
      <c r="U171" s="205">
        <v>3.5892199999999996</v>
      </c>
      <c r="V171" s="205">
        <v>8.1704799999999995</v>
      </c>
      <c r="W171" s="205">
        <v>5.1045100000000012</v>
      </c>
      <c r="X171" s="205">
        <v>0</v>
      </c>
      <c r="Y171" s="205">
        <v>3.6225099999999997</v>
      </c>
      <c r="Z171" s="205">
        <v>3.7267999999999999</v>
      </c>
      <c r="AA171" s="205">
        <v>2.8085100000000001</v>
      </c>
      <c r="AB171" s="205">
        <v>5.8742900000000002</v>
      </c>
      <c r="AC171" s="205">
        <v>6.7488199999999985</v>
      </c>
      <c r="AD171" s="205">
        <v>4.1427800000000001</v>
      </c>
      <c r="AE171" s="205">
        <v>22.104589999999998</v>
      </c>
      <c r="AF171" s="205">
        <v>11.244189999999998</v>
      </c>
      <c r="AG171" s="205">
        <v>5.4556200000000015</v>
      </c>
      <c r="AH171" s="205">
        <v>10.413530000000002</v>
      </c>
      <c r="AI171" s="205">
        <v>4.6750600000000002</v>
      </c>
      <c r="AJ171" s="205">
        <v>2.7289999999999998E-2</v>
      </c>
      <c r="AK171" s="205">
        <v>3.6177900000000003</v>
      </c>
      <c r="AL171" s="205">
        <v>5.37941</v>
      </c>
      <c r="AM171" s="205">
        <v>4.8630100000000001</v>
      </c>
      <c r="AN171" s="205">
        <v>5.3697600000000003</v>
      </c>
      <c r="AO171" s="205">
        <v>8.8880500000000016</v>
      </c>
      <c r="AP171" s="205">
        <v>8.8709199999999981</v>
      </c>
      <c r="AQ171" s="205">
        <v>1.696</v>
      </c>
      <c r="AR171" s="205">
        <v>8.0854499999999998</v>
      </c>
      <c r="AS171" s="205">
        <v>6.6939199999999994</v>
      </c>
      <c r="AT171" s="205">
        <v>6.0400400000000003</v>
      </c>
      <c r="AU171" s="205">
        <v>13.777369999999999</v>
      </c>
      <c r="AV171" s="205">
        <v>19.602760000000004</v>
      </c>
      <c r="AW171" s="205">
        <v>17.796669999999999</v>
      </c>
    </row>
    <row r="172" spans="1:49" hidden="1" outlineLevel="1">
      <c r="H172" s="226" t="s">
        <v>144</v>
      </c>
      <c r="I172" s="226"/>
      <c r="J172" s="204"/>
      <c r="K172" s="204"/>
      <c r="L172" s="204"/>
      <c r="M172" s="205"/>
      <c r="N172" s="205"/>
      <c r="O172" s="205"/>
      <c r="P172" s="204">
        <v>0</v>
      </c>
      <c r="Q172" s="204">
        <v>0</v>
      </c>
      <c r="R172" s="205">
        <v>0</v>
      </c>
      <c r="S172" s="205">
        <v>0</v>
      </c>
      <c r="T172" s="205">
        <v>0</v>
      </c>
      <c r="U172" s="205">
        <v>0</v>
      </c>
      <c r="V172" s="205">
        <v>0</v>
      </c>
      <c r="W172" s="205">
        <v>0</v>
      </c>
      <c r="X172" s="205">
        <v>0</v>
      </c>
      <c r="Y172" s="205">
        <v>0</v>
      </c>
      <c r="Z172" s="205">
        <v>0</v>
      </c>
      <c r="AA172" s="205">
        <v>0</v>
      </c>
      <c r="AB172" s="205">
        <v>0</v>
      </c>
      <c r="AC172" s="205">
        <v>0</v>
      </c>
      <c r="AD172" s="205">
        <v>0</v>
      </c>
      <c r="AE172" s="205">
        <v>3.8536999999999999</v>
      </c>
      <c r="AF172" s="205">
        <v>0</v>
      </c>
      <c r="AG172" s="205">
        <v>1.2989999999999999</v>
      </c>
      <c r="AH172" s="205">
        <v>0</v>
      </c>
      <c r="AI172" s="205">
        <v>0</v>
      </c>
      <c r="AJ172" s="205">
        <v>0</v>
      </c>
      <c r="AK172" s="205">
        <v>0</v>
      </c>
      <c r="AL172" s="205">
        <v>0</v>
      </c>
      <c r="AM172" s="205">
        <v>0</v>
      </c>
      <c r="AN172" s="205">
        <v>0</v>
      </c>
      <c r="AO172" s="205">
        <v>0</v>
      </c>
      <c r="AP172" s="205">
        <v>0</v>
      </c>
      <c r="AQ172" s="205">
        <v>0</v>
      </c>
      <c r="AR172" s="205">
        <v>0</v>
      </c>
      <c r="AS172" s="205">
        <v>0</v>
      </c>
      <c r="AT172" s="205">
        <v>0</v>
      </c>
      <c r="AU172" s="205">
        <v>0</v>
      </c>
      <c r="AV172" s="205">
        <v>0</v>
      </c>
      <c r="AW172" s="205">
        <v>0</v>
      </c>
    </row>
    <row r="173" spans="1:49" collapsed="1">
      <c r="A173" t="s">
        <v>145</v>
      </c>
      <c r="H173" s="206" t="s">
        <v>145</v>
      </c>
      <c r="I173" s="206"/>
      <c r="J173" s="207">
        <f>SUMIFS($P173:$AW173,$P$3:$AW$3,J$4)</f>
        <v>1322.0857499999997</v>
      </c>
      <c r="K173" s="207">
        <f>J173-AE173-AF173</f>
        <v>937.7044699999999</v>
      </c>
      <c r="L173" s="207">
        <f t="shared" ref="L173:N173" si="52">SUMIFS($P173:$AW173,$P$3:$AW$3,L$4)</f>
        <v>1003.49081</v>
      </c>
      <c r="M173" s="207">
        <f t="shared" si="52"/>
        <v>621.35923000000003</v>
      </c>
      <c r="N173" s="207">
        <f t="shared" si="52"/>
        <v>79.475799999999992</v>
      </c>
      <c r="O173" s="208"/>
      <c r="P173" s="207">
        <f>SUBTOTAL(9,P166:P172)</f>
        <v>42.39808</v>
      </c>
      <c r="Q173" s="207">
        <f t="shared" ref="Q173:AW173" si="53">SUBTOTAL(9,Q166:Q172)</f>
        <v>33.340130000000002</v>
      </c>
      <c r="R173" s="208">
        <f t="shared" si="53"/>
        <v>82.086479999999995</v>
      </c>
      <c r="S173" s="208">
        <f t="shared" si="53"/>
        <v>67.537540000000007</v>
      </c>
      <c r="T173" s="208">
        <f t="shared" si="53"/>
        <v>79.309460000000001</v>
      </c>
      <c r="U173" s="208">
        <f t="shared" si="53"/>
        <v>60.860259999999997</v>
      </c>
      <c r="V173" s="208">
        <f t="shared" si="53"/>
        <v>68.913629999999998</v>
      </c>
      <c r="W173" s="208">
        <f t="shared" si="53"/>
        <v>35.294520000000006</v>
      </c>
      <c r="X173" s="208">
        <f t="shared" si="53"/>
        <v>51.719740000000002</v>
      </c>
      <c r="Y173" s="208">
        <f t="shared" si="53"/>
        <v>34.546829999999993</v>
      </c>
      <c r="Z173" s="208">
        <f t="shared" si="53"/>
        <v>48.695460000000004</v>
      </c>
      <c r="AA173" s="208">
        <f t="shared" si="53"/>
        <v>31.067450000000001</v>
      </c>
      <c r="AB173" s="208">
        <f t="shared" si="53"/>
        <v>43.768519999999995</v>
      </c>
      <c r="AC173" s="208">
        <f t="shared" si="53"/>
        <v>112.88342999999999</v>
      </c>
      <c r="AD173" s="208">
        <f t="shared" si="53"/>
        <v>72.562159999999977</v>
      </c>
      <c r="AE173" s="208">
        <f t="shared" si="53"/>
        <v>306.02382999999986</v>
      </c>
      <c r="AF173" s="208">
        <f t="shared" si="53"/>
        <v>78.35745</v>
      </c>
      <c r="AG173" s="208">
        <f t="shared" si="53"/>
        <v>72.720780000000005</v>
      </c>
      <c r="AH173" s="208">
        <f t="shared" si="53"/>
        <v>246.19688999999997</v>
      </c>
      <c r="AI173" s="208">
        <f t="shared" si="53"/>
        <v>73.898130000000009</v>
      </c>
      <c r="AJ173" s="208">
        <f t="shared" si="53"/>
        <v>8.9634099999999997</v>
      </c>
      <c r="AK173" s="208">
        <f t="shared" si="53"/>
        <v>62.976580000000006</v>
      </c>
      <c r="AL173" s="208">
        <f t="shared" si="53"/>
        <v>61.23959</v>
      </c>
      <c r="AM173" s="208">
        <f t="shared" si="53"/>
        <v>137.41904000000002</v>
      </c>
      <c r="AN173" s="208">
        <f t="shared" si="53"/>
        <v>104.56371999999999</v>
      </c>
      <c r="AO173" s="208">
        <f t="shared" si="53"/>
        <v>146.95982999999998</v>
      </c>
      <c r="AP173" s="208">
        <f t="shared" si="53"/>
        <v>123.94702000000001</v>
      </c>
      <c r="AQ173" s="208">
        <f t="shared" si="53"/>
        <v>34.792029999999997</v>
      </c>
      <c r="AR173" s="208">
        <f t="shared" si="53"/>
        <v>126.92880000000001</v>
      </c>
      <c r="AS173" s="208">
        <f t="shared" si="53"/>
        <v>83.581779999999995</v>
      </c>
      <c r="AT173" s="208">
        <f t="shared" si="53"/>
        <v>105.91290000000002</v>
      </c>
      <c r="AU173" s="208">
        <f t="shared" si="53"/>
        <v>152.49410999999998</v>
      </c>
      <c r="AV173" s="208">
        <f t="shared" si="53"/>
        <v>263.66636999999997</v>
      </c>
      <c r="AW173" s="208">
        <f t="shared" si="53"/>
        <v>79.475799999999992</v>
      </c>
    </row>
    <row r="174" spans="1:49" hidden="1" outlineLevel="1">
      <c r="H174" s="226" t="s">
        <v>146</v>
      </c>
      <c r="I174" s="226"/>
      <c r="J174" s="204"/>
      <c r="K174" s="204"/>
      <c r="L174" s="204"/>
      <c r="M174" s="205"/>
      <c r="N174" s="205"/>
      <c r="O174" s="205"/>
      <c r="P174" s="204">
        <v>30.136260000000004</v>
      </c>
      <c r="Q174" s="204">
        <v>13.332699999999999</v>
      </c>
      <c r="R174" s="205">
        <v>28.562980000000003</v>
      </c>
      <c r="S174" s="205">
        <v>35.466920000000002</v>
      </c>
      <c r="T174" s="205">
        <v>31.402930000000005</v>
      </c>
      <c r="U174" s="205">
        <v>28.318280000000001</v>
      </c>
      <c r="V174" s="205">
        <v>17.595250000000004</v>
      </c>
      <c r="W174" s="205">
        <v>23.456259999999993</v>
      </c>
      <c r="X174" s="205">
        <v>15.718830000000002</v>
      </c>
      <c r="Y174" s="205">
        <v>11.13998</v>
      </c>
      <c r="Z174" s="205">
        <v>18.347799999999999</v>
      </c>
      <c r="AA174" s="205">
        <v>16.99672</v>
      </c>
      <c r="AB174" s="205">
        <v>26.012910000000002</v>
      </c>
      <c r="AC174" s="205">
        <v>62.10255999999999</v>
      </c>
      <c r="AD174" s="205">
        <v>21.843150000000001</v>
      </c>
      <c r="AE174" s="205">
        <v>98.966049999999981</v>
      </c>
      <c r="AF174" s="205">
        <v>50.064</v>
      </c>
      <c r="AG174" s="205">
        <v>19.097090000000001</v>
      </c>
      <c r="AH174" s="205">
        <v>41.978349999999999</v>
      </c>
      <c r="AI174" s="205">
        <v>12.65775</v>
      </c>
      <c r="AJ174" s="205">
        <v>5.9538899999999995</v>
      </c>
      <c r="AK174" s="205">
        <v>7.2228899999999996</v>
      </c>
      <c r="AL174" s="205">
        <v>12.158530000000003</v>
      </c>
      <c r="AM174" s="205">
        <v>23.305150000000001</v>
      </c>
      <c r="AN174" s="205">
        <v>29.235159999999997</v>
      </c>
      <c r="AO174" s="205">
        <v>49.715170000000001</v>
      </c>
      <c r="AP174" s="205">
        <v>35.621649999999995</v>
      </c>
      <c r="AQ174" s="205">
        <v>5.7891199999999996</v>
      </c>
      <c r="AR174" s="205">
        <v>65.574770000000001</v>
      </c>
      <c r="AS174" s="205">
        <v>17.65081</v>
      </c>
      <c r="AT174" s="205">
        <v>29.590120000000002</v>
      </c>
      <c r="AU174" s="205">
        <v>48.744489999999999</v>
      </c>
      <c r="AV174" s="205">
        <v>50.696359999999999</v>
      </c>
      <c r="AW174" s="205">
        <v>76.669080000000008</v>
      </c>
    </row>
    <row r="175" spans="1:49" hidden="1" outlineLevel="1">
      <c r="H175" s="226" t="s">
        <v>147</v>
      </c>
      <c r="I175" s="226"/>
      <c r="J175" s="204"/>
      <c r="K175" s="204"/>
      <c r="L175" s="204"/>
      <c r="M175" s="205"/>
      <c r="N175" s="205"/>
      <c r="O175" s="205"/>
      <c r="P175" s="204">
        <v>3.6346599999999998</v>
      </c>
      <c r="Q175" s="204">
        <v>5.7424499999999998</v>
      </c>
      <c r="R175" s="205">
        <v>13.314270000000002</v>
      </c>
      <c r="S175" s="205">
        <v>32.724080000000001</v>
      </c>
      <c r="T175" s="205">
        <v>15.28636</v>
      </c>
      <c r="U175" s="205">
        <v>21.235710000000005</v>
      </c>
      <c r="V175" s="205">
        <v>13.559709999999997</v>
      </c>
      <c r="W175" s="205">
        <v>3.6096700000000004</v>
      </c>
      <c r="X175" s="205">
        <v>3.0040500000000003</v>
      </c>
      <c r="Y175" s="205">
        <v>8.3122799999999994</v>
      </c>
      <c r="Z175" s="205">
        <v>8.0792599999999997</v>
      </c>
      <c r="AA175" s="205">
        <v>4.9182700000000006</v>
      </c>
      <c r="AB175" s="205">
        <v>4.78355</v>
      </c>
      <c r="AC175" s="205">
        <v>3.7446200000000003</v>
      </c>
      <c r="AD175" s="205">
        <v>1.4149999999999999E-2</v>
      </c>
      <c r="AE175" s="205">
        <v>96.250559999999993</v>
      </c>
      <c r="AF175" s="205">
        <v>59.169410000000006</v>
      </c>
      <c r="AG175" s="205">
        <v>19.15532</v>
      </c>
      <c r="AH175" s="205">
        <v>15.563330000000001</v>
      </c>
      <c r="AI175" s="205">
        <v>29.450020000000002</v>
      </c>
      <c r="AJ175" s="205">
        <v>24.606529999999999</v>
      </c>
      <c r="AK175" s="205">
        <v>10.423959999999999</v>
      </c>
      <c r="AL175" s="205">
        <v>2.7731800000000004</v>
      </c>
      <c r="AM175" s="205">
        <v>9.2125000000000004</v>
      </c>
      <c r="AN175" s="205">
        <v>7.7860500000000004</v>
      </c>
      <c r="AO175" s="205">
        <v>11.679309999999999</v>
      </c>
      <c r="AP175" s="205">
        <v>15.436650000000002</v>
      </c>
      <c r="AQ175" s="205">
        <v>0.49301999999999996</v>
      </c>
      <c r="AR175" s="205">
        <v>12.13843</v>
      </c>
      <c r="AS175" s="205">
        <v>12.72353</v>
      </c>
      <c r="AT175" s="205">
        <v>2.17</v>
      </c>
      <c r="AU175" s="205">
        <v>7.5289700000000002</v>
      </c>
      <c r="AV175" s="205">
        <v>3.4646500000000002</v>
      </c>
      <c r="AW175" s="205">
        <v>11.158340000000001</v>
      </c>
    </row>
    <row r="176" spans="1:49" hidden="1" outlineLevel="1">
      <c r="H176" s="226" t="s">
        <v>148</v>
      </c>
      <c r="I176" s="226"/>
      <c r="J176" s="204"/>
      <c r="K176" s="204"/>
      <c r="L176" s="204"/>
      <c r="M176" s="205"/>
      <c r="N176" s="205"/>
      <c r="O176" s="205"/>
      <c r="P176" s="204">
        <v>8.9996799999999997</v>
      </c>
      <c r="Q176" s="204">
        <v>4.7767300000000006</v>
      </c>
      <c r="R176" s="205">
        <v>5.5858199999999991</v>
      </c>
      <c r="S176" s="205">
        <v>5.0516699999999997</v>
      </c>
      <c r="T176" s="205">
        <v>9.0029599999999999</v>
      </c>
      <c r="U176" s="205">
        <v>6.6950500000000002</v>
      </c>
      <c r="V176" s="205">
        <v>4.4949200000000005</v>
      </c>
      <c r="W176" s="205">
        <v>6.6279899999999996</v>
      </c>
      <c r="X176" s="205">
        <v>1.8893900000000001</v>
      </c>
      <c r="Y176" s="205">
        <v>4.3729300000000002</v>
      </c>
      <c r="Z176" s="205">
        <v>4.8074100000000008</v>
      </c>
      <c r="AA176" s="205">
        <v>4.9417200000000001</v>
      </c>
      <c r="AB176" s="205">
        <v>4.9236899999999988</v>
      </c>
      <c r="AC176" s="205">
        <v>6.0590400000000013</v>
      </c>
      <c r="AD176" s="205">
        <v>5.9305999999999992</v>
      </c>
      <c r="AE176" s="205">
        <v>18.562489999999997</v>
      </c>
      <c r="AF176" s="205">
        <v>11.831970000000002</v>
      </c>
      <c r="AG176" s="205">
        <v>9.1812699999999996</v>
      </c>
      <c r="AH176" s="205">
        <v>24.806800000000003</v>
      </c>
      <c r="AI176" s="205">
        <v>5.5002900000000006</v>
      </c>
      <c r="AJ176" s="205">
        <v>4.3541800000000004</v>
      </c>
      <c r="AK176" s="205">
        <v>6.1989100000000006</v>
      </c>
      <c r="AL176" s="205">
        <v>6.4387099999999995</v>
      </c>
      <c r="AM176" s="205">
        <v>9.2356300000000005</v>
      </c>
      <c r="AN176" s="205">
        <v>5.0272000000000006</v>
      </c>
      <c r="AO176" s="205">
        <v>8.5925700000000003</v>
      </c>
      <c r="AP176" s="205">
        <v>7.0075699999999994</v>
      </c>
      <c r="AQ176" s="205">
        <v>0.89618999999999993</v>
      </c>
      <c r="AR176" s="205">
        <v>7.3189800000000007</v>
      </c>
      <c r="AS176" s="205">
        <v>4.2978199999999998</v>
      </c>
      <c r="AT176" s="205">
        <v>7.2793400000000004</v>
      </c>
      <c r="AU176" s="205">
        <v>11.21185</v>
      </c>
      <c r="AV176" s="205">
        <v>13.577529999999999</v>
      </c>
      <c r="AW176" s="205">
        <v>11.915040000000001</v>
      </c>
    </row>
    <row r="177" spans="1:49" hidden="1" outlineLevel="1">
      <c r="H177" s="226" t="s">
        <v>149</v>
      </c>
      <c r="I177" s="226"/>
      <c r="J177" s="204"/>
      <c r="K177" s="204"/>
      <c r="L177" s="204"/>
      <c r="M177" s="205"/>
      <c r="N177" s="205"/>
      <c r="O177" s="205"/>
      <c r="P177" s="204">
        <v>5.9139900000000019</v>
      </c>
      <c r="Q177" s="204">
        <v>2.3109000000000002</v>
      </c>
      <c r="R177" s="205">
        <v>3.9409999999999994E-2</v>
      </c>
      <c r="S177" s="205">
        <v>4.8138500000000004</v>
      </c>
      <c r="T177" s="205">
        <v>7.8411800000000005</v>
      </c>
      <c r="U177" s="205">
        <v>4.7154299999999996</v>
      </c>
      <c r="V177" s="205">
        <v>2.3275200000000003</v>
      </c>
      <c r="W177" s="205">
        <v>0.16907</v>
      </c>
      <c r="X177" s="205">
        <v>0</v>
      </c>
      <c r="Y177" s="205">
        <v>5.3500900000000007</v>
      </c>
      <c r="Z177" s="205">
        <v>5.0638900000000016</v>
      </c>
      <c r="AA177" s="205">
        <v>2.0348600000000006</v>
      </c>
      <c r="AB177" s="205">
        <v>3.7806099999999998</v>
      </c>
      <c r="AC177" s="205">
        <v>19.96123</v>
      </c>
      <c r="AD177" s="205">
        <v>2.5484499999999999</v>
      </c>
      <c r="AE177" s="205">
        <v>8.1501400000000004</v>
      </c>
      <c r="AF177" s="205">
        <v>15.303439999999998</v>
      </c>
      <c r="AG177" s="205">
        <v>2.4875199999999995</v>
      </c>
      <c r="AH177" s="205">
        <v>34.967260000000003</v>
      </c>
      <c r="AI177" s="205">
        <v>7.0228299999999999</v>
      </c>
      <c r="AJ177" s="205">
        <v>0</v>
      </c>
      <c r="AK177" s="205">
        <v>5.5247800000000007</v>
      </c>
      <c r="AL177" s="205">
        <v>5.3628499999999999</v>
      </c>
      <c r="AM177" s="205">
        <v>7.3149700000000033</v>
      </c>
      <c r="AN177" s="205">
        <v>7.1831300000000011</v>
      </c>
      <c r="AO177" s="205">
        <v>4.5827299999999997</v>
      </c>
      <c r="AP177" s="205">
        <v>9.9863999999999997</v>
      </c>
      <c r="AQ177" s="205">
        <v>0.80632000000000004</v>
      </c>
      <c r="AR177" s="205">
        <v>9.3059600000000007</v>
      </c>
      <c r="AS177" s="205">
        <v>2.7822400000000003</v>
      </c>
      <c r="AT177" s="205">
        <v>6.6958300000000017</v>
      </c>
      <c r="AU177" s="205">
        <v>6.8710000000000004</v>
      </c>
      <c r="AV177" s="205">
        <v>13.346780000000003</v>
      </c>
      <c r="AW177" s="205">
        <v>5.9317199999999994</v>
      </c>
    </row>
    <row r="178" spans="1:49" hidden="1" outlineLevel="1">
      <c r="H178" s="226" t="s">
        <v>150</v>
      </c>
      <c r="I178" s="226"/>
      <c r="J178" s="204"/>
      <c r="K178" s="204"/>
      <c r="L178" s="204"/>
      <c r="M178" s="205"/>
      <c r="N178" s="205"/>
      <c r="O178" s="205"/>
      <c r="P178" s="204">
        <v>7.1515199999999997</v>
      </c>
      <c r="Q178" s="204">
        <v>4.1894200000000001</v>
      </c>
      <c r="R178" s="205">
        <v>1.1871599999999998</v>
      </c>
      <c r="S178" s="205">
        <v>7.6272099999999989</v>
      </c>
      <c r="T178" s="205">
        <v>5.864139999999999</v>
      </c>
      <c r="U178" s="205">
        <v>5.0676600000000001</v>
      </c>
      <c r="V178" s="205">
        <v>2.0114100000000001</v>
      </c>
      <c r="W178" s="205">
        <v>0.34972000000000003</v>
      </c>
      <c r="X178" s="205">
        <v>0</v>
      </c>
      <c r="Y178" s="205">
        <v>3.3445399999999998</v>
      </c>
      <c r="Z178" s="205">
        <v>7.016799999999999</v>
      </c>
      <c r="AA178" s="205">
        <v>3.4599999999999999E-2</v>
      </c>
      <c r="AB178" s="205">
        <v>6.6171699999999998</v>
      </c>
      <c r="AC178" s="205">
        <v>9.5650899999999996</v>
      </c>
      <c r="AD178" s="205">
        <v>8.333120000000001</v>
      </c>
      <c r="AE178" s="205">
        <v>6.5522099999999996</v>
      </c>
      <c r="AF178" s="205">
        <v>6.0409499999999996</v>
      </c>
      <c r="AG178" s="205">
        <v>8.2037199999999988</v>
      </c>
      <c r="AH178" s="205">
        <v>14.84497</v>
      </c>
      <c r="AI178" s="205">
        <v>2.5176400000000005</v>
      </c>
      <c r="AJ178" s="205">
        <v>0</v>
      </c>
      <c r="AK178" s="205">
        <v>2.2476700000000003</v>
      </c>
      <c r="AL178" s="205">
        <v>2.5794200000000003</v>
      </c>
      <c r="AM178" s="205">
        <v>6.2821199999999999</v>
      </c>
      <c r="AN178" s="205">
        <v>2.1743899999999998</v>
      </c>
      <c r="AO178" s="205">
        <v>2.2277099999999996</v>
      </c>
      <c r="AP178" s="205">
        <v>5.5718500000000004</v>
      </c>
      <c r="AQ178" s="205">
        <v>0.44430000000000003</v>
      </c>
      <c r="AR178" s="205">
        <v>2.1105800000000001</v>
      </c>
      <c r="AS178" s="205">
        <v>0</v>
      </c>
      <c r="AT178" s="205">
        <v>0.17236000000000001</v>
      </c>
      <c r="AU178" s="205">
        <v>0</v>
      </c>
      <c r="AV178" s="205">
        <v>1.1631199999999999</v>
      </c>
      <c r="AW178" s="205">
        <v>9.2190599999999989</v>
      </c>
    </row>
    <row r="179" spans="1:49" collapsed="1">
      <c r="A179" t="s">
        <v>151</v>
      </c>
      <c r="H179" s="206" t="s">
        <v>151</v>
      </c>
      <c r="I179" s="206"/>
      <c r="J179" s="207">
        <f>SUMIFS($P179:$AW179,$P$3:$AW$3,J$4)</f>
        <v>1170.8024</v>
      </c>
      <c r="K179" s="207">
        <f>J179-AE179-AF179</f>
        <v>799.91118000000006</v>
      </c>
      <c r="L179" s="207">
        <f t="shared" ref="L179:N179" si="54">SUMIFS($P179:$AW179,$P$3:$AW$3,L$4)</f>
        <v>486.83713</v>
      </c>
      <c r="M179" s="207">
        <f t="shared" si="54"/>
        <v>334.76251000000002</v>
      </c>
      <c r="N179" s="207">
        <f t="shared" si="54"/>
        <v>114.89324000000001</v>
      </c>
      <c r="O179" s="208"/>
      <c r="P179" s="207">
        <f>SUBTOTAL(9,P174:P178)</f>
        <v>55.836109999999998</v>
      </c>
      <c r="Q179" s="207">
        <f t="shared" ref="Q179:AW179" si="55">SUBTOTAL(9,Q174:Q178)</f>
        <v>30.352200000000003</v>
      </c>
      <c r="R179" s="208">
        <f t="shared" si="55"/>
        <v>48.689639999999997</v>
      </c>
      <c r="S179" s="208">
        <f t="shared" si="55"/>
        <v>85.683730000000011</v>
      </c>
      <c r="T179" s="208">
        <f t="shared" si="55"/>
        <v>69.397570000000002</v>
      </c>
      <c r="U179" s="208">
        <f t="shared" si="55"/>
        <v>66.032130000000009</v>
      </c>
      <c r="V179" s="208">
        <f t="shared" si="55"/>
        <v>39.988810000000001</v>
      </c>
      <c r="W179" s="208">
        <f t="shared" si="55"/>
        <v>34.212709999999987</v>
      </c>
      <c r="X179" s="208">
        <f t="shared" si="55"/>
        <v>20.612270000000002</v>
      </c>
      <c r="Y179" s="208">
        <f t="shared" si="55"/>
        <v>32.519820000000003</v>
      </c>
      <c r="Z179" s="208">
        <f t="shared" si="55"/>
        <v>43.315159999999999</v>
      </c>
      <c r="AA179" s="208">
        <f t="shared" si="55"/>
        <v>28.926170000000003</v>
      </c>
      <c r="AB179" s="208">
        <f t="shared" si="55"/>
        <v>46.117930000000008</v>
      </c>
      <c r="AC179" s="208">
        <f t="shared" si="55"/>
        <v>101.43253999999999</v>
      </c>
      <c r="AD179" s="208">
        <f t="shared" si="55"/>
        <v>38.669470000000004</v>
      </c>
      <c r="AE179" s="208">
        <f t="shared" si="55"/>
        <v>228.48144999999997</v>
      </c>
      <c r="AF179" s="208">
        <f t="shared" si="55"/>
        <v>142.40977000000001</v>
      </c>
      <c r="AG179" s="208">
        <f t="shared" si="55"/>
        <v>58.124919999999989</v>
      </c>
      <c r="AH179" s="208">
        <f t="shared" si="55"/>
        <v>132.16070999999999</v>
      </c>
      <c r="AI179" s="208">
        <f t="shared" si="55"/>
        <v>57.148530000000001</v>
      </c>
      <c r="AJ179" s="208">
        <f t="shared" si="55"/>
        <v>34.9146</v>
      </c>
      <c r="AK179" s="208">
        <f t="shared" si="55"/>
        <v>31.618210000000001</v>
      </c>
      <c r="AL179" s="208">
        <f t="shared" si="55"/>
        <v>29.312690000000003</v>
      </c>
      <c r="AM179" s="208">
        <f t="shared" si="55"/>
        <v>55.350370000000005</v>
      </c>
      <c r="AN179" s="208">
        <f t="shared" si="55"/>
        <v>51.405929999999998</v>
      </c>
      <c r="AO179" s="208">
        <f t="shared" si="55"/>
        <v>76.797489999999996</v>
      </c>
      <c r="AP179" s="208">
        <f t="shared" si="55"/>
        <v>73.624119999999991</v>
      </c>
      <c r="AQ179" s="208">
        <f t="shared" si="55"/>
        <v>8.4289499999999986</v>
      </c>
      <c r="AR179" s="208">
        <f t="shared" si="55"/>
        <v>96.448719999999994</v>
      </c>
      <c r="AS179" s="208">
        <f t="shared" si="55"/>
        <v>37.4544</v>
      </c>
      <c r="AT179" s="208">
        <f t="shared" si="55"/>
        <v>45.907649999999997</v>
      </c>
      <c r="AU179" s="208">
        <f t="shared" si="55"/>
        <v>74.356309999999993</v>
      </c>
      <c r="AV179" s="208">
        <f t="shared" si="55"/>
        <v>82.248440000000002</v>
      </c>
      <c r="AW179" s="208">
        <f t="shared" si="55"/>
        <v>114.89324000000001</v>
      </c>
    </row>
    <row r="180" spans="1:49" hidden="1" outlineLevel="1">
      <c r="H180" s="226" t="s">
        <v>152</v>
      </c>
      <c r="I180" s="226"/>
      <c r="J180" s="204"/>
      <c r="K180" s="204"/>
      <c r="L180" s="204"/>
      <c r="M180" s="205"/>
      <c r="N180" s="205"/>
      <c r="O180" s="205"/>
      <c r="P180" s="204">
        <v>10.09591</v>
      </c>
      <c r="Q180" s="204">
        <v>6.20716</v>
      </c>
      <c r="R180" s="205">
        <v>6.5008699999999999</v>
      </c>
      <c r="S180" s="205">
        <v>12.44862</v>
      </c>
      <c r="T180" s="205">
        <v>18.273489999999999</v>
      </c>
      <c r="U180" s="205">
        <v>11.940110000000001</v>
      </c>
      <c r="V180" s="205">
        <v>21.039729999999999</v>
      </c>
      <c r="W180" s="205">
        <v>10.031519999999999</v>
      </c>
      <c r="X180" s="205">
        <v>10.182450000000001</v>
      </c>
      <c r="Y180" s="205">
        <v>6.4526000000000003</v>
      </c>
      <c r="Z180" s="205">
        <v>7.81107</v>
      </c>
      <c r="AA180" s="205">
        <v>5.675650000000001</v>
      </c>
      <c r="AB180" s="205">
        <v>8.0171399999999995</v>
      </c>
      <c r="AC180" s="205">
        <v>13.75117</v>
      </c>
      <c r="AD180" s="205">
        <v>11.282210000000001</v>
      </c>
      <c r="AE180" s="205">
        <v>40.687239999999996</v>
      </c>
      <c r="AF180" s="205">
        <v>14.200869999999998</v>
      </c>
      <c r="AG180" s="205">
        <v>10.900569999999997</v>
      </c>
      <c r="AH180" s="205">
        <v>17.99258</v>
      </c>
      <c r="AI180" s="205">
        <v>11.020769999999999</v>
      </c>
      <c r="AJ180" s="205">
        <v>0.35125000000000001</v>
      </c>
      <c r="AK180" s="205">
        <v>4.6842499999999996</v>
      </c>
      <c r="AL180" s="205">
        <v>10.18852</v>
      </c>
      <c r="AM180" s="205">
        <v>11.775420000000002</v>
      </c>
      <c r="AN180" s="205">
        <v>7.7196100000000012</v>
      </c>
      <c r="AO180" s="205">
        <v>18.260669999999998</v>
      </c>
      <c r="AP180" s="205">
        <v>17.20243</v>
      </c>
      <c r="AQ180" s="205">
        <v>2.39656</v>
      </c>
      <c r="AR180" s="205">
        <v>9.8422200000000011</v>
      </c>
      <c r="AS180" s="205">
        <v>12.508769999999995</v>
      </c>
      <c r="AT180" s="205">
        <v>12.551409999999999</v>
      </c>
      <c r="AU180" s="205">
        <v>24.983669999999996</v>
      </c>
      <c r="AV180" s="205">
        <v>47.264620000000001</v>
      </c>
      <c r="AW180" s="205">
        <v>44.073060000000005</v>
      </c>
    </row>
    <row r="181" spans="1:49" hidden="1" outlineLevel="1">
      <c r="H181" s="226" t="s">
        <v>154</v>
      </c>
      <c r="I181" s="226"/>
      <c r="J181" s="204"/>
      <c r="K181" s="204"/>
      <c r="L181" s="204"/>
      <c r="M181" s="205"/>
      <c r="N181" s="205"/>
      <c r="O181" s="205"/>
      <c r="P181" s="204">
        <v>1.7245899999999996</v>
      </c>
      <c r="Q181" s="204">
        <v>0.30113000000000006</v>
      </c>
      <c r="R181" s="205">
        <v>0.52622999999999998</v>
      </c>
      <c r="S181" s="205">
        <v>0.57938000000000001</v>
      </c>
      <c r="T181" s="205">
        <v>2.5615699999999997</v>
      </c>
      <c r="U181" s="205">
        <v>0.80706999999999995</v>
      </c>
      <c r="V181" s="205">
        <v>1.1711800000000001</v>
      </c>
      <c r="W181" s="205">
        <v>0.68181999999999998</v>
      </c>
      <c r="X181" s="205">
        <v>0.65492000000000006</v>
      </c>
      <c r="Y181" s="205">
        <v>0.93996000000000002</v>
      </c>
      <c r="Z181" s="205">
        <v>0.24618000000000001</v>
      </c>
      <c r="AA181" s="205">
        <v>0.80776999999999999</v>
      </c>
      <c r="AB181" s="205">
        <v>0.71635000000000015</v>
      </c>
      <c r="AC181" s="205">
        <v>1.5438799999999999</v>
      </c>
      <c r="AD181" s="205">
        <v>1.2111099999999999</v>
      </c>
      <c r="AE181" s="205">
        <v>5.1582299999999996</v>
      </c>
      <c r="AF181" s="205">
        <v>4.3444599999999998</v>
      </c>
      <c r="AG181" s="205">
        <v>1.2766400000000002</v>
      </c>
      <c r="AH181" s="205">
        <v>3.0221300000000002</v>
      </c>
      <c r="AI181" s="205">
        <v>1.5249599999999999</v>
      </c>
      <c r="AJ181" s="205">
        <v>0.45655000000000007</v>
      </c>
      <c r="AK181" s="205">
        <v>0.90243000000000007</v>
      </c>
      <c r="AL181" s="205">
        <v>1.50461</v>
      </c>
      <c r="AM181" s="205">
        <v>2.0298499999999997</v>
      </c>
      <c r="AN181" s="205">
        <v>2.1234500000000001</v>
      </c>
      <c r="AO181" s="205">
        <v>2.33419</v>
      </c>
      <c r="AP181" s="205">
        <v>2.3727799999999997</v>
      </c>
      <c r="AQ181" s="205">
        <v>0.16833000000000001</v>
      </c>
      <c r="AR181" s="205">
        <v>6.1291600000000006</v>
      </c>
      <c r="AS181" s="205">
        <v>0.51878999999999997</v>
      </c>
      <c r="AT181" s="205">
        <v>0.82577000000000012</v>
      </c>
      <c r="AU181" s="205">
        <v>1.6503099999999999</v>
      </c>
      <c r="AV181" s="205">
        <v>3.1883700000000004</v>
      </c>
      <c r="AW181" s="205">
        <v>3.3958400000000002</v>
      </c>
    </row>
    <row r="182" spans="1:49" hidden="1" outlineLevel="1">
      <c r="H182" s="226" t="s">
        <v>155</v>
      </c>
      <c r="I182" s="226"/>
      <c r="J182" s="204"/>
      <c r="K182" s="204"/>
      <c r="L182" s="204"/>
      <c r="M182" s="205"/>
      <c r="N182" s="205"/>
      <c r="O182" s="205"/>
      <c r="P182" s="204">
        <v>2.129E-2</v>
      </c>
      <c r="Q182" s="204">
        <v>7.77E-3</v>
      </c>
      <c r="R182" s="205">
        <v>9.75E-3</v>
      </c>
      <c r="S182" s="205">
        <v>9.859999999999999E-3</v>
      </c>
      <c r="T182" s="205">
        <v>3.4390000000000004E-2</v>
      </c>
      <c r="U182" s="205">
        <v>1.093E-2</v>
      </c>
      <c r="V182" s="205">
        <v>2.571E-2</v>
      </c>
      <c r="W182" s="205">
        <v>2.1069999999999998E-2</v>
      </c>
      <c r="X182" s="205">
        <v>0</v>
      </c>
      <c r="Y182" s="205">
        <v>6.7099999999999998E-3</v>
      </c>
      <c r="Z182" s="205">
        <v>2.3700000000000001E-3</v>
      </c>
      <c r="AA182" s="205">
        <v>6.9499999999999996E-3</v>
      </c>
      <c r="AB182" s="205">
        <v>1.1280000000000002E-2</v>
      </c>
      <c r="AC182" s="205">
        <v>3.1310000000000004E-2</v>
      </c>
      <c r="AD182" s="205">
        <v>1.704E-2</v>
      </c>
      <c r="AE182" s="205">
        <v>0.12013</v>
      </c>
      <c r="AF182" s="205">
        <v>1.7090000000000001E-2</v>
      </c>
      <c r="AG182" s="205">
        <v>7.6500000000000005E-3</v>
      </c>
      <c r="AH182" s="205">
        <v>0.27109</v>
      </c>
      <c r="AI182" s="205">
        <v>0.50693999999999995</v>
      </c>
      <c r="AJ182" s="205">
        <v>0</v>
      </c>
      <c r="AK182" s="205">
        <v>3.9259999999999996E-2</v>
      </c>
      <c r="AL182" s="205">
        <v>0.33982999999999997</v>
      </c>
      <c r="AM182" s="205">
        <v>0.18321999999999999</v>
      </c>
      <c r="AN182" s="205">
        <v>0.18684000000000001</v>
      </c>
      <c r="AO182" s="205">
        <v>6.4829999999999999E-2</v>
      </c>
      <c r="AP182" s="205">
        <v>1.1319999999999998E-2</v>
      </c>
      <c r="AQ182" s="205">
        <v>0</v>
      </c>
      <c r="AR182" s="205">
        <v>2.0119999999999999E-2</v>
      </c>
      <c r="AS182" s="205">
        <v>3.3070000000000002E-2</v>
      </c>
      <c r="AT182" s="205">
        <v>1.504E-2</v>
      </c>
      <c r="AU182" s="205">
        <v>2.103E-2</v>
      </c>
      <c r="AV182" s="205">
        <v>6.0819999999999999E-2</v>
      </c>
      <c r="AW182" s="205">
        <v>1.20669</v>
      </c>
    </row>
    <row r="183" spans="1:49" collapsed="1">
      <c r="A183" t="s">
        <v>156</v>
      </c>
      <c r="H183" s="206" t="s">
        <v>156</v>
      </c>
      <c r="I183" s="206"/>
      <c r="J183" s="207">
        <f>SUMIFS($P183:$AW183,$P$3:$AW$3,J$4)</f>
        <v>251.11214999999999</v>
      </c>
      <c r="K183" s="207">
        <f>J183-AE183-AF183</f>
        <v>186.58412999999999</v>
      </c>
      <c r="L183" s="207">
        <f t="shared" ref="L183:N183" si="56">SUMIFS($P183:$AW183,$P$3:$AW$3,L$4)</f>
        <v>159.85938999999999</v>
      </c>
      <c r="M183" s="207">
        <f t="shared" si="56"/>
        <v>63.770889999999994</v>
      </c>
      <c r="N183" s="207">
        <f t="shared" si="56"/>
        <v>48.675590000000007</v>
      </c>
      <c r="O183" s="208"/>
      <c r="P183" s="207">
        <f>SUBTOTAL(9,P180:P182)</f>
        <v>11.84179</v>
      </c>
      <c r="Q183" s="207">
        <f t="shared" ref="Q183:AW183" si="57">SUBTOTAL(9,Q180:Q182)</f>
        <v>6.5160599999999995</v>
      </c>
      <c r="R183" s="208">
        <f t="shared" si="57"/>
        <v>7.0368500000000003</v>
      </c>
      <c r="S183" s="208">
        <f t="shared" si="57"/>
        <v>13.03786</v>
      </c>
      <c r="T183" s="208">
        <f t="shared" si="57"/>
        <v>20.869449999999997</v>
      </c>
      <c r="U183" s="208">
        <f t="shared" si="57"/>
        <v>12.75811</v>
      </c>
      <c r="V183" s="208">
        <f t="shared" si="57"/>
        <v>22.236619999999998</v>
      </c>
      <c r="W183" s="208">
        <f t="shared" si="57"/>
        <v>10.734409999999999</v>
      </c>
      <c r="X183" s="208">
        <f t="shared" si="57"/>
        <v>10.837370000000002</v>
      </c>
      <c r="Y183" s="208">
        <f t="shared" si="57"/>
        <v>7.3992700000000005</v>
      </c>
      <c r="Z183" s="208">
        <f t="shared" si="57"/>
        <v>8.0596200000000007</v>
      </c>
      <c r="AA183" s="208">
        <f t="shared" si="57"/>
        <v>6.4903700000000004</v>
      </c>
      <c r="AB183" s="208">
        <f t="shared" si="57"/>
        <v>8.744769999999999</v>
      </c>
      <c r="AC183" s="208">
        <f t="shared" si="57"/>
        <v>15.326359999999999</v>
      </c>
      <c r="AD183" s="208">
        <f t="shared" si="57"/>
        <v>12.51036</v>
      </c>
      <c r="AE183" s="208">
        <f t="shared" si="57"/>
        <v>45.965599999999995</v>
      </c>
      <c r="AF183" s="208">
        <f t="shared" si="57"/>
        <v>18.562419999999999</v>
      </c>
      <c r="AG183" s="208">
        <f t="shared" si="57"/>
        <v>12.184859999999997</v>
      </c>
      <c r="AH183" s="208">
        <f t="shared" si="57"/>
        <v>21.285800000000002</v>
      </c>
      <c r="AI183" s="208">
        <f t="shared" si="57"/>
        <v>13.052669999999999</v>
      </c>
      <c r="AJ183" s="208">
        <f t="shared" si="57"/>
        <v>0.80780000000000007</v>
      </c>
      <c r="AK183" s="208">
        <f t="shared" si="57"/>
        <v>5.6259399999999991</v>
      </c>
      <c r="AL183" s="208">
        <f t="shared" si="57"/>
        <v>12.032959999999999</v>
      </c>
      <c r="AM183" s="208">
        <f t="shared" si="57"/>
        <v>13.988490000000002</v>
      </c>
      <c r="AN183" s="208">
        <f t="shared" si="57"/>
        <v>10.029900000000001</v>
      </c>
      <c r="AO183" s="208">
        <f t="shared" si="57"/>
        <v>20.659689999999998</v>
      </c>
      <c r="AP183" s="208">
        <f t="shared" si="57"/>
        <v>19.58653</v>
      </c>
      <c r="AQ183" s="208">
        <f t="shared" si="57"/>
        <v>2.5648900000000001</v>
      </c>
      <c r="AR183" s="208">
        <f t="shared" si="57"/>
        <v>15.991500000000002</v>
      </c>
      <c r="AS183" s="208">
        <f t="shared" si="57"/>
        <v>13.060629999999994</v>
      </c>
      <c r="AT183" s="208">
        <f t="shared" si="57"/>
        <v>13.39222</v>
      </c>
      <c r="AU183" s="208">
        <f t="shared" si="57"/>
        <v>26.655009999999997</v>
      </c>
      <c r="AV183" s="208">
        <f t="shared" si="57"/>
        <v>50.513809999999999</v>
      </c>
      <c r="AW183" s="208">
        <f t="shared" si="57"/>
        <v>48.675590000000007</v>
      </c>
    </row>
    <row r="184" spans="1:49" hidden="1" outlineLevel="1">
      <c r="H184" s="226" t="s">
        <v>157</v>
      </c>
      <c r="I184" s="226"/>
      <c r="J184" s="204"/>
      <c r="K184" s="204"/>
      <c r="L184" s="204"/>
      <c r="M184" s="205"/>
      <c r="N184" s="205"/>
      <c r="O184" s="205"/>
      <c r="P184" s="204">
        <v>1.2603</v>
      </c>
      <c r="Q184" s="204">
        <v>1.2784200000000001</v>
      </c>
      <c r="R184" s="205">
        <v>1.0723100000000001</v>
      </c>
      <c r="S184" s="205">
        <v>0.89231999999999989</v>
      </c>
      <c r="T184" s="205">
        <v>1.0136800000000001</v>
      </c>
      <c r="U184" s="205">
        <v>1.2862199999999999</v>
      </c>
      <c r="V184" s="205">
        <v>1.3418899999999998</v>
      </c>
      <c r="W184" s="205">
        <v>1.1755599999999999</v>
      </c>
      <c r="X184" s="205">
        <v>0</v>
      </c>
      <c r="Y184" s="205">
        <v>1.0186500000000001</v>
      </c>
      <c r="Z184" s="205">
        <v>0.99336999999999986</v>
      </c>
      <c r="AA184" s="205">
        <v>0.91024000000000005</v>
      </c>
      <c r="AB184" s="205">
        <v>0.73892000000000002</v>
      </c>
      <c r="AC184" s="205">
        <v>1.2229399999999999</v>
      </c>
      <c r="AD184" s="205">
        <v>1.2719099999999999</v>
      </c>
      <c r="AE184" s="205">
        <v>2.4994699999999996</v>
      </c>
      <c r="AF184" s="205">
        <v>1.2616800000000001</v>
      </c>
      <c r="AG184" s="205">
        <v>1.2567600000000003</v>
      </c>
      <c r="AH184" s="205">
        <v>3.1380599999999998</v>
      </c>
      <c r="AI184" s="205">
        <v>1.7692599999999998</v>
      </c>
      <c r="AJ184" s="205">
        <v>0.55252000000000001</v>
      </c>
      <c r="AK184" s="205">
        <v>1.6459299999999999</v>
      </c>
      <c r="AL184" s="205">
        <v>2.3778699999999997</v>
      </c>
      <c r="AM184" s="205">
        <v>2.60684</v>
      </c>
      <c r="AN184" s="205">
        <v>1.29203</v>
      </c>
      <c r="AO184" s="205">
        <v>1.0178499999999999</v>
      </c>
      <c r="AP184" s="205">
        <v>1.6563400000000001</v>
      </c>
      <c r="AQ184" s="205">
        <v>0.57380999999999993</v>
      </c>
      <c r="AR184" s="205">
        <v>1.3481399999999999</v>
      </c>
      <c r="AS184" s="205">
        <v>1.0722799999999999</v>
      </c>
      <c r="AT184" s="205">
        <v>1.64808</v>
      </c>
      <c r="AU184" s="205">
        <v>1.78373</v>
      </c>
      <c r="AV184" s="205">
        <v>3.2255499999999997</v>
      </c>
      <c r="AW184" s="205">
        <v>7.4565900000000003</v>
      </c>
    </row>
    <row r="185" spans="1:49" hidden="1" outlineLevel="1">
      <c r="H185" s="226" t="s">
        <v>158</v>
      </c>
      <c r="I185" s="226"/>
      <c r="J185" s="204"/>
      <c r="K185" s="204"/>
      <c r="L185" s="204"/>
      <c r="M185" s="205"/>
      <c r="N185" s="205"/>
      <c r="O185" s="205"/>
      <c r="P185" s="204">
        <v>0</v>
      </c>
      <c r="Q185" s="204">
        <v>0</v>
      </c>
      <c r="R185" s="205">
        <v>0</v>
      </c>
      <c r="S185" s="205">
        <v>0</v>
      </c>
      <c r="T185" s="205">
        <v>0</v>
      </c>
      <c r="U185" s="205">
        <v>0</v>
      </c>
      <c r="V185" s="205">
        <v>0</v>
      </c>
      <c r="W185" s="205">
        <v>0</v>
      </c>
      <c r="X185" s="205">
        <v>0</v>
      </c>
      <c r="Y185" s="205">
        <v>0</v>
      </c>
      <c r="Z185" s="205">
        <v>9.7300000000000008E-3</v>
      </c>
      <c r="AA185" s="205">
        <v>0</v>
      </c>
      <c r="AB185" s="205">
        <v>0</v>
      </c>
      <c r="AC185" s="205">
        <v>0</v>
      </c>
      <c r="AD185" s="205">
        <v>0.23566000000000001</v>
      </c>
      <c r="AE185" s="205">
        <v>0.16177</v>
      </c>
      <c r="AF185" s="205">
        <v>0</v>
      </c>
      <c r="AG185" s="205">
        <v>9.9129999999999996E-2</v>
      </c>
      <c r="AH185" s="205">
        <v>0</v>
      </c>
      <c r="AI185" s="205">
        <v>0</v>
      </c>
      <c r="AJ185" s="205">
        <v>0</v>
      </c>
      <c r="AK185" s="205">
        <v>0</v>
      </c>
      <c r="AL185" s="205">
        <v>0</v>
      </c>
      <c r="AM185" s="205">
        <v>0</v>
      </c>
      <c r="AN185" s="205">
        <v>0</v>
      </c>
      <c r="AO185" s="205">
        <v>0</v>
      </c>
      <c r="AP185" s="205">
        <v>0</v>
      </c>
      <c r="AQ185" s="205">
        <v>0</v>
      </c>
      <c r="AR185" s="205">
        <v>0</v>
      </c>
      <c r="AS185" s="205">
        <v>0</v>
      </c>
      <c r="AT185" s="205">
        <v>0</v>
      </c>
      <c r="AU185" s="205">
        <v>0</v>
      </c>
      <c r="AV185" s="205">
        <v>0</v>
      </c>
      <c r="AW185" s="205">
        <v>0</v>
      </c>
    </row>
    <row r="186" spans="1:49" collapsed="1">
      <c r="A186" t="s">
        <v>159</v>
      </c>
      <c r="H186" s="206" t="s">
        <v>159</v>
      </c>
      <c r="I186" s="206"/>
      <c r="J186" s="207">
        <f>SUMIFS($P186:$AW186,$P$3:$AW$3,J$4)</f>
        <v>21.00093</v>
      </c>
      <c r="K186" s="207">
        <f>J186-AE186-AF186</f>
        <v>17.078009999999999</v>
      </c>
      <c r="L186" s="207">
        <f t="shared" ref="L186:N186" si="58">SUMIFS($P186:$AW186,$P$3:$AW$3,L$4)</f>
        <v>11.75197</v>
      </c>
      <c r="M186" s="207">
        <f t="shared" si="58"/>
        <v>11.613250000000001</v>
      </c>
      <c r="N186" s="207">
        <f t="shared" si="58"/>
        <v>7.4565900000000003</v>
      </c>
      <c r="O186" s="208"/>
      <c r="P186" s="207">
        <f>SUBTOTAL(9,P184:P185)</f>
        <v>1.2603</v>
      </c>
      <c r="Q186" s="207">
        <f t="shared" ref="Q186:AW186" si="59">SUBTOTAL(9,Q184:Q185)</f>
        <v>1.2784200000000001</v>
      </c>
      <c r="R186" s="208">
        <f t="shared" si="59"/>
        <v>1.0723100000000001</v>
      </c>
      <c r="S186" s="208">
        <f t="shared" si="59"/>
        <v>0.89231999999999989</v>
      </c>
      <c r="T186" s="208">
        <f t="shared" si="59"/>
        <v>1.0136800000000001</v>
      </c>
      <c r="U186" s="208">
        <f t="shared" si="59"/>
        <v>1.2862199999999999</v>
      </c>
      <c r="V186" s="208">
        <f t="shared" si="59"/>
        <v>1.3418899999999998</v>
      </c>
      <c r="W186" s="208">
        <f t="shared" si="59"/>
        <v>1.1755599999999999</v>
      </c>
      <c r="X186" s="208">
        <f t="shared" si="59"/>
        <v>0</v>
      </c>
      <c r="Y186" s="208">
        <f t="shared" si="59"/>
        <v>1.0186500000000001</v>
      </c>
      <c r="Z186" s="208">
        <f t="shared" si="59"/>
        <v>1.0030999999999999</v>
      </c>
      <c r="AA186" s="208">
        <f t="shared" si="59"/>
        <v>0.91024000000000005</v>
      </c>
      <c r="AB186" s="208">
        <f t="shared" si="59"/>
        <v>0.73892000000000002</v>
      </c>
      <c r="AC186" s="208">
        <f t="shared" si="59"/>
        <v>1.2229399999999999</v>
      </c>
      <c r="AD186" s="208">
        <f t="shared" si="59"/>
        <v>1.5075699999999999</v>
      </c>
      <c r="AE186" s="208">
        <f t="shared" si="59"/>
        <v>2.6612399999999998</v>
      </c>
      <c r="AF186" s="208">
        <f t="shared" si="59"/>
        <v>1.2616800000000001</v>
      </c>
      <c r="AG186" s="208">
        <f t="shared" si="59"/>
        <v>1.3558900000000003</v>
      </c>
      <c r="AH186" s="208">
        <f t="shared" si="59"/>
        <v>3.1380599999999998</v>
      </c>
      <c r="AI186" s="208">
        <f t="shared" si="59"/>
        <v>1.7692599999999998</v>
      </c>
      <c r="AJ186" s="208">
        <f t="shared" si="59"/>
        <v>0.55252000000000001</v>
      </c>
      <c r="AK186" s="208">
        <f t="shared" si="59"/>
        <v>1.6459299999999999</v>
      </c>
      <c r="AL186" s="208">
        <f t="shared" si="59"/>
        <v>2.3778699999999997</v>
      </c>
      <c r="AM186" s="208">
        <f t="shared" si="59"/>
        <v>2.60684</v>
      </c>
      <c r="AN186" s="208">
        <f t="shared" si="59"/>
        <v>1.29203</v>
      </c>
      <c r="AO186" s="208">
        <f t="shared" si="59"/>
        <v>1.0178499999999999</v>
      </c>
      <c r="AP186" s="208">
        <f t="shared" si="59"/>
        <v>1.6563400000000001</v>
      </c>
      <c r="AQ186" s="208">
        <f t="shared" si="59"/>
        <v>0.57380999999999993</v>
      </c>
      <c r="AR186" s="208">
        <f t="shared" si="59"/>
        <v>1.3481399999999999</v>
      </c>
      <c r="AS186" s="208">
        <f t="shared" si="59"/>
        <v>1.0722799999999999</v>
      </c>
      <c r="AT186" s="208">
        <f t="shared" si="59"/>
        <v>1.64808</v>
      </c>
      <c r="AU186" s="208">
        <f t="shared" si="59"/>
        <v>1.78373</v>
      </c>
      <c r="AV186" s="208">
        <f t="shared" si="59"/>
        <v>3.2255499999999997</v>
      </c>
      <c r="AW186" s="208">
        <f t="shared" si="59"/>
        <v>7.4565900000000003</v>
      </c>
    </row>
    <row r="187" spans="1:49" hidden="1" outlineLevel="1">
      <c r="H187" s="226" t="s">
        <v>160</v>
      </c>
      <c r="I187" s="226"/>
      <c r="J187" s="204"/>
      <c r="K187" s="204"/>
      <c r="L187" s="204"/>
      <c r="M187" s="205"/>
      <c r="N187" s="205"/>
      <c r="O187" s="205"/>
      <c r="P187" s="204">
        <v>5.6592000000000002</v>
      </c>
      <c r="Q187" s="204">
        <v>1.58158</v>
      </c>
      <c r="R187" s="205">
        <v>4.7493500000000006</v>
      </c>
      <c r="S187" s="205">
        <v>1.98132</v>
      </c>
      <c r="T187" s="205">
        <v>6.0460599999999998</v>
      </c>
      <c r="U187" s="205">
        <v>3.0711499999999998</v>
      </c>
      <c r="V187" s="205">
        <v>10.96529</v>
      </c>
      <c r="W187" s="205">
        <v>4.1513700000000009</v>
      </c>
      <c r="X187" s="205">
        <v>0</v>
      </c>
      <c r="Y187" s="205">
        <v>2.6731800000000003</v>
      </c>
      <c r="Z187" s="205">
        <v>0.93665999999999983</v>
      </c>
      <c r="AA187" s="205">
        <v>2.0736400000000001</v>
      </c>
      <c r="AB187" s="205">
        <v>2.1133299999999995</v>
      </c>
      <c r="AC187" s="205">
        <v>3.7613400000000001</v>
      </c>
      <c r="AD187" s="205">
        <v>2.20038</v>
      </c>
      <c r="AE187" s="205">
        <v>20.368919999999999</v>
      </c>
      <c r="AF187" s="205">
        <v>0.76488</v>
      </c>
      <c r="AG187" s="205">
        <v>1.0453800000000002</v>
      </c>
      <c r="AH187" s="205">
        <v>1.5428000000000002</v>
      </c>
      <c r="AI187" s="205">
        <v>1.5367000000000002</v>
      </c>
      <c r="AJ187" s="205">
        <v>0</v>
      </c>
      <c r="AK187" s="205">
        <v>0.53725000000000001</v>
      </c>
      <c r="AL187" s="205">
        <v>0.66434000000000004</v>
      </c>
      <c r="AM187" s="205">
        <v>0.48055000000000009</v>
      </c>
      <c r="AN187" s="205">
        <v>0.23506000000000002</v>
      </c>
      <c r="AO187" s="205">
        <v>1.28382</v>
      </c>
      <c r="AP187" s="205">
        <v>1.0685500000000001</v>
      </c>
      <c r="AQ187" s="205">
        <v>3.2000000000000003E-4</v>
      </c>
      <c r="AR187" s="205">
        <v>0.73602000000000001</v>
      </c>
      <c r="AS187" s="205">
        <v>0.19006999999999999</v>
      </c>
      <c r="AT187" s="205">
        <v>1.0256400000000001</v>
      </c>
      <c r="AU187" s="205">
        <v>1.1449800000000001</v>
      </c>
      <c r="AV187" s="205">
        <v>4.2269600000000001</v>
      </c>
      <c r="AW187" s="205">
        <v>0.56818999999999997</v>
      </c>
    </row>
    <row r="188" spans="1:49" hidden="1" outlineLevel="1">
      <c r="H188" s="226" t="s">
        <v>161</v>
      </c>
      <c r="I188" s="226"/>
      <c r="J188" s="204"/>
      <c r="K188" s="204"/>
      <c r="L188" s="204"/>
      <c r="M188" s="205"/>
      <c r="N188" s="205"/>
      <c r="O188" s="205"/>
      <c r="P188" s="204">
        <v>2.56318</v>
      </c>
      <c r="Q188" s="204">
        <v>1.0543199999999999</v>
      </c>
      <c r="R188" s="205">
        <v>1.9983599999999999</v>
      </c>
      <c r="S188" s="205">
        <v>1.65194</v>
      </c>
      <c r="T188" s="205">
        <v>3.77257</v>
      </c>
      <c r="U188" s="205">
        <v>2.0833399999999997</v>
      </c>
      <c r="V188" s="205">
        <v>4.2033900000000006</v>
      </c>
      <c r="W188" s="205">
        <v>2.2661199999999999</v>
      </c>
      <c r="X188" s="205">
        <v>0</v>
      </c>
      <c r="Y188" s="205">
        <v>1.3868399999999999</v>
      </c>
      <c r="Z188" s="205">
        <v>0.89025999999999994</v>
      </c>
      <c r="AA188" s="205">
        <v>0.99763000000000013</v>
      </c>
      <c r="AB188" s="205">
        <v>1.6255800000000002</v>
      </c>
      <c r="AC188" s="205">
        <v>2.6396500000000001</v>
      </c>
      <c r="AD188" s="205">
        <v>2.3468200000000001</v>
      </c>
      <c r="AE188" s="205">
        <v>9.0346700000000002</v>
      </c>
      <c r="AF188" s="205">
        <v>1.4015900000000001</v>
      </c>
      <c r="AG188" s="205">
        <v>1.2517799999999997</v>
      </c>
      <c r="AH188" s="205">
        <v>7.7289200000000013</v>
      </c>
      <c r="AI188" s="205">
        <v>5.8089099999999982</v>
      </c>
      <c r="AJ188" s="205">
        <v>0</v>
      </c>
      <c r="AK188" s="205">
        <v>2.8857499999999998</v>
      </c>
      <c r="AL188" s="205">
        <v>3.6615700000000002</v>
      </c>
      <c r="AM188" s="205">
        <v>4.4285599999999992</v>
      </c>
      <c r="AN188" s="205">
        <v>1.8454099999999996</v>
      </c>
      <c r="AO188" s="205">
        <v>4.2134099999999988</v>
      </c>
      <c r="AP188" s="205">
        <v>3.5138200000000008</v>
      </c>
      <c r="AQ188" s="205">
        <v>4.1540000000000001E-2</v>
      </c>
      <c r="AR188" s="205">
        <v>2.5853299999999999</v>
      </c>
      <c r="AS188" s="205">
        <v>0.91583999999999988</v>
      </c>
      <c r="AT188" s="205">
        <v>3.3185799999999994</v>
      </c>
      <c r="AU188" s="205">
        <v>4.43492</v>
      </c>
      <c r="AV188" s="205">
        <v>11.058769999999999</v>
      </c>
      <c r="AW188" s="205">
        <v>1.73403</v>
      </c>
    </row>
    <row r="189" spans="1:49" hidden="1" outlineLevel="1">
      <c r="H189" s="226" t="s">
        <v>162</v>
      </c>
      <c r="I189" s="226"/>
      <c r="J189" s="204"/>
      <c r="K189" s="204"/>
      <c r="L189" s="204"/>
      <c r="M189" s="205"/>
      <c r="N189" s="205"/>
      <c r="O189" s="205"/>
      <c r="P189" s="204">
        <v>0.56498000000000004</v>
      </c>
      <c r="Q189" s="204">
        <v>0.44056000000000001</v>
      </c>
      <c r="R189" s="205">
        <v>0.39429999999999993</v>
      </c>
      <c r="S189" s="205">
        <v>0.86429000000000011</v>
      </c>
      <c r="T189" s="205">
        <v>0.93054000000000003</v>
      </c>
      <c r="U189" s="205">
        <v>1.0109999999999999</v>
      </c>
      <c r="V189" s="205">
        <v>0.99228000000000005</v>
      </c>
      <c r="W189" s="205">
        <v>1.1255899999999999</v>
      </c>
      <c r="X189" s="205">
        <v>0</v>
      </c>
      <c r="Y189" s="205">
        <v>0.28981999999999991</v>
      </c>
      <c r="Z189" s="205">
        <v>0.46325999999999995</v>
      </c>
      <c r="AA189" s="205">
        <v>0.21632999999999999</v>
      </c>
      <c r="AB189" s="205">
        <v>0.31219999999999992</v>
      </c>
      <c r="AC189" s="205">
        <v>0.64481000000000011</v>
      </c>
      <c r="AD189" s="205">
        <v>0.59984000000000004</v>
      </c>
      <c r="AE189" s="205">
        <v>2.8045600000000004</v>
      </c>
      <c r="AF189" s="205">
        <v>0.14473</v>
      </c>
      <c r="AG189" s="205">
        <v>0.25596000000000002</v>
      </c>
      <c r="AH189" s="205">
        <v>0.27301999999999998</v>
      </c>
      <c r="AI189" s="205">
        <v>0.23188999999999996</v>
      </c>
      <c r="AJ189" s="205">
        <v>0.17852999999999999</v>
      </c>
      <c r="AK189" s="205">
        <v>0.13969999999999999</v>
      </c>
      <c r="AL189" s="205">
        <v>0.18085000000000001</v>
      </c>
      <c r="AM189" s="205">
        <v>0.22456000000000001</v>
      </c>
      <c r="AN189" s="205">
        <v>0.12162999999999999</v>
      </c>
      <c r="AO189" s="205">
        <v>0.33963000000000004</v>
      </c>
      <c r="AP189" s="205">
        <v>0.26824999999999999</v>
      </c>
      <c r="AQ189" s="205">
        <v>1.6000000000000001E-4</v>
      </c>
      <c r="AR189" s="205">
        <v>0.24010000000000001</v>
      </c>
      <c r="AS189" s="205">
        <v>3.465E-2</v>
      </c>
      <c r="AT189" s="205">
        <v>0.31118000000000001</v>
      </c>
      <c r="AU189" s="205">
        <v>0.32807999999999993</v>
      </c>
      <c r="AV189" s="205">
        <v>0.81197000000000008</v>
      </c>
      <c r="AW189" s="205">
        <v>7.9239999999999991E-2</v>
      </c>
    </row>
    <row r="190" spans="1:49" hidden="1" outlineLevel="1">
      <c r="H190" s="226" t="s">
        <v>163</v>
      </c>
      <c r="I190" s="226"/>
      <c r="J190" s="204"/>
      <c r="K190" s="204"/>
      <c r="L190" s="204"/>
      <c r="M190" s="205"/>
      <c r="N190" s="205"/>
      <c r="O190" s="205"/>
      <c r="P190" s="204">
        <v>0</v>
      </c>
      <c r="Q190" s="204">
        <v>0</v>
      </c>
      <c r="R190" s="205">
        <v>0</v>
      </c>
      <c r="S190" s="205">
        <v>0</v>
      </c>
      <c r="T190" s="205">
        <v>0</v>
      </c>
      <c r="U190" s="205">
        <v>0</v>
      </c>
      <c r="V190" s="205">
        <v>0</v>
      </c>
      <c r="W190" s="205">
        <v>0</v>
      </c>
      <c r="X190" s="205">
        <v>0</v>
      </c>
      <c r="Y190" s="205">
        <v>0</v>
      </c>
      <c r="Z190" s="205">
        <v>0</v>
      </c>
      <c r="AA190" s="205">
        <v>0</v>
      </c>
      <c r="AB190" s="205">
        <v>0</v>
      </c>
      <c r="AC190" s="205">
        <v>0</v>
      </c>
      <c r="AD190" s="205">
        <v>0</v>
      </c>
      <c r="AE190" s="205">
        <v>0</v>
      </c>
      <c r="AF190" s="205">
        <v>0</v>
      </c>
      <c r="AG190" s="205">
        <v>0</v>
      </c>
      <c r="AH190" s="205">
        <v>0</v>
      </c>
      <c r="AI190" s="205">
        <v>0</v>
      </c>
      <c r="AJ190" s="205">
        <v>0</v>
      </c>
      <c r="AK190" s="205">
        <v>0</v>
      </c>
      <c r="AL190" s="205">
        <v>0</v>
      </c>
      <c r="AM190" s="205">
        <v>0</v>
      </c>
      <c r="AN190" s="205">
        <v>0</v>
      </c>
      <c r="AO190" s="205">
        <v>0</v>
      </c>
      <c r="AP190" s="205">
        <v>0</v>
      </c>
      <c r="AQ190" s="205">
        <v>0</v>
      </c>
      <c r="AR190" s="205">
        <v>0</v>
      </c>
      <c r="AS190" s="205">
        <v>0</v>
      </c>
      <c r="AT190" s="205">
        <v>0</v>
      </c>
      <c r="AU190" s="205">
        <v>0</v>
      </c>
      <c r="AV190" s="205">
        <v>0</v>
      </c>
      <c r="AW190" s="205">
        <v>0</v>
      </c>
    </row>
    <row r="191" spans="1:49" collapsed="1">
      <c r="A191" t="s">
        <v>164</v>
      </c>
      <c r="H191" s="206" t="s">
        <v>164</v>
      </c>
      <c r="I191" s="206"/>
      <c r="J191" s="207">
        <f>SUMIFS($P191:$AW191,$P$3:$AW$3,J$4)</f>
        <v>127.36612</v>
      </c>
      <c r="K191" s="207">
        <f>J191-AE191-AF191</f>
        <v>92.846769999999992</v>
      </c>
      <c r="L191" s="207">
        <f t="shared" ref="L191:N191" si="60">SUMIFS($P191:$AW191,$P$3:$AW$3,L$4)</f>
        <v>42.050569999999993</v>
      </c>
      <c r="M191" s="207">
        <f t="shared" si="60"/>
        <v>25.128500000000003</v>
      </c>
      <c r="N191" s="207">
        <f t="shared" si="60"/>
        <v>2.3814600000000001</v>
      </c>
      <c r="O191" s="208"/>
      <c r="P191" s="207">
        <f>SUBTOTAL(9,P187:P190)</f>
        <v>8.7873600000000014</v>
      </c>
      <c r="Q191" s="207">
        <f t="shared" ref="Q191:AW191" si="61">SUBTOTAL(9,Q187:Q190)</f>
        <v>3.07646</v>
      </c>
      <c r="R191" s="208">
        <f t="shared" si="61"/>
        <v>7.1420100000000009</v>
      </c>
      <c r="S191" s="208">
        <f t="shared" si="61"/>
        <v>4.4975500000000004</v>
      </c>
      <c r="T191" s="208">
        <f t="shared" si="61"/>
        <v>10.749169999999999</v>
      </c>
      <c r="U191" s="208">
        <f t="shared" si="61"/>
        <v>6.1654899999999992</v>
      </c>
      <c r="V191" s="208">
        <f t="shared" si="61"/>
        <v>16.160959999999999</v>
      </c>
      <c r="W191" s="208">
        <f t="shared" si="61"/>
        <v>7.5430800000000007</v>
      </c>
      <c r="X191" s="208">
        <f t="shared" si="61"/>
        <v>0</v>
      </c>
      <c r="Y191" s="208">
        <f t="shared" si="61"/>
        <v>4.3498399999999995</v>
      </c>
      <c r="Z191" s="208">
        <f t="shared" si="61"/>
        <v>2.2901799999999999</v>
      </c>
      <c r="AA191" s="208">
        <f t="shared" si="61"/>
        <v>3.2876000000000003</v>
      </c>
      <c r="AB191" s="208">
        <f t="shared" si="61"/>
        <v>4.0511099999999995</v>
      </c>
      <c r="AC191" s="208">
        <f t="shared" si="61"/>
        <v>7.0457999999999998</v>
      </c>
      <c r="AD191" s="208">
        <f t="shared" si="61"/>
        <v>5.1470400000000005</v>
      </c>
      <c r="AE191" s="208">
        <f t="shared" si="61"/>
        <v>32.208150000000003</v>
      </c>
      <c r="AF191" s="208">
        <f t="shared" si="61"/>
        <v>2.3112000000000004</v>
      </c>
      <c r="AG191" s="208">
        <f t="shared" si="61"/>
        <v>2.5531199999999998</v>
      </c>
      <c r="AH191" s="208">
        <f t="shared" si="61"/>
        <v>9.5447400000000027</v>
      </c>
      <c r="AI191" s="208">
        <f t="shared" si="61"/>
        <v>7.5774999999999988</v>
      </c>
      <c r="AJ191" s="208">
        <f t="shared" si="61"/>
        <v>0.17852999999999999</v>
      </c>
      <c r="AK191" s="208">
        <f t="shared" si="61"/>
        <v>3.5627</v>
      </c>
      <c r="AL191" s="208">
        <f t="shared" si="61"/>
        <v>4.5067600000000008</v>
      </c>
      <c r="AM191" s="208">
        <f t="shared" si="61"/>
        <v>5.1336699999999995</v>
      </c>
      <c r="AN191" s="208">
        <f t="shared" si="61"/>
        <v>2.2020999999999997</v>
      </c>
      <c r="AO191" s="208">
        <f t="shared" si="61"/>
        <v>5.8368599999999979</v>
      </c>
      <c r="AP191" s="208">
        <f t="shared" si="61"/>
        <v>4.850620000000001</v>
      </c>
      <c r="AQ191" s="208">
        <f t="shared" si="61"/>
        <v>4.2020000000000002E-2</v>
      </c>
      <c r="AR191" s="208">
        <f t="shared" si="61"/>
        <v>3.5614499999999998</v>
      </c>
      <c r="AS191" s="208">
        <f t="shared" si="61"/>
        <v>1.14056</v>
      </c>
      <c r="AT191" s="208">
        <f t="shared" si="61"/>
        <v>4.6554000000000002</v>
      </c>
      <c r="AU191" s="208">
        <f t="shared" si="61"/>
        <v>5.9079800000000002</v>
      </c>
      <c r="AV191" s="208">
        <f t="shared" si="61"/>
        <v>16.0977</v>
      </c>
      <c r="AW191" s="208">
        <f t="shared" si="61"/>
        <v>2.3814600000000001</v>
      </c>
    </row>
    <row r="192" spans="1:49" hidden="1" outlineLevel="1">
      <c r="H192" s="226" t="s">
        <v>165</v>
      </c>
      <c r="I192" s="226"/>
      <c r="J192" s="204"/>
      <c r="K192" s="204"/>
      <c r="L192" s="204"/>
      <c r="M192" s="205"/>
      <c r="N192" s="205"/>
      <c r="O192" s="205"/>
      <c r="P192" s="204">
        <v>0.1043</v>
      </c>
      <c r="Q192" s="204">
        <v>0</v>
      </c>
      <c r="R192" s="205">
        <v>0</v>
      </c>
      <c r="S192" s="205">
        <v>0</v>
      </c>
      <c r="T192" s="205">
        <v>9.3569999999999987E-2</v>
      </c>
      <c r="U192" s="205">
        <v>0</v>
      </c>
      <c r="V192" s="205">
        <v>0</v>
      </c>
      <c r="W192" s="205">
        <v>0</v>
      </c>
      <c r="X192" s="205">
        <v>0</v>
      </c>
      <c r="Y192" s="205">
        <v>0</v>
      </c>
      <c r="Z192" s="205">
        <v>0</v>
      </c>
      <c r="AA192" s="205">
        <v>0</v>
      </c>
      <c r="AB192" s="205">
        <v>1.0240000000000001E-2</v>
      </c>
      <c r="AC192" s="205">
        <v>0</v>
      </c>
      <c r="AD192" s="205">
        <v>0.22153999999999999</v>
      </c>
      <c r="AE192" s="205">
        <v>0.2</v>
      </c>
      <c r="AF192" s="205">
        <v>0</v>
      </c>
      <c r="AG192" s="205">
        <v>0</v>
      </c>
      <c r="AH192" s="205">
        <v>0</v>
      </c>
      <c r="AI192" s="205">
        <v>2.29E-2</v>
      </c>
      <c r="AJ192" s="205">
        <v>0</v>
      </c>
      <c r="AK192" s="205">
        <v>3.6229999999999998E-2</v>
      </c>
      <c r="AL192" s="205">
        <v>0</v>
      </c>
      <c r="AM192" s="205">
        <v>0.26402999999999999</v>
      </c>
      <c r="AN192" s="205">
        <v>0</v>
      </c>
      <c r="AO192" s="205">
        <v>0</v>
      </c>
      <c r="AP192" s="205">
        <v>0</v>
      </c>
      <c r="AQ192" s="205">
        <v>0</v>
      </c>
      <c r="AR192" s="205">
        <v>0</v>
      </c>
      <c r="AS192" s="205">
        <v>0.15772999999999998</v>
      </c>
      <c r="AT192" s="205">
        <v>0</v>
      </c>
      <c r="AU192" s="205">
        <v>0</v>
      </c>
      <c r="AV192" s="205">
        <v>0</v>
      </c>
      <c r="AW192" s="205">
        <v>0.1976</v>
      </c>
    </row>
    <row r="193" spans="1:49" hidden="1" outlineLevel="1">
      <c r="H193" s="226" t="s">
        <v>166</v>
      </c>
      <c r="I193" s="226"/>
      <c r="J193" s="204"/>
      <c r="K193" s="204"/>
      <c r="L193" s="204"/>
      <c r="M193" s="205"/>
      <c r="N193" s="205"/>
      <c r="O193" s="205"/>
      <c r="P193" s="204">
        <v>0</v>
      </c>
      <c r="Q193" s="204">
        <v>0</v>
      </c>
      <c r="R193" s="205">
        <v>0</v>
      </c>
      <c r="S193" s="205">
        <v>0</v>
      </c>
      <c r="T193" s="205">
        <v>0</v>
      </c>
      <c r="U193" s="205">
        <v>0</v>
      </c>
      <c r="V193" s="205">
        <v>0</v>
      </c>
      <c r="W193" s="205">
        <v>0</v>
      </c>
      <c r="X193" s="205">
        <v>0</v>
      </c>
      <c r="Y193" s="205">
        <v>0</v>
      </c>
      <c r="Z193" s="205">
        <v>0</v>
      </c>
      <c r="AA193" s="205">
        <v>0</v>
      </c>
      <c r="AB193" s="205">
        <v>0</v>
      </c>
      <c r="AC193" s="205">
        <v>0</v>
      </c>
      <c r="AD193" s="205">
        <v>0</v>
      </c>
      <c r="AE193" s="205">
        <v>0</v>
      </c>
      <c r="AF193" s="205">
        <v>0</v>
      </c>
      <c r="AG193" s="205">
        <v>0</v>
      </c>
      <c r="AH193" s="205">
        <v>0</v>
      </c>
      <c r="AI193" s="205">
        <v>0</v>
      </c>
      <c r="AJ193" s="205">
        <v>0</v>
      </c>
      <c r="AK193" s="205">
        <v>0</v>
      </c>
      <c r="AL193" s="205">
        <v>0</v>
      </c>
      <c r="AM193" s="205">
        <v>0</v>
      </c>
      <c r="AN193" s="205">
        <v>0</v>
      </c>
      <c r="AO193" s="205">
        <v>0</v>
      </c>
      <c r="AP193" s="205">
        <v>0</v>
      </c>
      <c r="AQ193" s="205">
        <v>0</v>
      </c>
      <c r="AR193" s="205">
        <v>0</v>
      </c>
      <c r="AS193" s="205">
        <v>0</v>
      </c>
      <c r="AT193" s="205">
        <v>0</v>
      </c>
      <c r="AU193" s="205">
        <v>0</v>
      </c>
      <c r="AV193" s="205">
        <v>0</v>
      </c>
      <c r="AW193" s="205">
        <v>0</v>
      </c>
    </row>
    <row r="194" spans="1:49" hidden="1" outlineLevel="1">
      <c r="H194" s="226" t="s">
        <v>167</v>
      </c>
      <c r="I194" s="226"/>
      <c r="J194" s="204"/>
      <c r="K194" s="204"/>
      <c r="L194" s="204"/>
      <c r="M194" s="205"/>
      <c r="N194" s="205"/>
      <c r="O194" s="205"/>
      <c r="P194" s="204">
        <v>0</v>
      </c>
      <c r="Q194" s="204">
        <v>0</v>
      </c>
      <c r="R194" s="205">
        <v>0</v>
      </c>
      <c r="S194" s="205">
        <v>0</v>
      </c>
      <c r="T194" s="205">
        <v>0</v>
      </c>
      <c r="U194" s="205">
        <v>0</v>
      </c>
      <c r="V194" s="205">
        <v>0</v>
      </c>
      <c r="W194" s="205">
        <v>0</v>
      </c>
      <c r="X194" s="205">
        <v>0</v>
      </c>
      <c r="Y194" s="205">
        <v>0</v>
      </c>
      <c r="Z194" s="205">
        <v>0</v>
      </c>
      <c r="AA194" s="205">
        <v>0</v>
      </c>
      <c r="AB194" s="205">
        <v>0</v>
      </c>
      <c r="AC194" s="205">
        <v>0</v>
      </c>
      <c r="AD194" s="205">
        <v>0</v>
      </c>
      <c r="AE194" s="205">
        <v>0</v>
      </c>
      <c r="AF194" s="205">
        <v>0</v>
      </c>
      <c r="AG194" s="205">
        <v>0</v>
      </c>
      <c r="AH194" s="205">
        <v>0</v>
      </c>
      <c r="AI194" s="205">
        <v>0</v>
      </c>
      <c r="AJ194" s="205">
        <v>0</v>
      </c>
      <c r="AK194" s="205">
        <v>0</v>
      </c>
      <c r="AL194" s="205">
        <v>0</v>
      </c>
      <c r="AM194" s="205">
        <v>0</v>
      </c>
      <c r="AN194" s="205">
        <v>0</v>
      </c>
      <c r="AO194" s="205">
        <v>0</v>
      </c>
      <c r="AP194" s="205">
        <v>0</v>
      </c>
      <c r="AQ194" s="205">
        <v>0</v>
      </c>
      <c r="AR194" s="205">
        <v>0</v>
      </c>
      <c r="AS194" s="205">
        <v>0</v>
      </c>
      <c r="AT194" s="205">
        <v>0</v>
      </c>
      <c r="AU194" s="205">
        <v>0</v>
      </c>
      <c r="AV194" s="205">
        <v>0</v>
      </c>
      <c r="AW194" s="205">
        <v>0</v>
      </c>
    </row>
    <row r="195" spans="1:49" hidden="1" outlineLevel="1">
      <c r="H195" s="226" t="s">
        <v>168</v>
      </c>
      <c r="I195" s="226"/>
      <c r="J195" s="204"/>
      <c r="K195" s="204"/>
      <c r="L195" s="204"/>
      <c r="M195" s="205"/>
      <c r="N195" s="205"/>
      <c r="O195" s="205"/>
      <c r="P195" s="204">
        <v>0</v>
      </c>
      <c r="Q195" s="204">
        <v>0</v>
      </c>
      <c r="R195" s="205">
        <v>0</v>
      </c>
      <c r="S195" s="205">
        <v>0</v>
      </c>
      <c r="T195" s="205">
        <v>0</v>
      </c>
      <c r="U195" s="205">
        <v>0</v>
      </c>
      <c r="V195" s="205">
        <v>0</v>
      </c>
      <c r="W195" s="205">
        <v>0</v>
      </c>
      <c r="X195" s="205">
        <v>0</v>
      </c>
      <c r="Y195" s="205">
        <v>0</v>
      </c>
      <c r="Z195" s="205">
        <v>0</v>
      </c>
      <c r="AA195" s="205">
        <v>0</v>
      </c>
      <c r="AB195" s="205">
        <v>0</v>
      </c>
      <c r="AC195" s="205">
        <v>0</v>
      </c>
      <c r="AD195" s="205">
        <v>0</v>
      </c>
      <c r="AE195" s="205">
        <v>0</v>
      </c>
      <c r="AF195" s="205">
        <v>0</v>
      </c>
      <c r="AG195" s="205">
        <v>0</v>
      </c>
      <c r="AH195" s="205">
        <v>0</v>
      </c>
      <c r="AI195" s="205">
        <v>0</v>
      </c>
      <c r="AJ195" s="205">
        <v>0</v>
      </c>
      <c r="AK195" s="205">
        <v>0</v>
      </c>
      <c r="AL195" s="205">
        <v>0</v>
      </c>
      <c r="AM195" s="205">
        <v>0</v>
      </c>
      <c r="AN195" s="205">
        <v>0</v>
      </c>
      <c r="AO195" s="205">
        <v>0.19169999999999998</v>
      </c>
      <c r="AP195" s="205">
        <v>3.6600000000000001E-3</v>
      </c>
      <c r="AQ195" s="205">
        <v>0</v>
      </c>
      <c r="AR195" s="205">
        <v>2.0299999999999997E-3</v>
      </c>
      <c r="AS195" s="205">
        <v>1.48E-3</v>
      </c>
      <c r="AT195" s="205">
        <v>4.3699999999999998E-3</v>
      </c>
      <c r="AU195" s="205">
        <v>7.4000000000000003E-3</v>
      </c>
      <c r="AV195" s="205">
        <v>1.141E-2</v>
      </c>
      <c r="AW195" s="205">
        <v>0</v>
      </c>
    </row>
    <row r="196" spans="1:49" hidden="1" outlineLevel="1">
      <c r="H196" s="226" t="s">
        <v>169</v>
      </c>
      <c r="I196" s="226"/>
      <c r="J196" s="204"/>
      <c r="K196" s="204"/>
      <c r="L196" s="204"/>
      <c r="M196" s="205"/>
      <c r="N196" s="205"/>
      <c r="O196" s="205"/>
      <c r="P196" s="204">
        <v>0</v>
      </c>
      <c r="Q196" s="204">
        <v>0</v>
      </c>
      <c r="R196" s="205">
        <v>0</v>
      </c>
      <c r="S196" s="205">
        <v>0</v>
      </c>
      <c r="T196" s="205">
        <v>0</v>
      </c>
      <c r="U196" s="205">
        <v>0</v>
      </c>
      <c r="V196" s="205">
        <v>0</v>
      </c>
      <c r="W196" s="205">
        <v>0</v>
      </c>
      <c r="X196" s="205">
        <v>0</v>
      </c>
      <c r="Y196" s="205">
        <v>0</v>
      </c>
      <c r="Z196" s="205">
        <v>0</v>
      </c>
      <c r="AA196" s="205">
        <v>0</v>
      </c>
      <c r="AB196" s="205">
        <v>0</v>
      </c>
      <c r="AC196" s="205">
        <v>0</v>
      </c>
      <c r="AD196" s="205">
        <v>0</v>
      </c>
      <c r="AE196" s="205">
        <v>0</v>
      </c>
      <c r="AF196" s="205">
        <v>0</v>
      </c>
      <c r="AG196" s="205">
        <v>0</v>
      </c>
      <c r="AH196" s="205">
        <v>0</v>
      </c>
      <c r="AI196" s="205">
        <v>0</v>
      </c>
      <c r="AJ196" s="205">
        <v>0</v>
      </c>
      <c r="AK196" s="205">
        <v>0</v>
      </c>
      <c r="AL196" s="205">
        <v>0</v>
      </c>
      <c r="AM196" s="205">
        <v>0</v>
      </c>
      <c r="AN196" s="205">
        <v>0</v>
      </c>
      <c r="AO196" s="205">
        <v>0</v>
      </c>
      <c r="AP196" s="205">
        <v>0</v>
      </c>
      <c r="AQ196" s="205">
        <v>0</v>
      </c>
      <c r="AR196" s="205">
        <v>0</v>
      </c>
      <c r="AS196" s="205">
        <v>0</v>
      </c>
      <c r="AT196" s="205">
        <v>0</v>
      </c>
      <c r="AU196" s="205">
        <v>0</v>
      </c>
      <c r="AV196" s="205">
        <v>0</v>
      </c>
      <c r="AW196" s="205">
        <v>0</v>
      </c>
    </row>
    <row r="197" spans="1:49" collapsed="1">
      <c r="A197" t="s">
        <v>170</v>
      </c>
      <c r="H197" s="206" t="s">
        <v>170</v>
      </c>
      <c r="I197" s="206"/>
      <c r="J197" s="207">
        <f>SUMIFS($P197:$AW197,$P$3:$AW$3,J$4)</f>
        <v>0.62965000000000004</v>
      </c>
      <c r="K197" s="207">
        <f>J197-AE197-AF197</f>
        <v>0.42965000000000003</v>
      </c>
      <c r="L197" s="207">
        <f t="shared" ref="L197:N197" si="62">SUMIFS($P197:$AW197,$P$3:$AW$3,L$4)</f>
        <v>0.37977999999999995</v>
      </c>
      <c r="M197" s="207">
        <f t="shared" si="62"/>
        <v>0.30025999999999997</v>
      </c>
      <c r="N197" s="207">
        <f t="shared" si="62"/>
        <v>0.1976</v>
      </c>
      <c r="O197" s="208"/>
      <c r="P197" s="207">
        <f>SUBTOTAL(9,P192:P196)</f>
        <v>0.1043</v>
      </c>
      <c r="Q197" s="207">
        <f t="shared" ref="Q197:AW197" si="63">SUBTOTAL(9,Q192:Q196)</f>
        <v>0</v>
      </c>
      <c r="R197" s="208">
        <f t="shared" si="63"/>
        <v>0</v>
      </c>
      <c r="S197" s="208">
        <f t="shared" si="63"/>
        <v>0</v>
      </c>
      <c r="T197" s="208">
        <f t="shared" si="63"/>
        <v>9.3569999999999987E-2</v>
      </c>
      <c r="U197" s="208">
        <f t="shared" si="63"/>
        <v>0</v>
      </c>
      <c r="V197" s="208">
        <f t="shared" si="63"/>
        <v>0</v>
      </c>
      <c r="W197" s="208">
        <f t="shared" si="63"/>
        <v>0</v>
      </c>
      <c r="X197" s="208">
        <f t="shared" si="63"/>
        <v>0</v>
      </c>
      <c r="Y197" s="208">
        <f t="shared" si="63"/>
        <v>0</v>
      </c>
      <c r="Z197" s="208">
        <f t="shared" si="63"/>
        <v>0</v>
      </c>
      <c r="AA197" s="208">
        <f t="shared" si="63"/>
        <v>0</v>
      </c>
      <c r="AB197" s="208">
        <f t="shared" si="63"/>
        <v>1.0240000000000001E-2</v>
      </c>
      <c r="AC197" s="208">
        <f t="shared" si="63"/>
        <v>0</v>
      </c>
      <c r="AD197" s="208">
        <f t="shared" si="63"/>
        <v>0.22153999999999999</v>
      </c>
      <c r="AE197" s="208">
        <f t="shared" si="63"/>
        <v>0.2</v>
      </c>
      <c r="AF197" s="208">
        <f t="shared" si="63"/>
        <v>0</v>
      </c>
      <c r="AG197" s="208">
        <f t="shared" si="63"/>
        <v>0</v>
      </c>
      <c r="AH197" s="208">
        <f t="shared" si="63"/>
        <v>0</v>
      </c>
      <c r="AI197" s="208">
        <f t="shared" si="63"/>
        <v>2.29E-2</v>
      </c>
      <c r="AJ197" s="208">
        <f t="shared" si="63"/>
        <v>0</v>
      </c>
      <c r="AK197" s="208">
        <f t="shared" si="63"/>
        <v>3.6229999999999998E-2</v>
      </c>
      <c r="AL197" s="208">
        <f t="shared" si="63"/>
        <v>0</v>
      </c>
      <c r="AM197" s="208">
        <f t="shared" si="63"/>
        <v>0.26402999999999999</v>
      </c>
      <c r="AN197" s="208">
        <f t="shared" si="63"/>
        <v>0</v>
      </c>
      <c r="AO197" s="208">
        <f t="shared" si="63"/>
        <v>0.19169999999999998</v>
      </c>
      <c r="AP197" s="208">
        <f t="shared" si="63"/>
        <v>3.6600000000000001E-3</v>
      </c>
      <c r="AQ197" s="208">
        <f t="shared" si="63"/>
        <v>0</v>
      </c>
      <c r="AR197" s="208">
        <f t="shared" si="63"/>
        <v>2.0299999999999997E-3</v>
      </c>
      <c r="AS197" s="208">
        <f t="shared" si="63"/>
        <v>0.15920999999999999</v>
      </c>
      <c r="AT197" s="208">
        <f t="shared" si="63"/>
        <v>4.3699999999999998E-3</v>
      </c>
      <c r="AU197" s="208">
        <f t="shared" si="63"/>
        <v>7.4000000000000003E-3</v>
      </c>
      <c r="AV197" s="208">
        <f t="shared" si="63"/>
        <v>1.141E-2</v>
      </c>
      <c r="AW197" s="208">
        <f t="shared" si="63"/>
        <v>0.1976</v>
      </c>
    </row>
    <row r="198" spans="1:49" hidden="1" outlineLevel="1">
      <c r="H198" s="226" t="s">
        <v>171</v>
      </c>
      <c r="I198" s="226"/>
      <c r="J198" s="204"/>
      <c r="K198" s="204"/>
      <c r="L198" s="204"/>
      <c r="M198" s="205"/>
      <c r="N198" s="205"/>
      <c r="O198" s="205"/>
      <c r="P198" s="204">
        <v>56.482249999999993</v>
      </c>
      <c r="Q198" s="204">
        <v>28.883790000000001</v>
      </c>
      <c r="R198" s="205">
        <v>71.483239999999995</v>
      </c>
      <c r="S198" s="205">
        <v>112.45168000000002</v>
      </c>
      <c r="T198" s="205">
        <v>80.136030000000005</v>
      </c>
      <c r="U198" s="205">
        <v>87.051860000000005</v>
      </c>
      <c r="V198" s="205">
        <v>80.752020000000002</v>
      </c>
      <c r="W198" s="205">
        <v>66.993110000000001</v>
      </c>
      <c r="X198" s="205">
        <v>0</v>
      </c>
      <c r="Y198" s="205">
        <v>32.141510000000004</v>
      </c>
      <c r="Z198" s="205">
        <v>52.807220000000001</v>
      </c>
      <c r="AA198" s="205">
        <v>43.052690000000013</v>
      </c>
      <c r="AB198" s="205">
        <v>51.838620000000013</v>
      </c>
      <c r="AC198" s="205">
        <v>88.336880000000008</v>
      </c>
      <c r="AD198" s="205">
        <v>33.482800000000012</v>
      </c>
      <c r="AE198" s="205">
        <v>146.12821000000002</v>
      </c>
      <c r="AF198" s="205">
        <v>0</v>
      </c>
      <c r="AG198" s="205">
        <v>31.057159999999996</v>
      </c>
      <c r="AH198" s="205">
        <v>106.92043000000002</v>
      </c>
      <c r="AI198" s="205">
        <v>32.677489999999999</v>
      </c>
      <c r="AJ198" s="205">
        <v>62.756130000000013</v>
      </c>
      <c r="AK198" s="205">
        <v>15.006960000000001</v>
      </c>
      <c r="AL198" s="205">
        <v>1.9681600000000004</v>
      </c>
      <c r="AM198" s="205">
        <v>46.291369999999993</v>
      </c>
      <c r="AN198" s="205">
        <v>20.852130000000002</v>
      </c>
      <c r="AO198" s="205">
        <v>121.05365999999999</v>
      </c>
      <c r="AP198" s="205">
        <v>169.05902999999998</v>
      </c>
      <c r="AQ198" s="205">
        <v>33.013280000000002</v>
      </c>
      <c r="AR198" s="205">
        <v>50.840649999999997</v>
      </c>
      <c r="AS198" s="205">
        <v>49.509879999999995</v>
      </c>
      <c r="AT198" s="205">
        <v>62.997470000000007</v>
      </c>
      <c r="AU198" s="205">
        <v>118.06152999999999</v>
      </c>
      <c r="AV198" s="205">
        <v>138.17867000000001</v>
      </c>
      <c r="AW198" s="205">
        <v>61.86045</v>
      </c>
    </row>
    <row r="199" spans="1:49" hidden="1" outlineLevel="1">
      <c r="H199" s="226" t="s">
        <v>172</v>
      </c>
      <c r="I199" s="226"/>
      <c r="J199" s="204"/>
      <c r="K199" s="204"/>
      <c r="L199" s="204"/>
      <c r="M199" s="205"/>
      <c r="N199" s="205"/>
      <c r="O199" s="205"/>
      <c r="P199" s="204">
        <v>0</v>
      </c>
      <c r="Q199" s="204">
        <v>0</v>
      </c>
      <c r="R199" s="205">
        <v>0</v>
      </c>
      <c r="S199" s="205">
        <v>0</v>
      </c>
      <c r="T199" s="205">
        <v>0</v>
      </c>
      <c r="U199" s="205">
        <v>0</v>
      </c>
      <c r="V199" s="205">
        <v>0</v>
      </c>
      <c r="W199" s="205">
        <v>0</v>
      </c>
      <c r="X199" s="205">
        <v>0</v>
      </c>
      <c r="Y199" s="205">
        <v>0</v>
      </c>
      <c r="Z199" s="205">
        <v>0</v>
      </c>
      <c r="AA199" s="205">
        <v>0</v>
      </c>
      <c r="AB199" s="205">
        <v>0</v>
      </c>
      <c r="AC199" s="205">
        <v>0</v>
      </c>
      <c r="AD199" s="205">
        <v>0</v>
      </c>
      <c r="AE199" s="205">
        <v>0</v>
      </c>
      <c r="AF199" s="205">
        <v>0</v>
      </c>
      <c r="AG199" s="205">
        <v>0</v>
      </c>
      <c r="AH199" s="205">
        <v>0</v>
      </c>
      <c r="AI199" s="205">
        <v>0</v>
      </c>
      <c r="AJ199" s="205">
        <v>0</v>
      </c>
      <c r="AK199" s="205">
        <v>0</v>
      </c>
      <c r="AL199" s="205">
        <v>0</v>
      </c>
      <c r="AM199" s="205">
        <v>0</v>
      </c>
      <c r="AN199" s="205">
        <v>0</v>
      </c>
      <c r="AO199" s="205">
        <v>0</v>
      </c>
      <c r="AP199" s="205">
        <v>0</v>
      </c>
      <c r="AQ199" s="205">
        <v>0</v>
      </c>
      <c r="AR199" s="205">
        <v>0</v>
      </c>
      <c r="AS199" s="205">
        <v>0</v>
      </c>
      <c r="AT199" s="205">
        <v>0</v>
      </c>
      <c r="AU199" s="205">
        <v>0</v>
      </c>
      <c r="AV199" s="205">
        <v>0</v>
      </c>
      <c r="AW199" s="205">
        <v>0.65500000000000003</v>
      </c>
    </row>
    <row r="200" spans="1:49" hidden="1" outlineLevel="1">
      <c r="H200" s="226" t="s">
        <v>173</v>
      </c>
      <c r="I200" s="226"/>
      <c r="J200" s="204"/>
      <c r="K200" s="204"/>
      <c r="L200" s="204"/>
      <c r="M200" s="205"/>
      <c r="N200" s="205"/>
      <c r="O200" s="205"/>
      <c r="P200" s="204">
        <v>16.797689999999999</v>
      </c>
      <c r="Q200" s="204">
        <v>5.5869199999999992</v>
      </c>
      <c r="R200" s="205">
        <v>14.163450000000001</v>
      </c>
      <c r="S200" s="205">
        <v>14.35679</v>
      </c>
      <c r="T200" s="205">
        <v>26.079600000000003</v>
      </c>
      <c r="U200" s="205">
        <v>17.833200000000001</v>
      </c>
      <c r="V200" s="205">
        <v>30.015060000000005</v>
      </c>
      <c r="W200" s="205">
        <v>17.003459999999997</v>
      </c>
      <c r="X200" s="205">
        <v>5.5276999999999994</v>
      </c>
      <c r="Y200" s="205">
        <v>8.6522300000000012</v>
      </c>
      <c r="Z200" s="205">
        <v>8.6383700000000001</v>
      </c>
      <c r="AA200" s="205">
        <v>5.7899899999999995</v>
      </c>
      <c r="AB200" s="205">
        <v>12.70032</v>
      </c>
      <c r="AC200" s="205">
        <v>21.488869999999999</v>
      </c>
      <c r="AD200" s="205">
        <v>19.626950000000001</v>
      </c>
      <c r="AE200" s="205">
        <v>49.622740000000007</v>
      </c>
      <c r="AF200" s="205">
        <v>6.9494400000000009</v>
      </c>
      <c r="AG200" s="205">
        <v>6.0377400000000003</v>
      </c>
      <c r="AH200" s="205">
        <v>26.076329999999999</v>
      </c>
      <c r="AI200" s="205">
        <v>17.059829999999998</v>
      </c>
      <c r="AJ200" s="205">
        <v>0</v>
      </c>
      <c r="AK200" s="205">
        <v>7.6669100000000006</v>
      </c>
      <c r="AL200" s="205">
        <v>15.797089999999999</v>
      </c>
      <c r="AM200" s="205">
        <v>15.45022</v>
      </c>
      <c r="AN200" s="205">
        <v>4.9457100000000001</v>
      </c>
      <c r="AO200" s="205">
        <v>21.215160000000001</v>
      </c>
      <c r="AP200" s="205">
        <v>19.181060000000002</v>
      </c>
      <c r="AQ200" s="205">
        <v>10.67609</v>
      </c>
      <c r="AR200" s="205">
        <v>13.25451</v>
      </c>
      <c r="AS200" s="205">
        <v>6.9823000000000004</v>
      </c>
      <c r="AT200" s="205">
        <v>16.563759999999998</v>
      </c>
      <c r="AU200" s="205">
        <v>22.529870000000003</v>
      </c>
      <c r="AV200" s="205">
        <v>52.537470000000006</v>
      </c>
      <c r="AW200" s="205">
        <v>0</v>
      </c>
    </row>
    <row r="201" spans="1:49" hidden="1" outlineLevel="1">
      <c r="H201" s="203" t="s">
        <v>174</v>
      </c>
      <c r="I201" s="203"/>
      <c r="J201" s="204"/>
      <c r="K201" s="204"/>
      <c r="L201" s="204"/>
      <c r="M201" s="205"/>
      <c r="N201" s="205"/>
      <c r="O201" s="205"/>
      <c r="P201" s="204">
        <v>0</v>
      </c>
      <c r="Q201" s="204">
        <v>0</v>
      </c>
      <c r="R201" s="205">
        <v>0</v>
      </c>
      <c r="S201" s="205">
        <v>0</v>
      </c>
      <c r="T201" s="205">
        <v>0</v>
      </c>
      <c r="U201" s="205">
        <v>0</v>
      </c>
      <c r="V201" s="205">
        <v>0</v>
      </c>
      <c r="W201" s="205">
        <v>0</v>
      </c>
      <c r="X201" s="205">
        <v>0</v>
      </c>
      <c r="Y201" s="205">
        <v>0</v>
      </c>
      <c r="Z201" s="205">
        <v>0</v>
      </c>
      <c r="AA201" s="205">
        <v>0</v>
      </c>
      <c r="AB201" s="205">
        <v>0</v>
      </c>
      <c r="AC201" s="205">
        <v>0</v>
      </c>
      <c r="AD201" s="205">
        <v>0</v>
      </c>
      <c r="AE201" s="205">
        <v>0</v>
      </c>
      <c r="AF201" s="205">
        <v>0</v>
      </c>
      <c r="AG201" s="205">
        <v>0</v>
      </c>
      <c r="AH201" s="205">
        <v>0</v>
      </c>
      <c r="AI201" s="205">
        <v>0</v>
      </c>
      <c r="AJ201" s="205">
        <v>0</v>
      </c>
      <c r="AK201" s="205">
        <v>0</v>
      </c>
      <c r="AL201" s="205">
        <v>0</v>
      </c>
      <c r="AM201" s="205">
        <v>0</v>
      </c>
      <c r="AN201" s="205">
        <v>0</v>
      </c>
      <c r="AO201" s="205">
        <v>0</v>
      </c>
      <c r="AP201" s="205">
        <v>0</v>
      </c>
      <c r="AQ201" s="205">
        <v>0</v>
      </c>
      <c r="AR201" s="205">
        <v>0</v>
      </c>
      <c r="AS201" s="205">
        <v>0</v>
      </c>
      <c r="AT201" s="205">
        <v>0</v>
      </c>
      <c r="AU201" s="205">
        <v>0</v>
      </c>
      <c r="AV201" s="205">
        <v>0</v>
      </c>
      <c r="AW201" s="205">
        <v>0</v>
      </c>
    </row>
    <row r="202" spans="1:49" collapsed="1">
      <c r="A202" t="s">
        <v>175</v>
      </c>
      <c r="H202" s="206" t="s">
        <v>175</v>
      </c>
      <c r="I202" s="206"/>
      <c r="J202" s="207">
        <f>SUMIFS($P202:$AW202,$P$3:$AW$3,J$4)</f>
        <v>1349.9495900000004</v>
      </c>
      <c r="K202" s="207">
        <f>J202-AE202-AF202</f>
        <v>1147.2492000000002</v>
      </c>
      <c r="L202" s="207">
        <f t="shared" ref="L202:N202" si="64">SUMIFS($P202:$AW202,$P$3:$AW$3,L$4)</f>
        <v>861.96501999999998</v>
      </c>
      <c r="M202" s="207">
        <f t="shared" si="64"/>
        <v>323.73144000000002</v>
      </c>
      <c r="N202" s="207">
        <f t="shared" si="64"/>
        <v>62.515450000000001</v>
      </c>
      <c r="O202" s="208"/>
      <c r="P202" s="207">
        <f>SUBTOTAL(9,P198:P201)</f>
        <v>73.279939999999996</v>
      </c>
      <c r="Q202" s="207">
        <f t="shared" ref="Q202:AW202" si="65">SUBTOTAL(9,Q198:Q201)</f>
        <v>34.470709999999997</v>
      </c>
      <c r="R202" s="208">
        <f t="shared" si="65"/>
        <v>85.646689999999992</v>
      </c>
      <c r="S202" s="208">
        <f t="shared" si="65"/>
        <v>126.80847000000003</v>
      </c>
      <c r="T202" s="208">
        <f t="shared" si="65"/>
        <v>106.21563</v>
      </c>
      <c r="U202" s="208">
        <f t="shared" si="65"/>
        <v>104.88506000000001</v>
      </c>
      <c r="V202" s="208">
        <f t="shared" si="65"/>
        <v>110.76708000000001</v>
      </c>
      <c r="W202" s="208">
        <f t="shared" si="65"/>
        <v>83.996569999999991</v>
      </c>
      <c r="X202" s="208">
        <f t="shared" si="65"/>
        <v>5.5276999999999994</v>
      </c>
      <c r="Y202" s="208">
        <f t="shared" si="65"/>
        <v>40.793740000000007</v>
      </c>
      <c r="Z202" s="208">
        <f t="shared" si="65"/>
        <v>61.445590000000003</v>
      </c>
      <c r="AA202" s="208">
        <f t="shared" si="65"/>
        <v>48.842680000000016</v>
      </c>
      <c r="AB202" s="208">
        <f t="shared" si="65"/>
        <v>64.538940000000011</v>
      </c>
      <c r="AC202" s="208">
        <f t="shared" si="65"/>
        <v>109.82575</v>
      </c>
      <c r="AD202" s="208">
        <f t="shared" si="65"/>
        <v>53.109750000000012</v>
      </c>
      <c r="AE202" s="208">
        <f t="shared" si="65"/>
        <v>195.75095000000005</v>
      </c>
      <c r="AF202" s="208">
        <f t="shared" si="65"/>
        <v>6.9494400000000009</v>
      </c>
      <c r="AG202" s="208">
        <f t="shared" si="65"/>
        <v>37.094899999999996</v>
      </c>
      <c r="AH202" s="208">
        <f t="shared" si="65"/>
        <v>132.99676000000002</v>
      </c>
      <c r="AI202" s="208">
        <f t="shared" si="65"/>
        <v>49.737319999999997</v>
      </c>
      <c r="AJ202" s="208">
        <f t="shared" si="65"/>
        <v>62.756130000000013</v>
      </c>
      <c r="AK202" s="208">
        <f t="shared" si="65"/>
        <v>22.673870000000001</v>
      </c>
      <c r="AL202" s="208">
        <f t="shared" si="65"/>
        <v>17.765249999999998</v>
      </c>
      <c r="AM202" s="208">
        <f t="shared" si="65"/>
        <v>61.741589999999995</v>
      </c>
      <c r="AN202" s="208">
        <f t="shared" si="65"/>
        <v>25.797840000000001</v>
      </c>
      <c r="AO202" s="208">
        <f t="shared" si="65"/>
        <v>142.26882000000001</v>
      </c>
      <c r="AP202" s="208">
        <f t="shared" si="65"/>
        <v>188.24008999999998</v>
      </c>
      <c r="AQ202" s="208">
        <f t="shared" si="65"/>
        <v>43.689370000000004</v>
      </c>
      <c r="AR202" s="208">
        <f t="shared" si="65"/>
        <v>64.095159999999993</v>
      </c>
      <c r="AS202" s="208">
        <f t="shared" si="65"/>
        <v>56.492179999999998</v>
      </c>
      <c r="AT202" s="208">
        <f t="shared" si="65"/>
        <v>79.561230000000009</v>
      </c>
      <c r="AU202" s="208">
        <f t="shared" si="65"/>
        <v>140.59139999999999</v>
      </c>
      <c r="AV202" s="208">
        <f t="shared" si="65"/>
        <v>190.71614000000002</v>
      </c>
      <c r="AW202" s="208">
        <f t="shared" si="65"/>
        <v>62.515450000000001</v>
      </c>
    </row>
    <row r="203" spans="1:49" hidden="1" outlineLevel="1">
      <c r="H203" s="226" t="s">
        <v>176</v>
      </c>
      <c r="I203" s="226"/>
      <c r="J203" s="204"/>
      <c r="K203" s="204"/>
      <c r="L203" s="204"/>
      <c r="M203" s="205"/>
      <c r="N203" s="205"/>
      <c r="O203" s="205"/>
      <c r="P203" s="204">
        <v>0</v>
      </c>
      <c r="Q203" s="204">
        <v>0</v>
      </c>
      <c r="R203" s="205">
        <v>0</v>
      </c>
      <c r="S203" s="205">
        <v>0</v>
      </c>
      <c r="T203" s="205">
        <v>0</v>
      </c>
      <c r="U203" s="205">
        <v>0</v>
      </c>
      <c r="V203" s="205">
        <v>3.9369999999999995E-2</v>
      </c>
      <c r="W203" s="205">
        <v>0</v>
      </c>
      <c r="X203" s="205">
        <v>0</v>
      </c>
      <c r="Y203" s="205">
        <v>0</v>
      </c>
      <c r="Z203" s="205">
        <v>0</v>
      </c>
      <c r="AA203" s="205">
        <v>0</v>
      </c>
      <c r="AB203" s="205">
        <v>0</v>
      </c>
      <c r="AC203" s="205">
        <v>0</v>
      </c>
      <c r="AD203" s="205">
        <v>0</v>
      </c>
      <c r="AE203" s="205">
        <v>1.0820600000000002</v>
      </c>
      <c r="AF203" s="205">
        <v>1.42594</v>
      </c>
      <c r="AG203" s="205">
        <v>0</v>
      </c>
      <c r="AH203" s="205">
        <v>0.19919999999999999</v>
      </c>
      <c r="AI203" s="205">
        <v>0.65683999999999998</v>
      </c>
      <c r="AJ203" s="205">
        <v>0</v>
      </c>
      <c r="AK203" s="205">
        <v>0</v>
      </c>
      <c r="AL203" s="205">
        <v>0</v>
      </c>
      <c r="AM203" s="205">
        <v>0</v>
      </c>
      <c r="AN203" s="205">
        <v>2.0299999999999997E-3</v>
      </c>
      <c r="AO203" s="205">
        <v>0</v>
      </c>
      <c r="AP203" s="205">
        <v>0</v>
      </c>
      <c r="AQ203" s="205">
        <v>0</v>
      </c>
      <c r="AR203" s="205">
        <v>0</v>
      </c>
      <c r="AS203" s="205">
        <v>0</v>
      </c>
      <c r="AT203" s="205">
        <v>0</v>
      </c>
      <c r="AU203" s="205">
        <v>0.59694000000000003</v>
      </c>
      <c r="AV203" s="205">
        <v>0</v>
      </c>
      <c r="AW203" s="205">
        <v>1.77901</v>
      </c>
    </row>
    <row r="204" spans="1:49" hidden="1" outlineLevel="1">
      <c r="H204" s="226" t="s">
        <v>177</v>
      </c>
      <c r="I204" s="226"/>
      <c r="J204" s="204"/>
      <c r="K204" s="204"/>
      <c r="L204" s="204"/>
      <c r="M204" s="205"/>
      <c r="N204" s="205"/>
      <c r="O204" s="205"/>
      <c r="P204" s="204">
        <v>5.1900000000000002E-3</v>
      </c>
      <c r="Q204" s="204">
        <v>3.0299999999999997E-3</v>
      </c>
      <c r="R204" s="205">
        <v>0</v>
      </c>
      <c r="S204" s="205">
        <v>0</v>
      </c>
      <c r="T204" s="205">
        <v>3.116E-2</v>
      </c>
      <c r="U204" s="205">
        <v>5.1900000000000002E-3</v>
      </c>
      <c r="V204" s="205">
        <v>1.558E-2</v>
      </c>
      <c r="W204" s="205">
        <v>1.2119999999999999E-2</v>
      </c>
      <c r="X204" s="205">
        <v>0</v>
      </c>
      <c r="Y204" s="205">
        <v>3.0299999999999997E-3</v>
      </c>
      <c r="Z204" s="205">
        <v>0</v>
      </c>
      <c r="AA204" s="205">
        <v>0</v>
      </c>
      <c r="AB204" s="205">
        <v>5.1900000000000002E-3</v>
      </c>
      <c r="AC204" s="205">
        <v>5.1900000000000002E-3</v>
      </c>
      <c r="AD204" s="205">
        <v>1.558E-2</v>
      </c>
      <c r="AE204" s="205">
        <v>0.29695000000000005</v>
      </c>
      <c r="AF204" s="205">
        <v>3.1960000000000002E-2</v>
      </c>
      <c r="AG204" s="205">
        <v>1.2119999999999999E-2</v>
      </c>
      <c r="AH204" s="205">
        <v>0.44201999999999997</v>
      </c>
      <c r="AI204" s="205">
        <v>7.6200000000000004E-2</v>
      </c>
      <c r="AJ204" s="205">
        <v>3.2939999999999997E-2</v>
      </c>
      <c r="AK204" s="205">
        <v>3.8490000000000003E-2</v>
      </c>
      <c r="AL204" s="205">
        <v>6.7640000000000006E-2</v>
      </c>
      <c r="AM204" s="205">
        <v>0</v>
      </c>
      <c r="AN204" s="205">
        <v>3.662E-2</v>
      </c>
      <c r="AO204" s="205">
        <v>1.4199999999999999E-2</v>
      </c>
      <c r="AP204" s="205">
        <v>9.2300000000000004E-3</v>
      </c>
      <c r="AQ204" s="205">
        <v>2.6000000000000003E-4</v>
      </c>
      <c r="AR204" s="205">
        <v>3.63E-3</v>
      </c>
      <c r="AS204" s="205">
        <v>0.20563000000000001</v>
      </c>
      <c r="AT204" s="205">
        <v>5.7579999999999999E-2</v>
      </c>
      <c r="AU204" s="205">
        <v>7.2020000000000001E-2</v>
      </c>
      <c r="AV204" s="205">
        <v>2.6010000000000002E-2</v>
      </c>
      <c r="AW204" s="205">
        <v>0.36</v>
      </c>
    </row>
    <row r="205" spans="1:49" collapsed="1">
      <c r="A205" t="s">
        <v>178</v>
      </c>
      <c r="H205" s="206" t="s">
        <v>178</v>
      </c>
      <c r="I205" s="206"/>
      <c r="J205" s="207">
        <f>SUMIFS($P205:$AW205,$P$3:$AW$3,J$4)</f>
        <v>2.9896600000000002</v>
      </c>
      <c r="K205" s="207">
        <f>J205-AE205-AF205</f>
        <v>0.15274999999999994</v>
      </c>
      <c r="L205" s="207">
        <f t="shared" ref="L205:N205" si="66">SUMIFS($P205:$AW205,$P$3:$AW$3,L$4)</f>
        <v>0.98524</v>
      </c>
      <c r="M205" s="207">
        <f t="shared" si="66"/>
        <v>0.81893999999999989</v>
      </c>
      <c r="N205" s="207">
        <f t="shared" si="66"/>
        <v>2.1390099999999999</v>
      </c>
      <c r="O205" s="208"/>
      <c r="P205" s="207">
        <f>SUBTOTAL(9,P203:P204)</f>
        <v>5.1900000000000002E-3</v>
      </c>
      <c r="Q205" s="207">
        <f t="shared" ref="Q205:AW205" si="67">SUBTOTAL(9,Q203:Q204)</f>
        <v>3.0299999999999997E-3</v>
      </c>
      <c r="R205" s="208">
        <f t="shared" si="67"/>
        <v>0</v>
      </c>
      <c r="S205" s="208">
        <f t="shared" si="67"/>
        <v>0</v>
      </c>
      <c r="T205" s="208">
        <f t="shared" si="67"/>
        <v>3.116E-2</v>
      </c>
      <c r="U205" s="208">
        <f t="shared" si="67"/>
        <v>5.1900000000000002E-3</v>
      </c>
      <c r="V205" s="208">
        <f t="shared" si="67"/>
        <v>5.4949999999999999E-2</v>
      </c>
      <c r="W205" s="208">
        <f t="shared" si="67"/>
        <v>1.2119999999999999E-2</v>
      </c>
      <c r="X205" s="208">
        <f t="shared" si="67"/>
        <v>0</v>
      </c>
      <c r="Y205" s="208">
        <f t="shared" si="67"/>
        <v>3.0299999999999997E-3</v>
      </c>
      <c r="Z205" s="208">
        <f t="shared" si="67"/>
        <v>0</v>
      </c>
      <c r="AA205" s="208">
        <f t="shared" si="67"/>
        <v>0</v>
      </c>
      <c r="AB205" s="208">
        <f t="shared" si="67"/>
        <v>5.1900000000000002E-3</v>
      </c>
      <c r="AC205" s="208">
        <f t="shared" si="67"/>
        <v>5.1900000000000002E-3</v>
      </c>
      <c r="AD205" s="208">
        <f t="shared" si="67"/>
        <v>1.558E-2</v>
      </c>
      <c r="AE205" s="208">
        <f t="shared" si="67"/>
        <v>1.3790100000000003</v>
      </c>
      <c r="AF205" s="208">
        <f t="shared" si="67"/>
        <v>1.4579</v>
      </c>
      <c r="AG205" s="208">
        <f t="shared" si="67"/>
        <v>1.2119999999999999E-2</v>
      </c>
      <c r="AH205" s="208">
        <f t="shared" si="67"/>
        <v>0.6412199999999999</v>
      </c>
      <c r="AI205" s="208">
        <f t="shared" si="67"/>
        <v>0.73304000000000002</v>
      </c>
      <c r="AJ205" s="208">
        <f t="shared" si="67"/>
        <v>3.2939999999999997E-2</v>
      </c>
      <c r="AK205" s="208">
        <f t="shared" si="67"/>
        <v>3.8490000000000003E-2</v>
      </c>
      <c r="AL205" s="208">
        <f t="shared" si="67"/>
        <v>6.7640000000000006E-2</v>
      </c>
      <c r="AM205" s="208">
        <f t="shared" si="67"/>
        <v>0</v>
      </c>
      <c r="AN205" s="208">
        <f t="shared" si="67"/>
        <v>3.8649999999999997E-2</v>
      </c>
      <c r="AO205" s="208">
        <f t="shared" si="67"/>
        <v>1.4199999999999999E-2</v>
      </c>
      <c r="AP205" s="208">
        <f t="shared" si="67"/>
        <v>9.2300000000000004E-3</v>
      </c>
      <c r="AQ205" s="208">
        <f t="shared" si="67"/>
        <v>2.6000000000000003E-4</v>
      </c>
      <c r="AR205" s="208">
        <f t="shared" si="67"/>
        <v>3.63E-3</v>
      </c>
      <c r="AS205" s="208">
        <f t="shared" si="67"/>
        <v>0.20563000000000001</v>
      </c>
      <c r="AT205" s="208">
        <f t="shared" si="67"/>
        <v>5.7579999999999999E-2</v>
      </c>
      <c r="AU205" s="208">
        <f t="shared" si="67"/>
        <v>0.66896</v>
      </c>
      <c r="AV205" s="208">
        <f t="shared" si="67"/>
        <v>2.6010000000000002E-2</v>
      </c>
      <c r="AW205" s="208">
        <f t="shared" si="67"/>
        <v>2.1390099999999999</v>
      </c>
    </row>
    <row r="206" spans="1:49" hidden="1" outlineLevel="1">
      <c r="H206" s="226" t="s">
        <v>179</v>
      </c>
      <c r="I206" s="226"/>
      <c r="J206" s="204"/>
      <c r="K206" s="204"/>
      <c r="L206" s="204"/>
      <c r="M206" s="205"/>
      <c r="N206" s="205"/>
      <c r="O206" s="205"/>
      <c r="P206" s="204">
        <v>1.13625</v>
      </c>
      <c r="Q206" s="204">
        <v>2.2850000000000002E-2</v>
      </c>
      <c r="R206" s="205">
        <v>2.4829999999999998E-2</v>
      </c>
      <c r="S206" s="205">
        <v>1.12653</v>
      </c>
      <c r="T206" s="205">
        <v>4.8619999999999997E-2</v>
      </c>
      <c r="U206" s="205">
        <v>2.3420000000000003E-2</v>
      </c>
      <c r="V206" s="205">
        <v>3.0629999999999998E-2</v>
      </c>
      <c r="W206" s="205">
        <v>3.4200000000000001E-2</v>
      </c>
      <c r="X206" s="205">
        <v>4</v>
      </c>
      <c r="Y206" s="205">
        <v>1.2960000000000001E-2</v>
      </c>
      <c r="Z206" s="205">
        <v>6.3E-3</v>
      </c>
      <c r="AA206" s="205">
        <v>8.2100000000000003E-3</v>
      </c>
      <c r="AB206" s="205">
        <v>8.3599999999999994E-3</v>
      </c>
      <c r="AC206" s="205">
        <v>1.1324799999999999</v>
      </c>
      <c r="AD206" s="205">
        <v>1.6570000000000001E-2</v>
      </c>
      <c r="AE206" s="205">
        <v>0.11866</v>
      </c>
      <c r="AF206" s="205">
        <v>1.7440000000000001E-2</v>
      </c>
      <c r="AG206" s="205">
        <v>6.0300000000000006E-3</v>
      </c>
      <c r="AH206" s="205">
        <v>1.67685</v>
      </c>
      <c r="AI206" s="205">
        <v>0</v>
      </c>
      <c r="AJ206" s="205">
        <v>0</v>
      </c>
      <c r="AK206" s="205">
        <v>0</v>
      </c>
      <c r="AL206" s="205">
        <v>0</v>
      </c>
      <c r="AM206" s="205">
        <v>0</v>
      </c>
      <c r="AN206" s="205">
        <v>0.55074000000000001</v>
      </c>
      <c r="AO206" s="205">
        <v>0</v>
      </c>
      <c r="AP206" s="205">
        <v>1.10148</v>
      </c>
      <c r="AQ206" s="205">
        <v>7.5549999999999997</v>
      </c>
      <c r="AR206" s="205">
        <v>0.21046999999999999</v>
      </c>
      <c r="AS206" s="205">
        <v>3.5</v>
      </c>
      <c r="AT206" s="205">
        <v>0</v>
      </c>
      <c r="AU206" s="205">
        <v>0</v>
      </c>
      <c r="AV206" s="205">
        <v>0</v>
      </c>
      <c r="AW206" s="205">
        <v>1.5006599999999999</v>
      </c>
    </row>
    <row r="207" spans="1:49" hidden="1" outlineLevel="1">
      <c r="H207" s="226" t="s">
        <v>180</v>
      </c>
      <c r="I207" s="226"/>
      <c r="J207" s="204"/>
      <c r="K207" s="204"/>
      <c r="L207" s="204"/>
      <c r="M207" s="205"/>
      <c r="N207" s="205"/>
      <c r="O207" s="205"/>
      <c r="P207" s="204">
        <v>0</v>
      </c>
      <c r="Q207" s="204">
        <v>0</v>
      </c>
      <c r="R207" s="205">
        <v>0</v>
      </c>
      <c r="S207" s="205">
        <v>0</v>
      </c>
      <c r="T207" s="205">
        <v>0</v>
      </c>
      <c r="U207" s="205">
        <v>0</v>
      </c>
      <c r="V207" s="205">
        <v>0</v>
      </c>
      <c r="W207" s="205">
        <v>0</v>
      </c>
      <c r="X207" s="205">
        <v>0</v>
      </c>
      <c r="Y207" s="205">
        <v>0</v>
      </c>
      <c r="Z207" s="205">
        <v>0</v>
      </c>
      <c r="AA207" s="205">
        <v>0</v>
      </c>
      <c r="AB207" s="205">
        <v>0</v>
      </c>
      <c r="AC207" s="205">
        <v>0</v>
      </c>
      <c r="AD207" s="205">
        <v>0</v>
      </c>
      <c r="AE207" s="205">
        <v>0</v>
      </c>
      <c r="AF207" s="205">
        <v>0</v>
      </c>
      <c r="AG207" s="205">
        <v>0</v>
      </c>
      <c r="AH207" s="205">
        <v>0</v>
      </c>
      <c r="AI207" s="205">
        <v>0</v>
      </c>
      <c r="AJ207" s="205">
        <v>0</v>
      </c>
      <c r="AK207" s="205">
        <v>0</v>
      </c>
      <c r="AL207" s="205">
        <v>0</v>
      </c>
      <c r="AM207" s="205">
        <v>0</v>
      </c>
      <c r="AN207" s="205">
        <v>0</v>
      </c>
      <c r="AO207" s="205">
        <v>0</v>
      </c>
      <c r="AP207" s="205">
        <v>0</v>
      </c>
      <c r="AQ207" s="205">
        <v>0</v>
      </c>
      <c r="AR207" s="205">
        <v>0</v>
      </c>
      <c r="AS207" s="205">
        <v>0</v>
      </c>
      <c r="AT207" s="205">
        <v>0</v>
      </c>
      <c r="AU207" s="205">
        <v>0</v>
      </c>
      <c r="AV207" s="205">
        <v>0</v>
      </c>
      <c r="AW207" s="205">
        <v>0</v>
      </c>
    </row>
    <row r="208" spans="1:49" collapsed="1">
      <c r="A208" t="s">
        <v>181</v>
      </c>
      <c r="H208" s="206" t="s">
        <v>181</v>
      </c>
      <c r="I208" s="206"/>
      <c r="J208" s="207">
        <f>SUMIFS($P208:$AW208,$P$3:$AW$3,J$4)</f>
        <v>7.7743399999999996</v>
      </c>
      <c r="K208" s="207">
        <f>J208-AE208-AF208</f>
        <v>7.6382399999999997</v>
      </c>
      <c r="L208" s="207">
        <f t="shared" ref="L208:N210" si="68">SUMIFS($P208:$AW208,$P$3:$AW$3,L$4)</f>
        <v>4.8119499999999995</v>
      </c>
      <c r="M208" s="207">
        <f t="shared" si="68"/>
        <v>2.2275900000000002</v>
      </c>
      <c r="N208" s="207">
        <f t="shared" si="68"/>
        <v>1.5006599999999999</v>
      </c>
      <c r="O208" s="208"/>
      <c r="P208" s="207">
        <f>SUBTOTAL(9,P206:P207)</f>
        <v>1.13625</v>
      </c>
      <c r="Q208" s="207">
        <f t="shared" ref="Q208:AW208" si="69">SUBTOTAL(9,Q206:Q207)</f>
        <v>2.2850000000000002E-2</v>
      </c>
      <c r="R208" s="208">
        <f t="shared" si="69"/>
        <v>2.4829999999999998E-2</v>
      </c>
      <c r="S208" s="208">
        <f t="shared" si="69"/>
        <v>1.12653</v>
      </c>
      <c r="T208" s="208">
        <f t="shared" si="69"/>
        <v>4.8619999999999997E-2</v>
      </c>
      <c r="U208" s="208">
        <f t="shared" si="69"/>
        <v>2.3420000000000003E-2</v>
      </c>
      <c r="V208" s="208">
        <f t="shared" si="69"/>
        <v>3.0629999999999998E-2</v>
      </c>
      <c r="W208" s="208">
        <f t="shared" si="69"/>
        <v>3.4200000000000001E-2</v>
      </c>
      <c r="X208" s="208">
        <f t="shared" si="69"/>
        <v>4</v>
      </c>
      <c r="Y208" s="208">
        <f t="shared" si="69"/>
        <v>1.2960000000000001E-2</v>
      </c>
      <c r="Z208" s="208">
        <f t="shared" si="69"/>
        <v>6.3E-3</v>
      </c>
      <c r="AA208" s="208">
        <f t="shared" si="69"/>
        <v>8.2100000000000003E-3</v>
      </c>
      <c r="AB208" s="208">
        <f t="shared" si="69"/>
        <v>8.3599999999999994E-3</v>
      </c>
      <c r="AC208" s="208">
        <f t="shared" si="69"/>
        <v>1.1324799999999999</v>
      </c>
      <c r="AD208" s="208">
        <f t="shared" si="69"/>
        <v>1.6570000000000001E-2</v>
      </c>
      <c r="AE208" s="208">
        <f t="shared" si="69"/>
        <v>0.11866</v>
      </c>
      <c r="AF208" s="208">
        <f t="shared" si="69"/>
        <v>1.7440000000000001E-2</v>
      </c>
      <c r="AG208" s="208">
        <f t="shared" si="69"/>
        <v>6.0300000000000006E-3</v>
      </c>
      <c r="AH208" s="208">
        <f t="shared" si="69"/>
        <v>1.67685</v>
      </c>
      <c r="AI208" s="208">
        <f t="shared" si="69"/>
        <v>0</v>
      </c>
      <c r="AJ208" s="208">
        <f t="shared" si="69"/>
        <v>0</v>
      </c>
      <c r="AK208" s="208">
        <f t="shared" si="69"/>
        <v>0</v>
      </c>
      <c r="AL208" s="208">
        <f t="shared" si="69"/>
        <v>0</v>
      </c>
      <c r="AM208" s="208">
        <f t="shared" si="69"/>
        <v>0</v>
      </c>
      <c r="AN208" s="208">
        <f t="shared" si="69"/>
        <v>0.55074000000000001</v>
      </c>
      <c r="AO208" s="208">
        <f t="shared" si="69"/>
        <v>0</v>
      </c>
      <c r="AP208" s="208">
        <f t="shared" si="69"/>
        <v>1.10148</v>
      </c>
      <c r="AQ208" s="208">
        <f t="shared" si="69"/>
        <v>7.5549999999999997</v>
      </c>
      <c r="AR208" s="208">
        <f t="shared" si="69"/>
        <v>0.21046999999999999</v>
      </c>
      <c r="AS208" s="208">
        <f t="shared" si="69"/>
        <v>3.5</v>
      </c>
      <c r="AT208" s="208">
        <f t="shared" si="69"/>
        <v>0</v>
      </c>
      <c r="AU208" s="208">
        <f t="shared" si="69"/>
        <v>0</v>
      </c>
      <c r="AV208" s="208">
        <f t="shared" si="69"/>
        <v>0</v>
      </c>
      <c r="AW208" s="208">
        <f t="shared" si="69"/>
        <v>1.5006599999999999</v>
      </c>
    </row>
    <row r="209" spans="1:49">
      <c r="A209" t="s">
        <v>182</v>
      </c>
      <c r="H209" s="206" t="s">
        <v>182</v>
      </c>
      <c r="I209" s="206"/>
      <c r="J209" s="207">
        <f>SUMIFS($P209:$AW209,$P$3:$AW$3,J$4)</f>
        <v>3254.2021099999997</v>
      </c>
      <c r="K209" s="207">
        <f>J209-AE209-AF209</f>
        <v>251.44215999999989</v>
      </c>
      <c r="L209" s="207">
        <f t="shared" si="68"/>
        <v>3.2896500000000004</v>
      </c>
      <c r="M209" s="207">
        <f t="shared" si="68"/>
        <v>1241.8837999999996</v>
      </c>
      <c r="N209" s="207">
        <f t="shared" si="68"/>
        <v>14.46209</v>
      </c>
      <c r="O209" s="208"/>
      <c r="P209" s="207">
        <v>1.84E-2</v>
      </c>
      <c r="Q209" s="207">
        <v>1.0160000000000001E-2</v>
      </c>
      <c r="R209" s="208">
        <v>2.614E-2</v>
      </c>
      <c r="S209" s="208">
        <v>2.002E-2</v>
      </c>
      <c r="T209" s="208">
        <v>1.59345</v>
      </c>
      <c r="U209" s="208">
        <v>5.8409999999999997E-2</v>
      </c>
      <c r="V209" s="208">
        <v>1.9271299999999998</v>
      </c>
      <c r="W209" s="208">
        <v>3.8630000000000005E-2</v>
      </c>
      <c r="X209" s="208">
        <v>0</v>
      </c>
      <c r="Y209" s="208">
        <v>8.8500000000000002E-3</v>
      </c>
      <c r="Z209" s="208">
        <v>1.316E-2</v>
      </c>
      <c r="AA209" s="208">
        <v>2.077E-2</v>
      </c>
      <c r="AB209" s="208">
        <v>247.57700999999994</v>
      </c>
      <c r="AC209" s="208">
        <v>4.6840000000000007E-2</v>
      </c>
      <c r="AD209" s="208">
        <v>5.8770000000000003E-2</v>
      </c>
      <c r="AE209" s="208">
        <v>3002.7464599999998</v>
      </c>
      <c r="AF209" s="208">
        <v>1.349E-2</v>
      </c>
      <c r="AG209" s="208">
        <v>2.4420000000000001E-2</v>
      </c>
      <c r="AH209" s="208">
        <v>914.48327999999981</v>
      </c>
      <c r="AI209" s="208">
        <v>0.19281000000000001</v>
      </c>
      <c r="AJ209" s="208">
        <v>0</v>
      </c>
      <c r="AK209" s="208">
        <v>0.16005</v>
      </c>
      <c r="AL209" s="208">
        <v>327.04765999999995</v>
      </c>
      <c r="AM209" s="208">
        <v>9.6319999999999989E-2</v>
      </c>
      <c r="AN209" s="208">
        <v>9.6489999999999992E-2</v>
      </c>
      <c r="AO209" s="208">
        <v>2.2079999999999999E-2</v>
      </c>
      <c r="AP209" s="208">
        <v>1.0880000000000001E-2</v>
      </c>
      <c r="AQ209" s="208">
        <v>56.810279999999999</v>
      </c>
      <c r="AR209" s="208">
        <v>3.31E-3</v>
      </c>
      <c r="AS209" s="208">
        <v>0.38517999999999997</v>
      </c>
      <c r="AT209" s="208">
        <v>1.494E-2</v>
      </c>
      <c r="AU209" s="208">
        <v>1.6309999999999998E-2</v>
      </c>
      <c r="AV209" s="208">
        <v>2.8369500000000003</v>
      </c>
      <c r="AW209" s="208">
        <v>14.46209</v>
      </c>
    </row>
    <row r="210" spans="1:49">
      <c r="A210" t="s">
        <v>183</v>
      </c>
      <c r="H210" s="206" t="s">
        <v>183</v>
      </c>
      <c r="I210" s="206"/>
      <c r="J210" s="207">
        <f>SUMIFS($P210:$AW210,$P$3:$AW$3,J$4)</f>
        <v>685.41890999999998</v>
      </c>
      <c r="K210" s="207">
        <f>J210-AE210-AF210</f>
        <v>585.40375000000006</v>
      </c>
      <c r="L210" s="207">
        <f t="shared" si="68"/>
        <v>272.97928000000002</v>
      </c>
      <c r="M210" s="207">
        <f t="shared" si="68"/>
        <v>201.59348</v>
      </c>
      <c r="N210" s="207">
        <f t="shared" si="68"/>
        <v>39.179400000000001</v>
      </c>
      <c r="O210" s="208"/>
      <c r="P210" s="207">
        <v>38.656580000000005</v>
      </c>
      <c r="Q210" s="207">
        <v>38.517240000000001</v>
      </c>
      <c r="R210" s="208">
        <v>38.535270000000004</v>
      </c>
      <c r="S210" s="208">
        <v>38.468840000000007</v>
      </c>
      <c r="T210" s="208">
        <v>39.823050000000002</v>
      </c>
      <c r="U210" s="208">
        <v>38.627309999999994</v>
      </c>
      <c r="V210" s="208">
        <v>39.701640000000005</v>
      </c>
      <c r="W210" s="208">
        <v>39.019929999999995</v>
      </c>
      <c r="X210" s="208">
        <v>0</v>
      </c>
      <c r="Y210" s="208">
        <v>38.84299</v>
      </c>
      <c r="Z210" s="208">
        <v>38.510709999999996</v>
      </c>
      <c r="AA210" s="208">
        <v>38.495759999999997</v>
      </c>
      <c r="AB210" s="208">
        <v>38.541989999999998</v>
      </c>
      <c r="AC210" s="208">
        <v>42.206049999999998</v>
      </c>
      <c r="AD210" s="208">
        <v>38.98171</v>
      </c>
      <c r="AE210" s="208">
        <v>82.426929999999984</v>
      </c>
      <c r="AF210" s="208">
        <v>17.588229999999999</v>
      </c>
      <c r="AG210" s="208">
        <v>38.474679999999999</v>
      </c>
      <c r="AH210" s="208">
        <v>38.421570000000003</v>
      </c>
      <c r="AI210" s="208">
        <v>38.421579999999999</v>
      </c>
      <c r="AJ210" s="208">
        <v>9.462060000000001</v>
      </c>
      <c r="AK210" s="208">
        <v>38.433090000000007</v>
      </c>
      <c r="AL210" s="208">
        <v>38.421579999999999</v>
      </c>
      <c r="AM210" s="208">
        <v>38.428350000000009</v>
      </c>
      <c r="AN210" s="208">
        <v>38.42683000000001</v>
      </c>
      <c r="AO210" s="208">
        <v>38.41357</v>
      </c>
      <c r="AP210" s="208">
        <v>38.413590000000006</v>
      </c>
      <c r="AQ210" s="208">
        <v>10.5694</v>
      </c>
      <c r="AR210" s="208">
        <v>39.274180000000001</v>
      </c>
      <c r="AS210" s="208">
        <v>41.629129999999996</v>
      </c>
      <c r="AT210" s="208">
        <v>38.413599999999995</v>
      </c>
      <c r="AU210" s="208">
        <v>38.413599999999995</v>
      </c>
      <c r="AV210" s="208">
        <v>38.421610000000001</v>
      </c>
      <c r="AW210" s="208">
        <v>39.179400000000001</v>
      </c>
    </row>
    <row r="211" spans="1:49" hidden="1" outlineLevel="1">
      <c r="H211" s="226" t="s">
        <v>184</v>
      </c>
      <c r="I211" s="226"/>
      <c r="J211" s="204"/>
      <c r="K211" s="204"/>
      <c r="L211" s="204"/>
      <c r="M211" s="205"/>
      <c r="N211" s="205"/>
      <c r="O211" s="205"/>
      <c r="P211" s="204">
        <v>9.7514699999999976</v>
      </c>
      <c r="Q211" s="204">
        <v>6.6462099999999991</v>
      </c>
      <c r="R211" s="205">
        <v>11.768550000000001</v>
      </c>
      <c r="S211" s="205">
        <v>13.394390000000001</v>
      </c>
      <c r="T211" s="205">
        <v>42.690089999999991</v>
      </c>
      <c r="U211" s="205">
        <v>15.428350000000002</v>
      </c>
      <c r="V211" s="205">
        <v>34.835129999999999</v>
      </c>
      <c r="W211" s="205">
        <v>14.175239999999999</v>
      </c>
      <c r="X211" s="205">
        <v>26.44228</v>
      </c>
      <c r="Y211" s="205">
        <v>7.25326</v>
      </c>
      <c r="Z211" s="205">
        <v>12.622579999999999</v>
      </c>
      <c r="AA211" s="205">
        <v>5.6205300000000005</v>
      </c>
      <c r="AB211" s="205">
        <v>2.7585000000000002</v>
      </c>
      <c r="AC211" s="205">
        <v>24.955410000000004</v>
      </c>
      <c r="AD211" s="205">
        <v>11.501859999999997</v>
      </c>
      <c r="AE211" s="205">
        <v>86.131029999999996</v>
      </c>
      <c r="AF211" s="205">
        <v>8.1946900000000014</v>
      </c>
      <c r="AG211" s="205">
        <v>7.2378200000000001</v>
      </c>
      <c r="AH211" s="205">
        <v>22.55591999999999</v>
      </c>
      <c r="AI211" s="205">
        <v>12.444440000000002</v>
      </c>
      <c r="AJ211" s="205">
        <v>26.348059999999997</v>
      </c>
      <c r="AK211" s="205">
        <v>1.4036500000000001</v>
      </c>
      <c r="AL211" s="205">
        <v>12.972849999999999</v>
      </c>
      <c r="AM211" s="205">
        <v>9.0455799999999993</v>
      </c>
      <c r="AN211" s="205">
        <v>1.1819799999999998</v>
      </c>
      <c r="AO211" s="205">
        <v>20.106780000000001</v>
      </c>
      <c r="AP211" s="205">
        <v>18.04082</v>
      </c>
      <c r="AQ211" s="205">
        <v>5.6679599999999999</v>
      </c>
      <c r="AR211" s="205">
        <v>7.1404500000000004</v>
      </c>
      <c r="AS211" s="205">
        <v>19.320790000000002</v>
      </c>
      <c r="AT211" s="205">
        <v>10.561509999999998</v>
      </c>
      <c r="AU211" s="205">
        <v>33.444269999999996</v>
      </c>
      <c r="AV211" s="205">
        <v>35.458890000000004</v>
      </c>
      <c r="AW211" s="205">
        <v>53.935099999999998</v>
      </c>
    </row>
    <row r="212" spans="1:49" hidden="1" outlineLevel="1">
      <c r="H212" s="226" t="s">
        <v>185</v>
      </c>
      <c r="I212" s="226"/>
      <c r="J212" s="204"/>
      <c r="K212" s="204"/>
      <c r="L212" s="204"/>
      <c r="M212" s="205"/>
      <c r="N212" s="205"/>
      <c r="O212" s="205"/>
      <c r="P212" s="204">
        <v>0</v>
      </c>
      <c r="Q212" s="204">
        <v>0</v>
      </c>
      <c r="R212" s="205">
        <v>0</v>
      </c>
      <c r="S212" s="205">
        <v>0</v>
      </c>
      <c r="T212" s="205">
        <v>0</v>
      </c>
      <c r="U212" s="205">
        <v>0</v>
      </c>
      <c r="V212" s="205">
        <v>0</v>
      </c>
      <c r="W212" s="205">
        <v>0</v>
      </c>
      <c r="X212" s="205">
        <v>0</v>
      </c>
      <c r="Y212" s="205">
        <v>0</v>
      </c>
      <c r="Z212" s="205">
        <v>0</v>
      </c>
      <c r="AA212" s="205">
        <v>0</v>
      </c>
      <c r="AB212" s="205">
        <v>0</v>
      </c>
      <c r="AC212" s="205">
        <v>0</v>
      </c>
      <c r="AD212" s="205">
        <v>0</v>
      </c>
      <c r="AE212" s="205">
        <v>0</v>
      </c>
      <c r="AF212" s="205">
        <v>0</v>
      </c>
      <c r="AG212" s="205">
        <v>0</v>
      </c>
      <c r="AH212" s="205">
        <v>0</v>
      </c>
      <c r="AI212" s="205">
        <v>0</v>
      </c>
      <c r="AJ212" s="205">
        <v>0</v>
      </c>
      <c r="AK212" s="205">
        <v>0</v>
      </c>
      <c r="AL212" s="205">
        <v>0</v>
      </c>
      <c r="AM212" s="205">
        <v>0</v>
      </c>
      <c r="AN212" s="205">
        <v>0</v>
      </c>
      <c r="AO212" s="205">
        <v>0</v>
      </c>
      <c r="AP212" s="205">
        <v>0</v>
      </c>
      <c r="AQ212" s="205">
        <v>0</v>
      </c>
      <c r="AR212" s="205">
        <v>0</v>
      </c>
      <c r="AS212" s="205">
        <v>0</v>
      </c>
      <c r="AT212" s="205">
        <v>0</v>
      </c>
      <c r="AU212" s="205">
        <v>0</v>
      </c>
      <c r="AV212" s="205">
        <v>0</v>
      </c>
      <c r="AW212" s="205">
        <v>0</v>
      </c>
    </row>
    <row r="213" spans="1:49" hidden="1" outlineLevel="1">
      <c r="H213" s="226" t="s">
        <v>186</v>
      </c>
      <c r="I213" s="226"/>
      <c r="J213" s="204"/>
      <c r="K213" s="204"/>
      <c r="L213" s="204"/>
      <c r="M213" s="205"/>
      <c r="N213" s="205"/>
      <c r="O213" s="205"/>
      <c r="P213" s="204">
        <v>0</v>
      </c>
      <c r="Q213" s="204">
        <v>0</v>
      </c>
      <c r="R213" s="205">
        <v>0</v>
      </c>
      <c r="S213" s="205">
        <v>0</v>
      </c>
      <c r="T213" s="205">
        <v>0</v>
      </c>
      <c r="U213" s="205">
        <v>0</v>
      </c>
      <c r="V213" s="205">
        <v>0</v>
      </c>
      <c r="W213" s="205">
        <v>0</v>
      </c>
      <c r="X213" s="205">
        <v>0</v>
      </c>
      <c r="Y213" s="205">
        <v>0</v>
      </c>
      <c r="Z213" s="205">
        <v>0</v>
      </c>
      <c r="AA213" s="205">
        <v>0</v>
      </c>
      <c r="AB213" s="205">
        <v>0</v>
      </c>
      <c r="AC213" s="205">
        <v>0</v>
      </c>
      <c r="AD213" s="205">
        <v>0</v>
      </c>
      <c r="AE213" s="205">
        <v>0</v>
      </c>
      <c r="AF213" s="205">
        <v>0</v>
      </c>
      <c r="AG213" s="205">
        <v>0</v>
      </c>
      <c r="AH213" s="205">
        <v>0</v>
      </c>
      <c r="AI213" s="205">
        <v>0</v>
      </c>
      <c r="AJ213" s="205">
        <v>0</v>
      </c>
      <c r="AK213" s="205">
        <v>0</v>
      </c>
      <c r="AL213" s="205">
        <v>0</v>
      </c>
      <c r="AM213" s="205">
        <v>0</v>
      </c>
      <c r="AN213" s="205">
        <v>0</v>
      </c>
      <c r="AO213" s="205">
        <v>0</v>
      </c>
      <c r="AP213" s="205">
        <v>0</v>
      </c>
      <c r="AQ213" s="205">
        <v>0</v>
      </c>
      <c r="AR213" s="205">
        <v>0</v>
      </c>
      <c r="AS213" s="205">
        <v>0</v>
      </c>
      <c r="AT213" s="205">
        <v>0</v>
      </c>
      <c r="AU213" s="205">
        <v>0</v>
      </c>
      <c r="AV213" s="205">
        <v>0</v>
      </c>
      <c r="AW213" s="205">
        <v>0</v>
      </c>
    </row>
    <row r="214" spans="1:49" hidden="1" outlineLevel="1">
      <c r="H214" s="226" t="s">
        <v>187</v>
      </c>
      <c r="I214" s="226"/>
      <c r="J214" s="204"/>
      <c r="K214" s="204"/>
      <c r="L214" s="204"/>
      <c r="M214" s="205"/>
      <c r="N214" s="205"/>
      <c r="O214" s="205"/>
      <c r="P214" s="204">
        <v>0</v>
      </c>
      <c r="Q214" s="204">
        <v>0.1</v>
      </c>
      <c r="R214" s="205">
        <v>0.3</v>
      </c>
      <c r="S214" s="205">
        <v>0</v>
      </c>
      <c r="T214" s="205">
        <v>0</v>
      </c>
      <c r="U214" s="205">
        <v>0</v>
      </c>
      <c r="V214" s="205">
        <v>0</v>
      </c>
      <c r="W214" s="205">
        <v>0</v>
      </c>
      <c r="X214" s="205">
        <v>0</v>
      </c>
      <c r="Y214" s="205">
        <v>0.2</v>
      </c>
      <c r="Z214" s="205">
        <v>0.1</v>
      </c>
      <c r="AA214" s="205">
        <v>0.2</v>
      </c>
      <c r="AB214" s="205">
        <v>0.1</v>
      </c>
      <c r="AC214" s="205">
        <v>0.5</v>
      </c>
      <c r="AD214" s="205">
        <v>0</v>
      </c>
      <c r="AE214" s="205">
        <v>0</v>
      </c>
      <c r="AF214" s="205">
        <v>0</v>
      </c>
      <c r="AG214" s="205">
        <v>0.1</v>
      </c>
      <c r="AH214" s="205">
        <v>0</v>
      </c>
      <c r="AI214" s="205">
        <v>0</v>
      </c>
      <c r="AJ214" s="205">
        <v>0</v>
      </c>
      <c r="AK214" s="205">
        <v>0</v>
      </c>
      <c r="AL214" s="205">
        <v>0</v>
      </c>
      <c r="AM214" s="205">
        <v>0</v>
      </c>
      <c r="AN214" s="205">
        <v>0</v>
      </c>
      <c r="AO214" s="205">
        <v>0.1</v>
      </c>
      <c r="AP214" s="205">
        <v>0.1</v>
      </c>
      <c r="AQ214" s="205">
        <v>0</v>
      </c>
      <c r="AR214" s="205">
        <v>0</v>
      </c>
      <c r="AS214" s="205">
        <v>0</v>
      </c>
      <c r="AT214" s="205">
        <v>0</v>
      </c>
      <c r="AU214" s="205">
        <v>0</v>
      </c>
      <c r="AV214" s="205">
        <v>0</v>
      </c>
      <c r="AW214" s="205">
        <v>0</v>
      </c>
    </row>
    <row r="215" spans="1:49" hidden="1" outlineLevel="1">
      <c r="H215" s="226" t="s">
        <v>188</v>
      </c>
      <c r="I215" s="226"/>
      <c r="J215" s="204"/>
      <c r="K215" s="204"/>
      <c r="L215" s="204"/>
      <c r="M215" s="205"/>
      <c r="N215" s="205"/>
      <c r="O215" s="205"/>
      <c r="P215" s="204">
        <v>0</v>
      </c>
      <c r="Q215" s="204">
        <v>0</v>
      </c>
      <c r="R215" s="205">
        <v>0</v>
      </c>
      <c r="S215" s="205">
        <v>0</v>
      </c>
      <c r="T215" s="205">
        <v>0</v>
      </c>
      <c r="U215" s="205">
        <v>0</v>
      </c>
      <c r="V215" s="205">
        <v>0</v>
      </c>
      <c r="W215" s="205">
        <v>0</v>
      </c>
      <c r="X215" s="205">
        <v>0</v>
      </c>
      <c r="Y215" s="205">
        <v>0</v>
      </c>
      <c r="Z215" s="205">
        <v>0</v>
      </c>
      <c r="AA215" s="205">
        <v>0</v>
      </c>
      <c r="AB215" s="205">
        <v>0</v>
      </c>
      <c r="AC215" s="205">
        <v>0</v>
      </c>
      <c r="AD215" s="205">
        <v>0</v>
      </c>
      <c r="AE215" s="205">
        <v>0</v>
      </c>
      <c r="AF215" s="205">
        <v>0.16905000000000001</v>
      </c>
      <c r="AG215" s="205">
        <v>0</v>
      </c>
      <c r="AH215" s="205">
        <v>0</v>
      </c>
      <c r="AI215" s="205">
        <v>0</v>
      </c>
      <c r="AJ215" s="205">
        <v>0</v>
      </c>
      <c r="AK215" s="205">
        <v>0</v>
      </c>
      <c r="AL215" s="205">
        <v>0</v>
      </c>
      <c r="AM215" s="205">
        <v>0</v>
      </c>
      <c r="AN215" s="205">
        <v>0</v>
      </c>
      <c r="AO215" s="205">
        <v>0</v>
      </c>
      <c r="AP215" s="205">
        <v>1.3900000000000001E-2</v>
      </c>
      <c r="AQ215" s="205">
        <v>0</v>
      </c>
      <c r="AR215" s="205">
        <v>0</v>
      </c>
      <c r="AS215" s="205">
        <v>0</v>
      </c>
      <c r="AT215" s="205">
        <v>0</v>
      </c>
      <c r="AU215" s="205">
        <v>0</v>
      </c>
      <c r="AV215" s="205">
        <v>0</v>
      </c>
      <c r="AW215" s="205">
        <v>0</v>
      </c>
    </row>
    <row r="216" spans="1:49" collapsed="1">
      <c r="A216" t="s">
        <v>189</v>
      </c>
      <c r="H216" s="206" t="s">
        <v>189</v>
      </c>
      <c r="I216" s="206"/>
      <c r="J216" s="207">
        <f>SUMIFS($P216:$AW216,$P$3:$AW$3,J$4)</f>
        <v>343.17644000000001</v>
      </c>
      <c r="K216" s="207">
        <f>J216-AE216-AF216</f>
        <v>248.68167</v>
      </c>
      <c r="L216" s="207">
        <f t="shared" ref="L216:N216" si="70">SUMIFS($P216:$AW216,$P$3:$AW$3,L$4)</f>
        <v>144.28740999999999</v>
      </c>
      <c r="M216" s="207">
        <f t="shared" si="70"/>
        <v>73.50803999999998</v>
      </c>
      <c r="N216" s="207">
        <f t="shared" si="70"/>
        <v>53.935099999999998</v>
      </c>
      <c r="O216" s="208"/>
      <c r="P216" s="207">
        <f>SUBTOTAL(9,P211:P215)</f>
        <v>9.7514699999999976</v>
      </c>
      <c r="Q216" s="207">
        <f t="shared" ref="Q216:AW216" si="71">SUBTOTAL(9,Q211:Q215)</f>
        <v>6.7462099999999987</v>
      </c>
      <c r="R216" s="208">
        <f t="shared" si="71"/>
        <v>12.068550000000002</v>
      </c>
      <c r="S216" s="208">
        <f t="shared" si="71"/>
        <v>13.394390000000001</v>
      </c>
      <c r="T216" s="208">
        <f t="shared" si="71"/>
        <v>42.690089999999991</v>
      </c>
      <c r="U216" s="208">
        <f t="shared" si="71"/>
        <v>15.428350000000002</v>
      </c>
      <c r="V216" s="208">
        <f t="shared" si="71"/>
        <v>34.835129999999999</v>
      </c>
      <c r="W216" s="208">
        <f t="shared" si="71"/>
        <v>14.175239999999999</v>
      </c>
      <c r="X216" s="208">
        <f t="shared" si="71"/>
        <v>26.44228</v>
      </c>
      <c r="Y216" s="208">
        <f t="shared" si="71"/>
        <v>7.4532600000000002</v>
      </c>
      <c r="Z216" s="208">
        <f t="shared" si="71"/>
        <v>12.722579999999999</v>
      </c>
      <c r="AA216" s="208">
        <f t="shared" si="71"/>
        <v>5.8205300000000006</v>
      </c>
      <c r="AB216" s="208">
        <f t="shared" si="71"/>
        <v>2.8585000000000003</v>
      </c>
      <c r="AC216" s="208">
        <f t="shared" si="71"/>
        <v>25.455410000000004</v>
      </c>
      <c r="AD216" s="208">
        <f t="shared" si="71"/>
        <v>11.501859999999997</v>
      </c>
      <c r="AE216" s="208">
        <f t="shared" si="71"/>
        <v>86.131029999999996</v>
      </c>
      <c r="AF216" s="208">
        <f t="shared" si="71"/>
        <v>8.3637400000000017</v>
      </c>
      <c r="AG216" s="208">
        <f t="shared" si="71"/>
        <v>7.3378199999999998</v>
      </c>
      <c r="AH216" s="208">
        <f t="shared" si="71"/>
        <v>22.55591999999999</v>
      </c>
      <c r="AI216" s="208">
        <f t="shared" si="71"/>
        <v>12.444440000000002</v>
      </c>
      <c r="AJ216" s="208">
        <f t="shared" si="71"/>
        <v>26.348059999999997</v>
      </c>
      <c r="AK216" s="208">
        <f t="shared" si="71"/>
        <v>1.4036500000000001</v>
      </c>
      <c r="AL216" s="208">
        <f t="shared" si="71"/>
        <v>12.972849999999999</v>
      </c>
      <c r="AM216" s="208">
        <f t="shared" si="71"/>
        <v>9.0455799999999993</v>
      </c>
      <c r="AN216" s="208">
        <f t="shared" si="71"/>
        <v>1.1819799999999998</v>
      </c>
      <c r="AO216" s="208">
        <f t="shared" si="71"/>
        <v>20.206780000000002</v>
      </c>
      <c r="AP216" s="208">
        <f t="shared" si="71"/>
        <v>18.154720000000001</v>
      </c>
      <c r="AQ216" s="208">
        <f t="shared" si="71"/>
        <v>5.6679599999999999</v>
      </c>
      <c r="AR216" s="208">
        <f t="shared" si="71"/>
        <v>7.1404500000000004</v>
      </c>
      <c r="AS216" s="208">
        <f t="shared" si="71"/>
        <v>19.320790000000002</v>
      </c>
      <c r="AT216" s="208">
        <f t="shared" si="71"/>
        <v>10.561509999999998</v>
      </c>
      <c r="AU216" s="208">
        <f t="shared" si="71"/>
        <v>33.444269999999996</v>
      </c>
      <c r="AV216" s="208">
        <f t="shared" si="71"/>
        <v>35.458890000000004</v>
      </c>
      <c r="AW216" s="208">
        <f t="shared" si="71"/>
        <v>53.935099999999998</v>
      </c>
    </row>
    <row r="217" spans="1:49" hidden="1" outlineLevel="1">
      <c r="H217" s="226" t="s">
        <v>190</v>
      </c>
      <c r="I217" s="226"/>
      <c r="J217" s="204"/>
      <c r="K217" s="204"/>
      <c r="L217" s="204"/>
      <c r="M217" s="205"/>
      <c r="N217" s="205"/>
      <c r="O217" s="205"/>
      <c r="P217" s="204">
        <v>4.3481300000000003</v>
      </c>
      <c r="Q217" s="204">
        <v>2.4851300000000007</v>
      </c>
      <c r="R217" s="205">
        <v>3.6254299999999997</v>
      </c>
      <c r="S217" s="205">
        <v>6.9766199999999987</v>
      </c>
      <c r="T217" s="205">
        <v>7.8595100000000002</v>
      </c>
      <c r="U217" s="205">
        <v>1.9268099999999999</v>
      </c>
      <c r="V217" s="205">
        <v>3.0515699999999999</v>
      </c>
      <c r="W217" s="205">
        <v>2.3996000000000004</v>
      </c>
      <c r="X217" s="205">
        <v>0</v>
      </c>
      <c r="Y217" s="205">
        <v>3.6000599999999996</v>
      </c>
      <c r="Z217" s="205">
        <v>2.3701200000000004</v>
      </c>
      <c r="AA217" s="205">
        <v>4.2081299999999997</v>
      </c>
      <c r="AB217" s="205">
        <v>2.3527100000000001</v>
      </c>
      <c r="AC217" s="205">
        <v>6.7871100000000002</v>
      </c>
      <c r="AD217" s="205">
        <v>2.6704999999999997</v>
      </c>
      <c r="AE217" s="205">
        <v>3.0426599999999997</v>
      </c>
      <c r="AF217" s="205">
        <v>2.392E-2</v>
      </c>
      <c r="AG217" s="205">
        <v>2.1067299999999998</v>
      </c>
      <c r="AH217" s="205">
        <v>28.943390000000001</v>
      </c>
      <c r="AI217" s="205">
        <v>2.9672599999999996</v>
      </c>
      <c r="AJ217" s="205">
        <v>0</v>
      </c>
      <c r="AK217" s="205">
        <v>0.84303000000000017</v>
      </c>
      <c r="AL217" s="205">
        <v>2.4326300000000001</v>
      </c>
      <c r="AM217" s="205">
        <v>2.4513500000000006</v>
      </c>
      <c r="AN217" s="205">
        <v>9.7100000000000016E-3</v>
      </c>
      <c r="AO217" s="205">
        <v>10.90198</v>
      </c>
      <c r="AP217" s="205">
        <v>11.836350000000003</v>
      </c>
      <c r="AQ217" s="205">
        <v>0</v>
      </c>
      <c r="AR217" s="205">
        <v>10.935829999999997</v>
      </c>
      <c r="AS217" s="205">
        <v>9.4106699999999996</v>
      </c>
      <c r="AT217" s="205">
        <v>7.2393999999999998</v>
      </c>
      <c r="AU217" s="205">
        <v>22.974989999999998</v>
      </c>
      <c r="AV217" s="205">
        <v>23.739920000000001</v>
      </c>
      <c r="AW217" s="205">
        <v>12.219819999999999</v>
      </c>
    </row>
    <row r="218" spans="1:49" hidden="1" outlineLevel="1">
      <c r="H218" s="226" t="s">
        <v>191</v>
      </c>
      <c r="I218" s="226"/>
      <c r="J218" s="204"/>
      <c r="K218" s="204"/>
      <c r="L218" s="204"/>
      <c r="M218" s="205"/>
      <c r="N218" s="205"/>
      <c r="O218" s="205"/>
      <c r="P218" s="204">
        <v>0</v>
      </c>
      <c r="Q218" s="204">
        <v>0</v>
      </c>
      <c r="R218" s="205">
        <v>0</v>
      </c>
      <c r="S218" s="205">
        <v>0</v>
      </c>
      <c r="T218" s="205">
        <v>0</v>
      </c>
      <c r="U218" s="205">
        <v>0</v>
      </c>
      <c r="V218" s="205">
        <v>0</v>
      </c>
      <c r="W218" s="205">
        <v>0</v>
      </c>
      <c r="X218" s="205">
        <v>0</v>
      </c>
      <c r="Y218" s="205">
        <v>0</v>
      </c>
      <c r="Z218" s="205">
        <v>0</v>
      </c>
      <c r="AA218" s="205">
        <v>0</v>
      </c>
      <c r="AB218" s="205">
        <v>0</v>
      </c>
      <c r="AC218" s="205">
        <v>0</v>
      </c>
      <c r="AD218" s="205">
        <v>0</v>
      </c>
      <c r="AE218" s="205">
        <v>0</v>
      </c>
      <c r="AF218" s="205">
        <v>0</v>
      </c>
      <c r="AG218" s="205">
        <v>0</v>
      </c>
      <c r="AH218" s="205">
        <v>0</v>
      </c>
      <c r="AI218" s="205">
        <v>0</v>
      </c>
      <c r="AJ218" s="205">
        <v>0</v>
      </c>
      <c r="AK218" s="205">
        <v>0</v>
      </c>
      <c r="AL218" s="205">
        <v>0</v>
      </c>
      <c r="AM218" s="205">
        <v>0</v>
      </c>
      <c r="AN218" s="205">
        <v>0</v>
      </c>
      <c r="AO218" s="205">
        <v>0</v>
      </c>
      <c r="AP218" s="205">
        <v>0</v>
      </c>
      <c r="AQ218" s="205">
        <v>0</v>
      </c>
      <c r="AR218" s="205">
        <v>0</v>
      </c>
      <c r="AS218" s="205">
        <v>0</v>
      </c>
      <c r="AT218" s="205">
        <v>0</v>
      </c>
      <c r="AU218" s="205">
        <v>0</v>
      </c>
      <c r="AV218" s="205">
        <v>0</v>
      </c>
      <c r="AW218" s="205">
        <v>0</v>
      </c>
    </row>
    <row r="219" spans="1:49" hidden="1" outlineLevel="1">
      <c r="H219" s="226" t="s">
        <v>192</v>
      </c>
      <c r="I219" s="226"/>
      <c r="J219" s="204"/>
      <c r="K219" s="204"/>
      <c r="L219" s="204"/>
      <c r="M219" s="205"/>
      <c r="N219" s="205"/>
      <c r="O219" s="205"/>
      <c r="P219" s="204">
        <v>9.3541600000000003</v>
      </c>
      <c r="Q219" s="204">
        <v>6.2216499999999995</v>
      </c>
      <c r="R219" s="205">
        <v>5.7536499999999995</v>
      </c>
      <c r="S219" s="205">
        <v>8.5537700000000001</v>
      </c>
      <c r="T219" s="205">
        <v>10.05311</v>
      </c>
      <c r="U219" s="205">
        <v>11.43615</v>
      </c>
      <c r="V219" s="205">
        <v>3.9767999999999999</v>
      </c>
      <c r="W219" s="205">
        <v>10.192339999999998</v>
      </c>
      <c r="X219" s="205">
        <v>3.5982500000000002</v>
      </c>
      <c r="Y219" s="205">
        <v>0.55723</v>
      </c>
      <c r="Z219" s="205">
        <v>8.3748500000000003</v>
      </c>
      <c r="AA219" s="205">
        <v>5.3902399999999995</v>
      </c>
      <c r="AB219" s="205">
        <v>6.9288999999999996</v>
      </c>
      <c r="AC219" s="205">
        <v>8.6056499999999989</v>
      </c>
      <c r="AD219" s="205">
        <v>12.00291</v>
      </c>
      <c r="AE219" s="205">
        <v>24.388439999999996</v>
      </c>
      <c r="AF219" s="205">
        <v>5.2920399999999992</v>
      </c>
      <c r="AG219" s="205">
        <v>6.7905000000000006</v>
      </c>
      <c r="AH219" s="205">
        <v>14.371700000000001</v>
      </c>
      <c r="AI219" s="205">
        <v>13.7735</v>
      </c>
      <c r="AJ219" s="205">
        <v>2.8129999999999999E-2</v>
      </c>
      <c r="AK219" s="205">
        <v>6.1776299999999997</v>
      </c>
      <c r="AL219" s="205">
        <v>9.8704300000000025</v>
      </c>
      <c r="AM219" s="205">
        <v>12.803330000000001</v>
      </c>
      <c r="AN219" s="205">
        <v>11.272070000000001</v>
      </c>
      <c r="AO219" s="205">
        <v>10.93295</v>
      </c>
      <c r="AP219" s="205">
        <v>19.342770000000005</v>
      </c>
      <c r="AQ219" s="205">
        <v>0.72104000000000013</v>
      </c>
      <c r="AR219" s="205">
        <v>6.31717</v>
      </c>
      <c r="AS219" s="205">
        <v>10.64545</v>
      </c>
      <c r="AT219" s="205">
        <v>15.48493</v>
      </c>
      <c r="AU219" s="205">
        <v>21.263150000000003</v>
      </c>
      <c r="AV219" s="205">
        <v>26.795950000000001</v>
      </c>
      <c r="AW219" s="205">
        <v>18.21011</v>
      </c>
    </row>
    <row r="220" spans="1:49" hidden="1" outlineLevel="1">
      <c r="H220" s="226" t="s">
        <v>193</v>
      </c>
      <c r="I220" s="226"/>
      <c r="J220" s="204"/>
      <c r="K220" s="204"/>
      <c r="L220" s="204"/>
      <c r="M220" s="205"/>
      <c r="N220" s="205"/>
      <c r="O220" s="205"/>
      <c r="P220" s="204">
        <v>37.345839999999995</v>
      </c>
      <c r="Q220" s="204">
        <v>0</v>
      </c>
      <c r="R220" s="205">
        <v>5.1888800000000002</v>
      </c>
      <c r="S220" s="205">
        <v>7.2750000000000004</v>
      </c>
      <c r="T220" s="205">
        <v>0</v>
      </c>
      <c r="U220" s="205">
        <v>11.83793</v>
      </c>
      <c r="V220" s="205">
        <v>19.342699999999997</v>
      </c>
      <c r="W220" s="205">
        <v>8.8439999999999994</v>
      </c>
      <c r="X220" s="205">
        <v>0</v>
      </c>
      <c r="Y220" s="205">
        <v>0</v>
      </c>
      <c r="Z220" s="205">
        <v>0</v>
      </c>
      <c r="AA220" s="205">
        <v>0</v>
      </c>
      <c r="AB220" s="205">
        <v>0</v>
      </c>
      <c r="AC220" s="205">
        <v>0</v>
      </c>
      <c r="AD220" s="205">
        <v>0</v>
      </c>
      <c r="AE220" s="205">
        <v>0</v>
      </c>
      <c r="AF220" s="205">
        <v>0</v>
      </c>
      <c r="AG220" s="205">
        <v>0</v>
      </c>
      <c r="AH220" s="205">
        <v>0</v>
      </c>
      <c r="AI220" s="205">
        <v>0</v>
      </c>
      <c r="AJ220" s="205">
        <v>0</v>
      </c>
      <c r="AK220" s="205">
        <v>0</v>
      </c>
      <c r="AL220" s="205">
        <v>0</v>
      </c>
      <c r="AM220" s="205">
        <v>0</v>
      </c>
      <c r="AN220" s="205">
        <v>0</v>
      </c>
      <c r="AO220" s="205">
        <v>0</v>
      </c>
      <c r="AP220" s="205">
        <v>0</v>
      </c>
      <c r="AQ220" s="205">
        <v>0</v>
      </c>
      <c r="AR220" s="205">
        <v>0</v>
      </c>
      <c r="AS220" s="205">
        <v>0</v>
      </c>
      <c r="AT220" s="205">
        <v>0</v>
      </c>
      <c r="AU220" s="205">
        <v>0</v>
      </c>
      <c r="AV220" s="205">
        <v>0</v>
      </c>
      <c r="AW220" s="205">
        <v>0</v>
      </c>
    </row>
    <row r="221" spans="1:49" hidden="1" outlineLevel="1">
      <c r="H221" s="226" t="s">
        <v>194</v>
      </c>
      <c r="I221" s="226"/>
      <c r="J221" s="204"/>
      <c r="K221" s="204"/>
      <c r="L221" s="204"/>
      <c r="M221" s="205"/>
      <c r="N221" s="205"/>
      <c r="O221" s="205"/>
      <c r="P221" s="204">
        <v>0.35649000000000003</v>
      </c>
      <c r="Q221" s="204">
        <v>0.24070999999999998</v>
      </c>
      <c r="R221" s="205">
        <v>0.35729999999999995</v>
      </c>
      <c r="S221" s="205">
        <v>0.21487000000000001</v>
      </c>
      <c r="T221" s="205">
        <v>1.1306500000000002</v>
      </c>
      <c r="U221" s="205">
        <v>0.26574999999999999</v>
      </c>
      <c r="V221" s="205">
        <v>0.43269000000000002</v>
      </c>
      <c r="W221" s="205">
        <v>0.30175000000000002</v>
      </c>
      <c r="X221" s="205">
        <v>0</v>
      </c>
      <c r="Y221" s="205">
        <v>0.25728000000000001</v>
      </c>
      <c r="Z221" s="205">
        <v>0.21059</v>
      </c>
      <c r="AA221" s="205">
        <v>0.24195999999999998</v>
      </c>
      <c r="AB221" s="205">
        <v>0.57428000000000001</v>
      </c>
      <c r="AC221" s="205">
        <v>0.62063000000000001</v>
      </c>
      <c r="AD221" s="205">
        <v>0.50505999999999995</v>
      </c>
      <c r="AE221" s="205">
        <v>1.7548999999999999</v>
      </c>
      <c r="AF221" s="205">
        <v>0.16322</v>
      </c>
      <c r="AG221" s="205">
        <v>0.38731000000000004</v>
      </c>
      <c r="AH221" s="205">
        <v>0.43478</v>
      </c>
      <c r="AI221" s="205">
        <v>0.36296999999999996</v>
      </c>
      <c r="AJ221" s="205">
        <v>1.0240000000000001E-2</v>
      </c>
      <c r="AK221" s="205">
        <v>0.1081</v>
      </c>
      <c r="AL221" s="205">
        <v>0.29202</v>
      </c>
      <c r="AM221" s="205">
        <v>6.1460000000000001E-2</v>
      </c>
      <c r="AN221" s="205">
        <v>3.3909999999999996E-2</v>
      </c>
      <c r="AO221" s="205">
        <v>0.33266000000000001</v>
      </c>
      <c r="AP221" s="205">
        <v>0.40439999999999998</v>
      </c>
      <c r="AQ221" s="205">
        <v>1.035E-2</v>
      </c>
      <c r="AR221" s="205">
        <v>0.26036999999999999</v>
      </c>
      <c r="AS221" s="205">
        <v>0.68929999999999991</v>
      </c>
      <c r="AT221" s="205">
        <v>0.20796999999999996</v>
      </c>
      <c r="AU221" s="205">
        <v>0.26699000000000001</v>
      </c>
      <c r="AV221" s="205">
        <v>0.75921999999999989</v>
      </c>
      <c r="AW221" s="205">
        <v>0.35469000000000001</v>
      </c>
    </row>
    <row r="222" spans="1:49" hidden="1" outlineLevel="1">
      <c r="H222" s="226" t="s">
        <v>195</v>
      </c>
      <c r="I222" s="226"/>
      <c r="J222" s="204"/>
      <c r="K222" s="204"/>
      <c r="L222" s="204"/>
      <c r="M222" s="205"/>
      <c r="N222" s="205"/>
      <c r="O222" s="205"/>
      <c r="P222" s="204">
        <v>2.6120000000000001E-2</v>
      </c>
      <c r="Q222" s="204">
        <v>1.175E-2</v>
      </c>
      <c r="R222" s="205">
        <v>5.2199999999999998E-3</v>
      </c>
      <c r="S222" s="205">
        <v>5.2199999999999998E-3</v>
      </c>
      <c r="T222" s="205">
        <v>2.6120000000000001E-2</v>
      </c>
      <c r="U222" s="205">
        <v>1.567E-2</v>
      </c>
      <c r="V222" s="205">
        <v>5.2240000000000002E-2</v>
      </c>
      <c r="W222" s="205">
        <v>3.526E-2</v>
      </c>
      <c r="X222" s="205">
        <v>0</v>
      </c>
      <c r="Y222" s="205">
        <v>7.8399999999999997E-3</v>
      </c>
      <c r="Z222" s="205">
        <v>5.2199999999999998E-3</v>
      </c>
      <c r="AA222" s="205">
        <v>1.567E-2</v>
      </c>
      <c r="AB222" s="205">
        <v>1.0449999999999999E-2</v>
      </c>
      <c r="AC222" s="205">
        <v>1.567E-2</v>
      </c>
      <c r="AD222" s="205">
        <v>1.567E-2</v>
      </c>
      <c r="AE222" s="205">
        <v>0.44834999999999997</v>
      </c>
      <c r="AF222" s="205">
        <v>0</v>
      </c>
      <c r="AG222" s="205">
        <v>1.175E-2</v>
      </c>
      <c r="AH222" s="205">
        <v>0</v>
      </c>
      <c r="AI222" s="205">
        <v>0</v>
      </c>
      <c r="AJ222" s="205">
        <v>0</v>
      </c>
      <c r="AK222" s="205">
        <v>0</v>
      </c>
      <c r="AL222" s="205">
        <v>0</v>
      </c>
      <c r="AM222" s="205">
        <v>0</v>
      </c>
      <c r="AN222" s="205">
        <v>0</v>
      </c>
      <c r="AO222" s="205">
        <v>0.10120999999999999</v>
      </c>
      <c r="AP222" s="205">
        <v>2.8049999999999999E-2</v>
      </c>
      <c r="AQ222" s="205">
        <v>0</v>
      </c>
      <c r="AR222" s="205">
        <v>4.172E-2</v>
      </c>
      <c r="AS222" s="205">
        <v>0</v>
      </c>
      <c r="AT222" s="205">
        <v>8.1810000000000008E-2</v>
      </c>
      <c r="AU222" s="205">
        <v>0.10933000000000001</v>
      </c>
      <c r="AV222" s="205">
        <v>0.16583000000000001</v>
      </c>
      <c r="AW222" s="205">
        <v>0</v>
      </c>
    </row>
    <row r="223" spans="1:49" hidden="1" outlineLevel="1">
      <c r="H223" s="226" t="s">
        <v>196</v>
      </c>
      <c r="I223" s="226"/>
      <c r="J223" s="204"/>
      <c r="K223" s="204"/>
      <c r="L223" s="204"/>
      <c r="M223" s="205"/>
      <c r="N223" s="205"/>
      <c r="O223" s="205"/>
      <c r="P223" s="204">
        <v>2.2499999999999999E-2</v>
      </c>
      <c r="Q223" s="204">
        <v>1.6879999999999999E-2</v>
      </c>
      <c r="R223" s="205">
        <v>1.6930000000000001E-2</v>
      </c>
      <c r="S223" s="205">
        <v>1.129E-2</v>
      </c>
      <c r="T223" s="205">
        <v>7.2870000000000004E-2</v>
      </c>
      <c r="U223" s="205">
        <v>3.3790000000000001E-2</v>
      </c>
      <c r="V223" s="205">
        <v>4.4940000000000001E-2</v>
      </c>
      <c r="W223" s="205">
        <v>3.789E-2</v>
      </c>
      <c r="X223" s="205">
        <v>0</v>
      </c>
      <c r="Y223" s="205">
        <v>2.9579999999999999E-2</v>
      </c>
      <c r="Z223" s="205">
        <v>5.64E-3</v>
      </c>
      <c r="AA223" s="205">
        <v>8.4700000000000001E-3</v>
      </c>
      <c r="AB223" s="205">
        <v>2.2499999999999999E-2</v>
      </c>
      <c r="AC223" s="205">
        <v>1.686E-2</v>
      </c>
      <c r="AD223" s="205">
        <v>5.0589999999999996E-2</v>
      </c>
      <c r="AE223" s="205">
        <v>0.21071999999999999</v>
      </c>
      <c r="AF223" s="205">
        <v>0</v>
      </c>
      <c r="AG223" s="205">
        <v>3.3649999999999999E-2</v>
      </c>
      <c r="AH223" s="205">
        <v>0</v>
      </c>
      <c r="AI223" s="205">
        <v>0</v>
      </c>
      <c r="AJ223" s="205">
        <v>0</v>
      </c>
      <c r="AK223" s="205">
        <v>0</v>
      </c>
      <c r="AL223" s="205">
        <v>0</v>
      </c>
      <c r="AM223" s="205">
        <v>0</v>
      </c>
      <c r="AN223" s="205">
        <v>0</v>
      </c>
      <c r="AO223" s="205">
        <v>0</v>
      </c>
      <c r="AP223" s="205">
        <v>0</v>
      </c>
      <c r="AQ223" s="205">
        <v>0</v>
      </c>
      <c r="AR223" s="205">
        <v>0</v>
      </c>
      <c r="AS223" s="205">
        <v>0</v>
      </c>
      <c r="AT223" s="205">
        <v>0</v>
      </c>
      <c r="AU223" s="205">
        <v>0</v>
      </c>
      <c r="AV223" s="205">
        <v>0</v>
      </c>
      <c r="AW223" s="205">
        <v>0.42199999999999999</v>
      </c>
    </row>
    <row r="224" spans="1:49" hidden="1" outlineLevel="1">
      <c r="H224" s="226" t="s">
        <v>197</v>
      </c>
      <c r="I224" s="226"/>
      <c r="J224" s="204"/>
      <c r="K224" s="204"/>
      <c r="L224" s="204"/>
      <c r="M224" s="205"/>
      <c r="N224" s="205"/>
      <c r="O224" s="205"/>
      <c r="P224" s="204">
        <v>0</v>
      </c>
      <c r="Q224" s="204">
        <v>0</v>
      </c>
      <c r="R224" s="205">
        <v>0</v>
      </c>
      <c r="S224" s="205">
        <v>0</v>
      </c>
      <c r="T224" s="205">
        <v>0</v>
      </c>
      <c r="U224" s="205">
        <v>0</v>
      </c>
      <c r="V224" s="205">
        <v>0</v>
      </c>
      <c r="W224" s="205">
        <v>0</v>
      </c>
      <c r="X224" s="205">
        <v>0</v>
      </c>
      <c r="Y224" s="205">
        <v>0</v>
      </c>
      <c r="Z224" s="205">
        <v>0</v>
      </c>
      <c r="AA224" s="205">
        <v>0</v>
      </c>
      <c r="AB224" s="205">
        <v>0</v>
      </c>
      <c r="AC224" s="205">
        <v>0</v>
      </c>
      <c r="AD224" s="205">
        <v>0</v>
      </c>
      <c r="AE224" s="205">
        <v>0</v>
      </c>
      <c r="AF224" s="205">
        <v>0</v>
      </c>
      <c r="AG224" s="205">
        <v>0</v>
      </c>
      <c r="AH224" s="205">
        <v>0</v>
      </c>
      <c r="AI224" s="205">
        <v>0</v>
      </c>
      <c r="AJ224" s="205">
        <v>0</v>
      </c>
      <c r="AK224" s="205">
        <v>0</v>
      </c>
      <c r="AL224" s="205">
        <v>0</v>
      </c>
      <c r="AM224" s="205">
        <v>0</v>
      </c>
      <c r="AN224" s="205">
        <v>0</v>
      </c>
      <c r="AO224" s="205">
        <v>0</v>
      </c>
      <c r="AP224" s="205">
        <v>0</v>
      </c>
      <c r="AQ224" s="205">
        <v>0</v>
      </c>
      <c r="AR224" s="205">
        <v>0</v>
      </c>
      <c r="AS224" s="205">
        <v>0</v>
      </c>
      <c r="AT224" s="205">
        <v>0</v>
      </c>
      <c r="AU224" s="205">
        <v>0</v>
      </c>
      <c r="AV224" s="205">
        <v>0</v>
      </c>
      <c r="AW224" s="205">
        <v>0</v>
      </c>
    </row>
    <row r="225" spans="1:49" hidden="1" outlineLevel="1">
      <c r="H225" s="226" t="s">
        <v>198</v>
      </c>
      <c r="I225" s="226"/>
      <c r="J225" s="204"/>
      <c r="K225" s="204"/>
      <c r="L225" s="204"/>
      <c r="M225" s="205"/>
      <c r="N225" s="205"/>
      <c r="O225" s="205"/>
      <c r="P225" s="204">
        <v>0</v>
      </c>
      <c r="Q225" s="204">
        <v>0</v>
      </c>
      <c r="R225" s="205">
        <v>0</v>
      </c>
      <c r="S225" s="205">
        <v>0</v>
      </c>
      <c r="T225" s="205">
        <v>0</v>
      </c>
      <c r="U225" s="205">
        <v>0</v>
      </c>
      <c r="V225" s="205">
        <v>0</v>
      </c>
      <c r="W225" s="205">
        <v>0</v>
      </c>
      <c r="X225" s="205">
        <v>0</v>
      </c>
      <c r="Y225" s="205">
        <v>0</v>
      </c>
      <c r="Z225" s="205">
        <v>0</v>
      </c>
      <c r="AA225" s="205">
        <v>0</v>
      </c>
      <c r="AB225" s="205">
        <v>0</v>
      </c>
      <c r="AC225" s="205">
        <v>0</v>
      </c>
      <c r="AD225" s="205">
        <v>0</v>
      </c>
      <c r="AE225" s="205">
        <v>0</v>
      </c>
      <c r="AF225" s="205">
        <v>0</v>
      </c>
      <c r="AG225" s="205">
        <v>0</v>
      </c>
      <c r="AH225" s="205">
        <v>0</v>
      </c>
      <c r="AI225" s="205">
        <v>0</v>
      </c>
      <c r="AJ225" s="205">
        <v>0</v>
      </c>
      <c r="AK225" s="205">
        <v>0</v>
      </c>
      <c r="AL225" s="205">
        <v>0</v>
      </c>
      <c r="AM225" s="205">
        <v>0</v>
      </c>
      <c r="AN225" s="205">
        <v>0</v>
      </c>
      <c r="AO225" s="205">
        <v>0</v>
      </c>
      <c r="AP225" s="205">
        <v>0</v>
      </c>
      <c r="AQ225" s="205">
        <v>0</v>
      </c>
      <c r="AR225" s="205">
        <v>0</v>
      </c>
      <c r="AS225" s="205">
        <v>0</v>
      </c>
      <c r="AT225" s="205">
        <v>0</v>
      </c>
      <c r="AU225" s="205">
        <v>0</v>
      </c>
      <c r="AV225" s="205">
        <v>0</v>
      </c>
      <c r="AW225" s="205">
        <v>0</v>
      </c>
    </row>
    <row r="226" spans="1:49" hidden="1" outlineLevel="1">
      <c r="H226" s="226" t="s">
        <v>199</v>
      </c>
      <c r="I226" s="226"/>
      <c r="J226" s="204"/>
      <c r="K226" s="204"/>
      <c r="L226" s="204"/>
      <c r="M226" s="205"/>
      <c r="N226" s="205"/>
      <c r="O226" s="205"/>
      <c r="P226" s="204">
        <v>0</v>
      </c>
      <c r="Q226" s="204">
        <v>0</v>
      </c>
      <c r="R226" s="205">
        <v>0</v>
      </c>
      <c r="S226" s="205">
        <v>0</v>
      </c>
      <c r="T226" s="205">
        <v>0</v>
      </c>
      <c r="U226" s="205">
        <v>0</v>
      </c>
      <c r="V226" s="205">
        <v>0</v>
      </c>
      <c r="W226" s="205">
        <v>0</v>
      </c>
      <c r="X226" s="205">
        <v>0</v>
      </c>
      <c r="Y226" s="205">
        <v>0</v>
      </c>
      <c r="Z226" s="205">
        <v>0</v>
      </c>
      <c r="AA226" s="205">
        <v>0</v>
      </c>
      <c r="AB226" s="205">
        <v>0</v>
      </c>
      <c r="AC226" s="205">
        <v>0</v>
      </c>
      <c r="AD226" s="205">
        <v>0</v>
      </c>
      <c r="AE226" s="205">
        <v>0</v>
      </c>
      <c r="AF226" s="205">
        <v>0</v>
      </c>
      <c r="AG226" s="205">
        <v>0</v>
      </c>
      <c r="AH226" s="205">
        <v>0</v>
      </c>
      <c r="AI226" s="205">
        <v>0</v>
      </c>
      <c r="AJ226" s="205">
        <v>0</v>
      </c>
      <c r="AK226" s="205">
        <v>0</v>
      </c>
      <c r="AL226" s="205">
        <v>0</v>
      </c>
      <c r="AM226" s="205">
        <v>0</v>
      </c>
      <c r="AN226" s="205">
        <v>0</v>
      </c>
      <c r="AO226" s="205">
        <v>0</v>
      </c>
      <c r="AP226" s="205">
        <v>0</v>
      </c>
      <c r="AQ226" s="205">
        <v>0</v>
      </c>
      <c r="AR226" s="205">
        <v>0</v>
      </c>
      <c r="AS226" s="205">
        <v>0</v>
      </c>
      <c r="AT226" s="205">
        <v>0</v>
      </c>
      <c r="AU226" s="205">
        <v>0</v>
      </c>
      <c r="AV226" s="205">
        <v>0</v>
      </c>
      <c r="AW226" s="205">
        <v>0</v>
      </c>
    </row>
    <row r="227" spans="1:49" hidden="1" outlineLevel="1">
      <c r="H227" s="226" t="s">
        <v>200</v>
      </c>
      <c r="I227" s="226"/>
      <c r="J227" s="204"/>
      <c r="K227" s="204"/>
      <c r="L227" s="204"/>
      <c r="M227" s="205"/>
      <c r="N227" s="205"/>
      <c r="O227" s="205"/>
      <c r="P227" s="204">
        <v>0</v>
      </c>
      <c r="Q227" s="204">
        <v>0</v>
      </c>
      <c r="R227" s="205">
        <v>0</v>
      </c>
      <c r="S227" s="205">
        <v>0</v>
      </c>
      <c r="T227" s="205">
        <v>0</v>
      </c>
      <c r="U227" s="205">
        <v>0</v>
      </c>
      <c r="V227" s="205">
        <v>0</v>
      </c>
      <c r="W227" s="205">
        <v>0</v>
      </c>
      <c r="X227" s="205">
        <v>0</v>
      </c>
      <c r="Y227" s="205">
        <v>0</v>
      </c>
      <c r="Z227" s="205">
        <v>0</v>
      </c>
      <c r="AA227" s="205">
        <v>0</v>
      </c>
      <c r="AB227" s="205">
        <v>0</v>
      </c>
      <c r="AC227" s="205">
        <v>0</v>
      </c>
      <c r="AD227" s="205">
        <v>0</v>
      </c>
      <c r="AE227" s="205">
        <v>0</v>
      </c>
      <c r="AF227" s="205">
        <v>0</v>
      </c>
      <c r="AG227" s="205">
        <v>0</v>
      </c>
      <c r="AH227" s="205">
        <v>0</v>
      </c>
      <c r="AI227" s="205">
        <v>0</v>
      </c>
      <c r="AJ227" s="205">
        <v>0</v>
      </c>
      <c r="AK227" s="205">
        <v>0</v>
      </c>
      <c r="AL227" s="205">
        <v>0</v>
      </c>
      <c r="AM227" s="205">
        <v>0</v>
      </c>
      <c r="AN227" s="205">
        <v>0</v>
      </c>
      <c r="AO227" s="205">
        <v>0</v>
      </c>
      <c r="AP227" s="205">
        <v>0</v>
      </c>
      <c r="AQ227" s="205">
        <v>0</v>
      </c>
      <c r="AR227" s="205">
        <v>0</v>
      </c>
      <c r="AS227" s="205">
        <v>0</v>
      </c>
      <c r="AT227" s="205">
        <v>0</v>
      </c>
      <c r="AU227" s="205">
        <v>0</v>
      </c>
      <c r="AV227" s="205">
        <v>0</v>
      </c>
      <c r="AW227" s="205">
        <v>0</v>
      </c>
    </row>
    <row r="228" spans="1:49" hidden="1" outlineLevel="1">
      <c r="H228" s="226" t="s">
        <v>201</v>
      </c>
      <c r="I228" s="226"/>
      <c r="J228" s="204"/>
      <c r="K228" s="204"/>
      <c r="L228" s="204"/>
      <c r="M228" s="205"/>
      <c r="N228" s="205"/>
      <c r="O228" s="205"/>
      <c r="P228" s="204">
        <v>0</v>
      </c>
      <c r="Q228" s="204">
        <v>0</v>
      </c>
      <c r="R228" s="205">
        <v>0</v>
      </c>
      <c r="S228" s="205">
        <v>0</v>
      </c>
      <c r="T228" s="205">
        <v>0</v>
      </c>
      <c r="U228" s="205">
        <v>0</v>
      </c>
      <c r="V228" s="205">
        <v>0</v>
      </c>
      <c r="W228" s="205">
        <v>0</v>
      </c>
      <c r="X228" s="205">
        <v>0</v>
      </c>
      <c r="Y228" s="205">
        <v>0</v>
      </c>
      <c r="Z228" s="205">
        <v>0</v>
      </c>
      <c r="AA228" s="205">
        <v>0</v>
      </c>
      <c r="AB228" s="205">
        <v>0</v>
      </c>
      <c r="AC228" s="205">
        <v>0</v>
      </c>
      <c r="AD228" s="205">
        <v>0</v>
      </c>
      <c r="AE228" s="205">
        <v>0</v>
      </c>
      <c r="AF228" s="205">
        <v>0</v>
      </c>
      <c r="AG228" s="205">
        <v>0</v>
      </c>
      <c r="AH228" s="205">
        <v>0</v>
      </c>
      <c r="AI228" s="205">
        <v>0</v>
      </c>
      <c r="AJ228" s="205">
        <v>0</v>
      </c>
      <c r="AK228" s="205">
        <v>0</v>
      </c>
      <c r="AL228" s="205">
        <v>0</v>
      </c>
      <c r="AM228" s="205">
        <v>0</v>
      </c>
      <c r="AN228" s="205">
        <v>0</v>
      </c>
      <c r="AO228" s="205">
        <v>0</v>
      </c>
      <c r="AP228" s="205">
        <v>0</v>
      </c>
      <c r="AQ228" s="205">
        <v>0</v>
      </c>
      <c r="AR228" s="205">
        <v>0</v>
      </c>
      <c r="AS228" s="205">
        <v>0</v>
      </c>
      <c r="AT228" s="205">
        <v>0</v>
      </c>
      <c r="AU228" s="205">
        <v>0</v>
      </c>
      <c r="AV228" s="205">
        <v>0</v>
      </c>
      <c r="AW228" s="205">
        <v>0</v>
      </c>
    </row>
    <row r="229" spans="1:49" hidden="1" outlineLevel="1">
      <c r="H229" s="226" t="s">
        <v>202</v>
      </c>
      <c r="I229" s="226"/>
      <c r="J229" s="204"/>
      <c r="K229" s="204"/>
      <c r="L229" s="204"/>
      <c r="M229" s="205"/>
      <c r="N229" s="205"/>
      <c r="O229" s="205"/>
      <c r="P229" s="204">
        <v>0</v>
      </c>
      <c r="Q229" s="204">
        <v>0</v>
      </c>
      <c r="R229" s="205">
        <v>0</v>
      </c>
      <c r="S229" s="205">
        <v>0</v>
      </c>
      <c r="T229" s="205">
        <v>0</v>
      </c>
      <c r="U229" s="205">
        <v>0</v>
      </c>
      <c r="V229" s="205">
        <v>0</v>
      </c>
      <c r="W229" s="205">
        <v>0</v>
      </c>
      <c r="X229" s="205">
        <v>0</v>
      </c>
      <c r="Y229" s="205">
        <v>0</v>
      </c>
      <c r="Z229" s="205">
        <v>0</v>
      </c>
      <c r="AA229" s="205">
        <v>0</v>
      </c>
      <c r="AB229" s="205">
        <v>0</v>
      </c>
      <c r="AC229" s="205">
        <v>0</v>
      </c>
      <c r="AD229" s="205">
        <v>0</v>
      </c>
      <c r="AE229" s="205">
        <v>0</v>
      </c>
      <c r="AF229" s="205">
        <v>0</v>
      </c>
      <c r="AG229" s="205">
        <v>0</v>
      </c>
      <c r="AH229" s="205">
        <v>0</v>
      </c>
      <c r="AI229" s="205">
        <v>0</v>
      </c>
      <c r="AJ229" s="205">
        <v>0</v>
      </c>
      <c r="AK229" s="205">
        <v>0</v>
      </c>
      <c r="AL229" s="205">
        <v>0</v>
      </c>
      <c r="AM229" s="205">
        <v>0</v>
      </c>
      <c r="AN229" s="205">
        <v>0</v>
      </c>
      <c r="AO229" s="205">
        <v>0</v>
      </c>
      <c r="AP229" s="205">
        <v>0</v>
      </c>
      <c r="AQ229" s="205">
        <v>0</v>
      </c>
      <c r="AR229" s="205">
        <v>0</v>
      </c>
      <c r="AS229" s="205">
        <v>0</v>
      </c>
      <c r="AT229" s="205">
        <v>0</v>
      </c>
      <c r="AU229" s="205">
        <v>0</v>
      </c>
      <c r="AV229" s="205">
        <v>0</v>
      </c>
      <c r="AW229" s="205">
        <v>0</v>
      </c>
    </row>
    <row r="230" spans="1:49" collapsed="1">
      <c r="A230" t="s">
        <v>203</v>
      </c>
      <c r="H230" s="206" t="s">
        <v>203</v>
      </c>
      <c r="I230" s="206"/>
      <c r="J230" s="207">
        <f>SUMIFS($P230:$AW230,$P$3:$AW$3,J$4)</f>
        <v>306.49848999999995</v>
      </c>
      <c r="K230" s="207">
        <f>J230-AE230-AF230</f>
        <v>271.17424</v>
      </c>
      <c r="L230" s="207">
        <f t="shared" ref="L230:N230" si="72">SUMIFS($P230:$AW230,$P$3:$AW$3,L$4)</f>
        <v>211.27037000000001</v>
      </c>
      <c r="M230" s="207">
        <f t="shared" si="72"/>
        <v>90.143910000000005</v>
      </c>
      <c r="N230" s="207">
        <f t="shared" si="72"/>
        <v>31.206620000000001</v>
      </c>
      <c r="O230" s="208"/>
      <c r="P230" s="207">
        <f>SUBTOTAL(9,P217:P229)</f>
        <v>51.453240000000001</v>
      </c>
      <c r="Q230" s="207">
        <f t="shared" ref="Q230:AW230" si="73">SUBTOTAL(9,Q217:Q229)</f>
        <v>8.9761199999999999</v>
      </c>
      <c r="R230" s="208">
        <f t="shared" si="73"/>
        <v>14.94741</v>
      </c>
      <c r="S230" s="208">
        <f t="shared" si="73"/>
        <v>23.036770000000001</v>
      </c>
      <c r="T230" s="208">
        <f t="shared" si="73"/>
        <v>19.14226</v>
      </c>
      <c r="U230" s="208">
        <f t="shared" si="73"/>
        <v>25.516100000000002</v>
      </c>
      <c r="V230" s="208">
        <f t="shared" si="73"/>
        <v>26.900939999999999</v>
      </c>
      <c r="W230" s="208">
        <f t="shared" si="73"/>
        <v>21.810839999999995</v>
      </c>
      <c r="X230" s="208">
        <f t="shared" si="73"/>
        <v>3.5982500000000002</v>
      </c>
      <c r="Y230" s="208">
        <f t="shared" si="73"/>
        <v>4.4519899999999994</v>
      </c>
      <c r="Z230" s="208">
        <f t="shared" si="73"/>
        <v>10.966419999999999</v>
      </c>
      <c r="AA230" s="208">
        <f t="shared" si="73"/>
        <v>9.8644700000000007</v>
      </c>
      <c r="AB230" s="208">
        <f t="shared" si="73"/>
        <v>9.8888400000000019</v>
      </c>
      <c r="AC230" s="208">
        <f t="shared" si="73"/>
        <v>16.045919999999999</v>
      </c>
      <c r="AD230" s="208">
        <f t="shared" si="73"/>
        <v>15.244730000000001</v>
      </c>
      <c r="AE230" s="208">
        <f t="shared" si="73"/>
        <v>29.845069999999993</v>
      </c>
      <c r="AF230" s="208">
        <f t="shared" si="73"/>
        <v>5.4791799999999995</v>
      </c>
      <c r="AG230" s="208">
        <f t="shared" si="73"/>
        <v>9.3299399999999988</v>
      </c>
      <c r="AH230" s="208">
        <f t="shared" si="73"/>
        <v>43.749870000000001</v>
      </c>
      <c r="AI230" s="208">
        <f t="shared" si="73"/>
        <v>17.103730000000002</v>
      </c>
      <c r="AJ230" s="208">
        <f t="shared" si="73"/>
        <v>3.8370000000000001E-2</v>
      </c>
      <c r="AK230" s="208">
        <f t="shared" si="73"/>
        <v>7.1287599999999998</v>
      </c>
      <c r="AL230" s="208">
        <f t="shared" si="73"/>
        <v>12.595080000000003</v>
      </c>
      <c r="AM230" s="208">
        <f t="shared" si="73"/>
        <v>15.316140000000001</v>
      </c>
      <c r="AN230" s="208">
        <f t="shared" si="73"/>
        <v>11.315690000000002</v>
      </c>
      <c r="AO230" s="208">
        <f t="shared" si="73"/>
        <v>22.268799999999999</v>
      </c>
      <c r="AP230" s="208">
        <f t="shared" si="73"/>
        <v>31.611570000000007</v>
      </c>
      <c r="AQ230" s="208">
        <f t="shared" si="73"/>
        <v>0.7313900000000001</v>
      </c>
      <c r="AR230" s="208">
        <f t="shared" si="73"/>
        <v>17.555089999999996</v>
      </c>
      <c r="AS230" s="208">
        <f t="shared" si="73"/>
        <v>20.745419999999999</v>
      </c>
      <c r="AT230" s="208">
        <f t="shared" si="73"/>
        <v>23.014110000000002</v>
      </c>
      <c r="AU230" s="208">
        <f t="shared" si="73"/>
        <v>44.614460000000001</v>
      </c>
      <c r="AV230" s="208">
        <f t="shared" si="73"/>
        <v>51.460920000000002</v>
      </c>
      <c r="AW230" s="208">
        <f t="shared" si="73"/>
        <v>31.206620000000001</v>
      </c>
    </row>
    <row r="231" spans="1:49">
      <c r="H231" s="216"/>
      <c r="I231" s="216"/>
      <c r="J231" s="61"/>
      <c r="K231" s="61"/>
      <c r="L231" s="61"/>
      <c r="P231" s="61"/>
      <c r="Q231" s="61"/>
    </row>
    <row r="232" spans="1:49" s="227" customFormat="1">
      <c r="H232" s="228" t="s">
        <v>204</v>
      </c>
      <c r="I232" s="228"/>
      <c r="J232" s="221">
        <f t="shared" ref="J232:N232" si="74">SUBTOTAL(9,J161:J230)</f>
        <v>10523.797839999999</v>
      </c>
      <c r="K232" s="221">
        <f t="shared" ref="K232" si="75">SUBTOTAL(9,K161:K230)</f>
        <v>6020.5584500000014</v>
      </c>
      <c r="L232" s="221">
        <f t="shared" si="74"/>
        <v>4051.6871599999999</v>
      </c>
      <c r="M232" s="221">
        <f t="shared" si="74"/>
        <v>3733.3476300000002</v>
      </c>
      <c r="N232" s="221">
        <f t="shared" si="74"/>
        <v>591.45916</v>
      </c>
      <c r="P232" s="221">
        <f>SUBTOTAL(9,P161:P230)</f>
        <v>393.39945000000006</v>
      </c>
      <c r="Q232" s="221">
        <f t="shared" ref="Q232:AW232" si="76">SUBTOTAL(9,Q161:Q230)</f>
        <v>250.1232</v>
      </c>
      <c r="R232" s="222">
        <f t="shared" si="76"/>
        <v>390.90142000000003</v>
      </c>
      <c r="S232" s="222">
        <f t="shared" si="76"/>
        <v>472.96217000000001</v>
      </c>
      <c r="T232" s="222">
        <f t="shared" si="76"/>
        <v>485.59493000000015</v>
      </c>
      <c r="U232" s="222">
        <f t="shared" si="76"/>
        <v>422.56788</v>
      </c>
      <c r="V232" s="222">
        <f t="shared" si="76"/>
        <v>457.32726999999994</v>
      </c>
      <c r="W232" s="222">
        <f t="shared" si="76"/>
        <v>341.19930999999997</v>
      </c>
      <c r="X232" s="222">
        <f t="shared" si="76"/>
        <v>192.21734000000001</v>
      </c>
      <c r="Y232" s="222">
        <f t="shared" si="76"/>
        <v>262.72556999999995</v>
      </c>
      <c r="Z232" s="222">
        <f t="shared" si="76"/>
        <v>319.00695000000013</v>
      </c>
      <c r="AA232" s="222">
        <f t="shared" si="76"/>
        <v>264.62528999999995</v>
      </c>
      <c r="AB232" s="222">
        <f t="shared" si="76"/>
        <v>555.12389000000007</v>
      </c>
      <c r="AC232" s="222">
        <f t="shared" si="76"/>
        <v>533.39682999999991</v>
      </c>
      <c r="AD232" s="222">
        <f t="shared" si="76"/>
        <v>346.01319000000007</v>
      </c>
      <c r="AE232" s="222">
        <f t="shared" si="76"/>
        <v>4110.8351299999995</v>
      </c>
      <c r="AF232" s="222">
        <f t="shared" si="76"/>
        <v>392.40426000000014</v>
      </c>
      <c r="AG232" s="222">
        <f t="shared" si="76"/>
        <v>333.37376000000012</v>
      </c>
      <c r="AH232" s="222">
        <f t="shared" si="76"/>
        <v>1696.0667199999993</v>
      </c>
      <c r="AI232" s="222">
        <f t="shared" si="76"/>
        <v>397.91069999999996</v>
      </c>
      <c r="AJ232" s="222">
        <f t="shared" si="76"/>
        <v>265.87085999999994</v>
      </c>
      <c r="AK232" s="222">
        <f t="shared" si="76"/>
        <v>294.47487000000007</v>
      </c>
      <c r="AL232" s="222">
        <f t="shared" si="76"/>
        <v>641.83869000000004</v>
      </c>
      <c r="AM232" s="222">
        <f t="shared" si="76"/>
        <v>468.24209999999999</v>
      </c>
      <c r="AN232" s="222">
        <f t="shared" si="76"/>
        <v>366.85439000000008</v>
      </c>
      <c r="AO232" s="222">
        <f t="shared" si="76"/>
        <v>587.06982000000016</v>
      </c>
      <c r="AP232" s="222">
        <f t="shared" si="76"/>
        <v>613.84995000000015</v>
      </c>
      <c r="AQ232" s="222">
        <f t="shared" si="76"/>
        <v>209.24403999999996</v>
      </c>
      <c r="AR232" s="222">
        <f t="shared" si="76"/>
        <v>475.92831000000001</v>
      </c>
      <c r="AS232" s="222">
        <f t="shared" si="76"/>
        <v>377.72935999999993</v>
      </c>
      <c r="AT232" s="222">
        <f t="shared" si="76"/>
        <v>445.57412999999997</v>
      </c>
      <c r="AU232" s="222">
        <f t="shared" si="76"/>
        <v>672.03000999999983</v>
      </c>
      <c r="AV232" s="222">
        <f t="shared" si="76"/>
        <v>879.50558000000001</v>
      </c>
      <c r="AW232" s="222">
        <f t="shared" si="76"/>
        <v>591.45916000000011</v>
      </c>
    </row>
    <row r="233" spans="1:49" s="22" customFormat="1">
      <c r="H233" s="217" t="s">
        <v>399</v>
      </c>
      <c r="I233" s="217"/>
      <c r="J233" s="223">
        <f t="shared" ref="J233:N233" si="77">J232/J$57</f>
        <v>0.29030128578023801</v>
      </c>
      <c r="K233" s="223">
        <f t="shared" si="77"/>
        <v>0.21683127411830597</v>
      </c>
      <c r="L233" s="223">
        <f t="shared" si="77"/>
        <v>0.2322279210856863</v>
      </c>
      <c r="M233" s="223">
        <f t="shared" si="77"/>
        <v>0.47640184242160333</v>
      </c>
      <c r="N233" s="223">
        <f t="shared" si="77"/>
        <v>8.385405987841961E-2</v>
      </c>
      <c r="O233" s="234"/>
      <c r="P233" s="223">
        <f>P232/P$57</f>
        <v>0.1937143696043038</v>
      </c>
      <c r="Q233" s="223">
        <f t="shared" ref="Q233:AW233" si="78">Q232/Q$57</f>
        <v>0.30633131402033736</v>
      </c>
      <c r="R233" s="224">
        <f t="shared" si="78"/>
        <v>0.23337374244606746</v>
      </c>
      <c r="S233" s="224">
        <f t="shared" si="78"/>
        <v>0.2730198770962467</v>
      </c>
      <c r="T233" s="224">
        <f t="shared" si="78"/>
        <v>0.13533039777566902</v>
      </c>
      <c r="U233" s="224">
        <f t="shared" si="78"/>
        <v>0.20825965267781382</v>
      </c>
      <c r="V233" s="224">
        <f t="shared" si="78"/>
        <v>0.12795863332033156</v>
      </c>
      <c r="W233" s="224">
        <f t="shared" si="78"/>
        <v>0.15120302278320411</v>
      </c>
      <c r="X233" s="224">
        <f t="shared" si="78"/>
        <v>0.2549742385835535</v>
      </c>
      <c r="Y233" s="224">
        <f t="shared" si="78"/>
        <v>0.26580290311076482</v>
      </c>
      <c r="Z233" s="224">
        <f t="shared" si="78"/>
        <v>0.32998875124922344</v>
      </c>
      <c r="AA233" s="224">
        <f t="shared" si="78"/>
        <v>0.35340983457593222</v>
      </c>
      <c r="AB233" s="224">
        <f t="shared" si="78"/>
        <v>0.48053041384240597</v>
      </c>
      <c r="AC233" s="224">
        <f t="shared" si="78"/>
        <v>0.22037883363168725</v>
      </c>
      <c r="AD233" s="224">
        <f t="shared" si="78"/>
        <v>0.16000508870774025</v>
      </c>
      <c r="AE233" s="224">
        <f t="shared" si="78"/>
        <v>0.53343207313487939</v>
      </c>
      <c r="AF233" s="224">
        <f t="shared" si="78"/>
        <v>0.50385194093948671</v>
      </c>
      <c r="AG233" s="224">
        <f t="shared" si="78"/>
        <v>0.38421369624032314</v>
      </c>
      <c r="AH233" s="224">
        <f t="shared" si="78"/>
        <v>0.5295475040345029</v>
      </c>
      <c r="AI233" s="224">
        <f t="shared" si="78"/>
        <v>0.18781545563616148</v>
      </c>
      <c r="AJ233" s="224">
        <f t="shared" si="78"/>
        <v>-3.3633345975156397</v>
      </c>
      <c r="AK233" s="224">
        <f t="shared" si="78"/>
        <v>0.37774274255141915</v>
      </c>
      <c r="AL233" s="224">
        <f t="shared" si="78"/>
        <v>0.3742379697602346</v>
      </c>
      <c r="AM233" s="224">
        <f t="shared" si="78"/>
        <v>0.28123735424106422</v>
      </c>
      <c r="AN233" s="224">
        <f t="shared" si="78"/>
        <v>0.66316669124852268</v>
      </c>
      <c r="AO233" s="224">
        <f t="shared" si="78"/>
        <v>0.23773528504207012</v>
      </c>
      <c r="AP233" s="224">
        <f t="shared" si="78"/>
        <v>0.30952897572403659</v>
      </c>
      <c r="AQ233" s="224">
        <f t="shared" si="78"/>
        <v>0.42844453985271203</v>
      </c>
      <c r="AR233" s="224">
        <f t="shared" si="78"/>
        <v>0.34683656065754498</v>
      </c>
      <c r="AS233" s="224">
        <f t="shared" si="78"/>
        <v>0.52409247025347339</v>
      </c>
      <c r="AT233" s="224">
        <f t="shared" si="78"/>
        <v>0.2580230097386757</v>
      </c>
      <c r="AU233" s="224">
        <f t="shared" si="78"/>
        <v>0.25378950765844555</v>
      </c>
      <c r="AV233" s="224">
        <f t="shared" si="78"/>
        <v>0.13475625350813156</v>
      </c>
      <c r="AW233" s="224">
        <f t="shared" si="78"/>
        <v>8.3854059878419623E-2</v>
      </c>
    </row>
    <row r="234" spans="1:49">
      <c r="H234" s="217"/>
      <c r="I234" s="217"/>
      <c r="J234" s="61"/>
      <c r="K234" s="61"/>
      <c r="L234" s="61"/>
      <c r="P234" s="61"/>
      <c r="Q234" s="61"/>
    </row>
    <row r="235" spans="1:49" s="227" customFormat="1" ht="15" thickBot="1">
      <c r="A235" s="227" t="s">
        <v>257</v>
      </c>
      <c r="H235" s="229" t="s">
        <v>400</v>
      </c>
      <c r="I235" s="229"/>
      <c r="J235" s="230">
        <f>J92-J158-J232</f>
        <v>11122.699000000001</v>
      </c>
      <c r="K235" s="230">
        <f>K92-K158-K232</f>
        <v>10382.952239999995</v>
      </c>
      <c r="L235" s="230">
        <f t="shared" ref="L235:N235" si="79">L92-L158-L232</f>
        <v>5407.071200000004</v>
      </c>
      <c r="M235" s="230">
        <f t="shared" si="79"/>
        <v>500.79385999999977</v>
      </c>
      <c r="N235" s="230">
        <f t="shared" si="79"/>
        <v>3981.8391200000001</v>
      </c>
      <c r="P235" s="230">
        <f>P92-P158-P232</f>
        <v>908.56763999999953</v>
      </c>
      <c r="Q235" s="230">
        <f t="shared" ref="Q235:AW235" si="80">Q92-Q158-Q232</f>
        <v>232.80654000000004</v>
      </c>
      <c r="R235" s="231">
        <f t="shared" si="80"/>
        <v>685.9600700000002</v>
      </c>
      <c r="S235" s="231">
        <f t="shared" si="80"/>
        <v>629.93905000000018</v>
      </c>
      <c r="T235" s="231">
        <f t="shared" si="80"/>
        <v>1546.2212300000003</v>
      </c>
      <c r="U235" s="231">
        <f t="shared" si="80"/>
        <v>980.94280999999955</v>
      </c>
      <c r="V235" s="231">
        <f t="shared" si="80"/>
        <v>1928.0186899999997</v>
      </c>
      <c r="W235" s="231">
        <f t="shared" si="80"/>
        <v>985.07050999999979</v>
      </c>
      <c r="X235" s="231">
        <f t="shared" si="80"/>
        <v>319.09225000000004</v>
      </c>
      <c r="Y235" s="231">
        <f t="shared" si="80"/>
        <v>333.0090100000001</v>
      </c>
      <c r="Z235" s="231">
        <f t="shared" si="80"/>
        <v>308.53835999999984</v>
      </c>
      <c r="AA235" s="231">
        <f t="shared" si="80"/>
        <v>147.43362000000002</v>
      </c>
      <c r="AB235" s="231">
        <f t="shared" si="80"/>
        <v>-232.65706999999998</v>
      </c>
      <c r="AC235" s="231">
        <f t="shared" si="80"/>
        <v>796.96234000000072</v>
      </c>
      <c r="AD235" s="231">
        <f t="shared" si="80"/>
        <v>914.22757999999999</v>
      </c>
      <c r="AE235" s="231">
        <f t="shared" si="80"/>
        <v>740.67501000000084</v>
      </c>
      <c r="AF235" s="231">
        <f t="shared" si="80"/>
        <v>-0.92825000000027558</v>
      </c>
      <c r="AG235" s="231">
        <f t="shared" si="80"/>
        <v>-101.18039000000039</v>
      </c>
      <c r="AH235" s="231">
        <f t="shared" si="80"/>
        <v>229.09511000000066</v>
      </c>
      <c r="AI235" s="231">
        <f t="shared" si="80"/>
        <v>739.1246699999997</v>
      </c>
      <c r="AJ235" s="231">
        <f t="shared" si="80"/>
        <v>-346.12339999999995</v>
      </c>
      <c r="AK235" s="231">
        <f t="shared" si="80"/>
        <v>12.873819999999967</v>
      </c>
      <c r="AL235" s="231">
        <f t="shared" si="80"/>
        <v>389.13312999999971</v>
      </c>
      <c r="AM235" s="231">
        <f t="shared" si="80"/>
        <v>396.75447999999977</v>
      </c>
      <c r="AN235" s="231">
        <f t="shared" si="80"/>
        <v>-180.93928000000011</v>
      </c>
      <c r="AO235" s="231">
        <f t="shared" si="80"/>
        <v>688.69285999999965</v>
      </c>
      <c r="AP235" s="231">
        <f t="shared" si="80"/>
        <v>307.75139999999988</v>
      </c>
      <c r="AQ235" s="231">
        <f t="shared" si="80"/>
        <v>162.11351999999997</v>
      </c>
      <c r="AR235" s="231">
        <f t="shared" si="80"/>
        <v>177.97671999999977</v>
      </c>
      <c r="AS235" s="231">
        <f t="shared" si="80"/>
        <v>-38.368149999999787</v>
      </c>
      <c r="AT235" s="231">
        <f t="shared" si="80"/>
        <v>377.1636000000002</v>
      </c>
      <c r="AU235" s="231">
        <f t="shared" si="80"/>
        <v>928.42215000000044</v>
      </c>
      <c r="AV235" s="231">
        <f t="shared" si="80"/>
        <v>2965.4326199999996</v>
      </c>
      <c r="AW235" s="231">
        <f t="shared" si="80"/>
        <v>3981.8391199999996</v>
      </c>
    </row>
    <row r="236" spans="1:49" s="22" customFormat="1" ht="15" thickTop="1">
      <c r="H236" s="217" t="s">
        <v>401</v>
      </c>
      <c r="I236" s="217"/>
      <c r="J236" s="224"/>
      <c r="K236" s="224"/>
      <c r="L236" s="224"/>
      <c r="M236" s="224"/>
      <c r="N236" s="224"/>
      <c r="O236" s="234"/>
      <c r="P236" s="224">
        <f>P235/P$57</f>
        <v>0.44738905360815812</v>
      </c>
      <c r="Q236" s="224">
        <f t="shared" ref="Q236:AW236" si="81">Q235/Q$57</f>
        <v>0.28512322451787059</v>
      </c>
      <c r="R236" s="224">
        <f t="shared" si="81"/>
        <v>0.40952797946977637</v>
      </c>
      <c r="S236" s="224">
        <f t="shared" si="81"/>
        <v>0.36363559903559828</v>
      </c>
      <c r="T236" s="224">
        <f t="shared" si="81"/>
        <v>0.43091622498011706</v>
      </c>
      <c r="U236" s="224">
        <f t="shared" si="81"/>
        <v>0.48345086926010239</v>
      </c>
      <c r="V236" s="224">
        <f t="shared" si="81"/>
        <v>0.53945315045056452</v>
      </c>
      <c r="W236" s="224">
        <f t="shared" si="81"/>
        <v>0.4365355802348852</v>
      </c>
      <c r="X236" s="224">
        <f t="shared" si="81"/>
        <v>0.42327244504404704</v>
      </c>
      <c r="Y236" s="224">
        <f t="shared" si="81"/>
        <v>0.33690958067020943</v>
      </c>
      <c r="Z236" s="224">
        <f t="shared" si="81"/>
        <v>0.31915978046523202</v>
      </c>
      <c r="AA236" s="224">
        <f t="shared" si="81"/>
        <v>0.19689913709733062</v>
      </c>
      <c r="AB236" s="224">
        <f t="shared" si="81"/>
        <v>-0.20139431961838569</v>
      </c>
      <c r="AC236" s="224">
        <f t="shared" si="81"/>
        <v>0.32927385589745695</v>
      </c>
      <c r="AD236" s="224">
        <f t="shared" si="81"/>
        <v>0.422761528359548</v>
      </c>
      <c r="AE236" s="224">
        <f t="shared" si="81"/>
        <v>9.6111810279167778E-2</v>
      </c>
      <c r="AF236" s="224">
        <f t="shared" si="81"/>
        <v>-1.1918845228061929E-3</v>
      </c>
      <c r="AG236" s="224">
        <f t="shared" si="81"/>
        <v>-0.1166105323614479</v>
      </c>
      <c r="AH236" s="224">
        <f t="shared" si="81"/>
        <v>7.1528284976318787E-2</v>
      </c>
      <c r="AI236" s="224">
        <f t="shared" si="81"/>
        <v>0.34886982598853822</v>
      </c>
      <c r="AJ236" s="224">
        <f t="shared" si="81"/>
        <v>4.3785498201259996</v>
      </c>
      <c r="AK236" s="224">
        <f t="shared" si="81"/>
        <v>1.6514115699968888E-2</v>
      </c>
      <c r="AL236" s="224">
        <f t="shared" si="81"/>
        <v>0.22689251178928668</v>
      </c>
      <c r="AM236" s="224">
        <f t="shared" si="81"/>
        <v>0.23830018752796717</v>
      </c>
      <c r="AN236" s="224">
        <f t="shared" si="81"/>
        <v>-0.32708591448091989</v>
      </c>
      <c r="AO236" s="224">
        <f t="shared" si="81"/>
        <v>0.2788877707570428</v>
      </c>
      <c r="AP236" s="224">
        <f t="shared" si="81"/>
        <v>0.15518120612315472</v>
      </c>
      <c r="AQ236" s="224">
        <f t="shared" si="81"/>
        <v>0.33194088816247014</v>
      </c>
      <c r="AR236" s="224">
        <f t="shared" si="81"/>
        <v>0.12970195751101846</v>
      </c>
      <c r="AS236" s="224">
        <f t="shared" si="81"/>
        <v>-5.3235095393579408E-2</v>
      </c>
      <c r="AT236" s="224">
        <f t="shared" si="81"/>
        <v>0.21840784884857217</v>
      </c>
      <c r="AU236" s="224">
        <f t="shared" si="81"/>
        <v>0.35061499760657361</v>
      </c>
      <c r="AV236" s="224">
        <f t="shared" si="81"/>
        <v>0.45435822010589488</v>
      </c>
      <c r="AW236" s="224">
        <f t="shared" si="81"/>
        <v>0.56452482026774864</v>
      </c>
    </row>
  </sheetData>
  <conditionalFormatting sqref="H9:I64 H75:I236">
    <cfRule type="expression" dxfId="6" priority="1">
      <formula>#REF!=1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3185-FC65-478D-907F-C356C3101B5C}">
  <sheetPr codeName="Sheet16">
    <tabColor theme="2"/>
    <outlinePr summaryBelow="0" summaryRight="0"/>
  </sheetPr>
  <dimension ref="A1:AS1012"/>
  <sheetViews>
    <sheetView showGridLines="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12.54296875" defaultRowHeight="15.75" customHeight="1"/>
  <cols>
    <col min="1" max="1" width="8.453125" bestFit="1" customWidth="1"/>
    <col min="2" max="2" width="21.1796875" customWidth="1"/>
    <col min="3" max="3" width="31.26953125" customWidth="1"/>
    <col min="43" max="16384" width="12.54296875" style="96"/>
  </cols>
  <sheetData>
    <row r="1" spans="1:45" ht="15.75" customHeight="1">
      <c r="A1" s="200">
        <v>46121</v>
      </c>
      <c r="D1" s="152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>
        <f t="shared" ref="AE1:AP1" si="0">SUM(AE6:AE39)</f>
        <v>36</v>
      </c>
      <c r="AF1" s="153">
        <f t="shared" si="0"/>
        <v>36</v>
      </c>
      <c r="AG1" s="153">
        <f t="shared" si="0"/>
        <v>38</v>
      </c>
      <c r="AH1" s="153">
        <f t="shared" si="0"/>
        <v>39</v>
      </c>
      <c r="AI1" s="153">
        <f t="shared" si="0"/>
        <v>39</v>
      </c>
      <c r="AJ1" s="153">
        <f t="shared" si="0"/>
        <v>39</v>
      </c>
      <c r="AK1" s="153">
        <f t="shared" si="0"/>
        <v>39</v>
      </c>
      <c r="AL1" s="153">
        <f t="shared" si="0"/>
        <v>39</v>
      </c>
      <c r="AM1" s="153">
        <f t="shared" si="0"/>
        <v>40</v>
      </c>
      <c r="AN1" s="153">
        <f t="shared" si="0"/>
        <v>40</v>
      </c>
      <c r="AO1" s="153">
        <f t="shared" si="0"/>
        <v>41</v>
      </c>
      <c r="AP1" s="153">
        <f t="shared" si="0"/>
        <v>41</v>
      </c>
    </row>
    <row r="2" spans="1:45" ht="15.75" customHeight="1">
      <c r="D2" s="152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>
        <v>1</v>
      </c>
      <c r="AF2" s="153">
        <v>2</v>
      </c>
      <c r="AG2" s="153">
        <v>3</v>
      </c>
      <c r="AH2" s="153">
        <v>4</v>
      </c>
      <c r="AI2" s="153">
        <v>5</v>
      </c>
      <c r="AJ2" s="153">
        <v>6</v>
      </c>
      <c r="AK2" s="153">
        <v>7</v>
      </c>
      <c r="AL2" s="153">
        <v>8</v>
      </c>
      <c r="AM2" s="153">
        <v>9</v>
      </c>
      <c r="AN2" s="153">
        <v>10</v>
      </c>
      <c r="AO2" s="153">
        <v>11</v>
      </c>
      <c r="AP2" s="153">
        <v>12</v>
      </c>
    </row>
    <row r="3" spans="1:45" ht="15.75" customHeight="1">
      <c r="D3" s="152"/>
      <c r="G3" s="153">
        <v>1</v>
      </c>
      <c r="H3" s="153">
        <v>2</v>
      </c>
      <c r="I3" s="153">
        <v>3</v>
      </c>
      <c r="J3" s="153">
        <v>4</v>
      </c>
      <c r="K3" s="153">
        <v>5</v>
      </c>
      <c r="L3" s="153">
        <v>6</v>
      </c>
      <c r="M3" s="153">
        <v>7</v>
      </c>
      <c r="N3" s="153">
        <v>8</v>
      </c>
      <c r="O3" s="153">
        <v>9</v>
      </c>
      <c r="P3" s="153">
        <v>10</v>
      </c>
      <c r="Q3" s="153">
        <v>11</v>
      </c>
      <c r="R3" s="153">
        <v>12</v>
      </c>
      <c r="S3" s="153">
        <v>1</v>
      </c>
      <c r="T3" s="153">
        <v>2</v>
      </c>
      <c r="U3" s="153">
        <v>3</v>
      </c>
      <c r="V3" s="153">
        <v>4</v>
      </c>
      <c r="W3" s="153">
        <v>5</v>
      </c>
      <c r="X3" s="153">
        <v>6</v>
      </c>
      <c r="Y3" s="153">
        <v>7</v>
      </c>
      <c r="Z3" s="153">
        <v>8</v>
      </c>
      <c r="AA3" s="153">
        <v>9</v>
      </c>
      <c r="AB3" s="153">
        <v>10</v>
      </c>
      <c r="AC3" s="153">
        <v>11</v>
      </c>
      <c r="AD3" s="153">
        <v>12</v>
      </c>
      <c r="AE3" s="153">
        <v>2</v>
      </c>
      <c r="AF3" s="153">
        <f t="shared" ref="AF3:AP3" si="1">AE3+1</f>
        <v>3</v>
      </c>
      <c r="AG3" s="153">
        <f t="shared" si="1"/>
        <v>4</v>
      </c>
      <c r="AH3" s="153">
        <f t="shared" si="1"/>
        <v>5</v>
      </c>
      <c r="AI3" s="153">
        <f t="shared" si="1"/>
        <v>6</v>
      </c>
      <c r="AJ3" s="153">
        <f t="shared" si="1"/>
        <v>7</v>
      </c>
      <c r="AK3" s="153">
        <f t="shared" si="1"/>
        <v>8</v>
      </c>
      <c r="AL3" s="153">
        <f t="shared" si="1"/>
        <v>9</v>
      </c>
      <c r="AM3" s="153">
        <f t="shared" si="1"/>
        <v>10</v>
      </c>
      <c r="AN3" s="153">
        <f t="shared" si="1"/>
        <v>11</v>
      </c>
      <c r="AO3" s="153">
        <f t="shared" si="1"/>
        <v>12</v>
      </c>
      <c r="AP3" s="153">
        <f t="shared" si="1"/>
        <v>13</v>
      </c>
    </row>
    <row r="4" spans="1:45" ht="15.75" customHeight="1">
      <c r="B4" s="154"/>
      <c r="C4" s="155"/>
      <c r="D4" s="156"/>
      <c r="E4" s="155"/>
      <c r="F4" s="157"/>
      <c r="G4" s="158">
        <v>2023</v>
      </c>
      <c r="H4" s="158">
        <v>2023</v>
      </c>
      <c r="I4" s="158">
        <v>2023</v>
      </c>
      <c r="J4" s="158">
        <v>2023</v>
      </c>
      <c r="K4" s="158">
        <v>2023</v>
      </c>
      <c r="L4" s="158">
        <v>2023</v>
      </c>
      <c r="M4" s="158">
        <v>2023</v>
      </c>
      <c r="N4" s="158">
        <v>2023</v>
      </c>
      <c r="O4" s="158">
        <v>2023</v>
      </c>
      <c r="P4" s="158">
        <v>2023</v>
      </c>
      <c r="Q4" s="158">
        <v>2023</v>
      </c>
      <c r="R4" s="158">
        <v>2023</v>
      </c>
      <c r="S4" s="159">
        <v>2024</v>
      </c>
      <c r="T4" s="158">
        <v>2024</v>
      </c>
      <c r="U4" s="158">
        <v>2024</v>
      </c>
      <c r="V4" s="158">
        <v>2024</v>
      </c>
      <c r="W4" s="158">
        <v>2024</v>
      </c>
      <c r="X4" s="158">
        <v>2024</v>
      </c>
      <c r="Y4" s="158">
        <v>2024</v>
      </c>
      <c r="Z4" s="158">
        <v>2024</v>
      </c>
      <c r="AA4" s="158">
        <v>2024</v>
      </c>
      <c r="AB4" s="158">
        <v>2024</v>
      </c>
      <c r="AC4" s="158">
        <v>2024</v>
      </c>
      <c r="AD4" s="160">
        <v>2024</v>
      </c>
      <c r="AE4" s="159">
        <v>2025</v>
      </c>
      <c r="AF4" s="158">
        <v>2025</v>
      </c>
      <c r="AG4" s="158">
        <v>2025</v>
      </c>
      <c r="AH4" s="158">
        <v>2025</v>
      </c>
      <c r="AI4" s="158">
        <v>2025</v>
      </c>
      <c r="AJ4" s="158">
        <v>2025</v>
      </c>
      <c r="AK4" s="158">
        <v>2025</v>
      </c>
      <c r="AL4" s="158">
        <v>2025</v>
      </c>
      <c r="AM4" s="158">
        <v>2025</v>
      </c>
      <c r="AN4" s="158">
        <v>2025</v>
      </c>
      <c r="AO4" s="158">
        <v>2025</v>
      </c>
      <c r="AP4" s="160">
        <v>2025</v>
      </c>
      <c r="AR4" s="101">
        <v>2024</v>
      </c>
      <c r="AS4" s="101">
        <v>2025</v>
      </c>
    </row>
    <row r="5" spans="1:45" ht="15.75" customHeight="1">
      <c r="B5" s="161" t="s">
        <v>331</v>
      </c>
      <c r="C5" s="162" t="s">
        <v>332</v>
      </c>
      <c r="D5" s="163" t="s">
        <v>333</v>
      </c>
      <c r="E5" s="162" t="s">
        <v>334</v>
      </c>
      <c r="F5" s="164" t="s">
        <v>335</v>
      </c>
      <c r="G5" s="165" t="s">
        <v>336</v>
      </c>
      <c r="H5" s="166" t="s">
        <v>337</v>
      </c>
      <c r="I5" s="166" t="s">
        <v>338</v>
      </c>
      <c r="J5" s="166" t="s">
        <v>339</v>
      </c>
      <c r="K5" s="166" t="s">
        <v>289</v>
      </c>
      <c r="L5" s="166" t="s">
        <v>329</v>
      </c>
      <c r="M5" s="166" t="s">
        <v>340</v>
      </c>
      <c r="N5" s="166" t="s">
        <v>341</v>
      </c>
      <c r="O5" s="166" t="s">
        <v>342</v>
      </c>
      <c r="P5" s="166" t="s">
        <v>343</v>
      </c>
      <c r="Q5" s="166" t="s">
        <v>344</v>
      </c>
      <c r="R5" s="167" t="s">
        <v>345</v>
      </c>
      <c r="S5" s="165" t="s">
        <v>336</v>
      </c>
      <c r="T5" s="166" t="s">
        <v>337</v>
      </c>
      <c r="U5" s="166" t="s">
        <v>338</v>
      </c>
      <c r="V5" s="166" t="s">
        <v>339</v>
      </c>
      <c r="W5" s="166" t="s">
        <v>289</v>
      </c>
      <c r="X5" s="166" t="s">
        <v>329</v>
      </c>
      <c r="Y5" s="166" t="s">
        <v>340</v>
      </c>
      <c r="Z5" s="166" t="s">
        <v>341</v>
      </c>
      <c r="AA5" s="166" t="s">
        <v>342</v>
      </c>
      <c r="AB5" s="166" t="s">
        <v>343</v>
      </c>
      <c r="AC5" s="166" t="s">
        <v>344</v>
      </c>
      <c r="AD5" s="167" t="s">
        <v>345</v>
      </c>
      <c r="AE5" s="165" t="s">
        <v>336</v>
      </c>
      <c r="AF5" s="166" t="s">
        <v>337</v>
      </c>
      <c r="AG5" s="166" t="s">
        <v>338</v>
      </c>
      <c r="AH5" s="166" t="s">
        <v>339</v>
      </c>
      <c r="AI5" s="166" t="s">
        <v>289</v>
      </c>
      <c r="AJ5" s="166" t="s">
        <v>329</v>
      </c>
      <c r="AK5" s="166" t="s">
        <v>340</v>
      </c>
      <c r="AL5" s="166" t="s">
        <v>341</v>
      </c>
      <c r="AM5" s="166" t="s">
        <v>342</v>
      </c>
      <c r="AN5" s="166" t="s">
        <v>343</v>
      </c>
      <c r="AO5" s="166" t="s">
        <v>344</v>
      </c>
      <c r="AP5" s="167" t="s">
        <v>345</v>
      </c>
      <c r="AR5" s="102"/>
      <c r="AS5" s="102"/>
    </row>
    <row r="6" spans="1:45" ht="15.75" customHeight="1">
      <c r="B6" s="168" t="s">
        <v>346</v>
      </c>
      <c r="C6" s="116" t="s">
        <v>347</v>
      </c>
      <c r="D6" s="120">
        <v>1</v>
      </c>
      <c r="E6" s="116" t="s">
        <v>348</v>
      </c>
      <c r="F6" s="119" t="s">
        <v>349</v>
      </c>
      <c r="G6" s="153">
        <f t="shared" ref="G6:R21" si="2">H6</f>
        <v>1</v>
      </c>
      <c r="H6" s="153">
        <f t="shared" si="2"/>
        <v>1</v>
      </c>
      <c r="I6" s="153">
        <f t="shared" si="2"/>
        <v>1</v>
      </c>
      <c r="J6" s="153">
        <f t="shared" si="2"/>
        <v>1</v>
      </c>
      <c r="K6" s="153">
        <f t="shared" si="2"/>
        <v>1</v>
      </c>
      <c r="L6" s="153">
        <f t="shared" si="2"/>
        <v>1</v>
      </c>
      <c r="M6" s="153">
        <f t="shared" si="2"/>
        <v>1</v>
      </c>
      <c r="N6" s="153">
        <f t="shared" si="2"/>
        <v>1</v>
      </c>
      <c r="O6" s="153">
        <f t="shared" si="2"/>
        <v>1</v>
      </c>
      <c r="P6" s="153">
        <f t="shared" si="2"/>
        <v>1</v>
      </c>
      <c r="Q6" s="153">
        <f t="shared" si="2"/>
        <v>1</v>
      </c>
      <c r="R6" s="153">
        <f t="shared" si="2"/>
        <v>1</v>
      </c>
      <c r="S6" s="169">
        <f t="shared" ref="S6:S15" si="3">D6</f>
        <v>1</v>
      </c>
      <c r="T6" s="153">
        <f t="shared" ref="T6:AD15" si="4">S6</f>
        <v>1</v>
      </c>
      <c r="U6" s="153">
        <f t="shared" si="4"/>
        <v>1</v>
      </c>
      <c r="V6" s="153">
        <f t="shared" si="4"/>
        <v>1</v>
      </c>
      <c r="W6" s="153">
        <f t="shared" si="4"/>
        <v>1</v>
      </c>
      <c r="X6" s="153">
        <f t="shared" si="4"/>
        <v>1</v>
      </c>
      <c r="Y6" s="153">
        <f t="shared" si="4"/>
        <v>1</v>
      </c>
      <c r="Z6" s="153">
        <f t="shared" si="4"/>
        <v>1</v>
      </c>
      <c r="AA6" s="153">
        <f t="shared" si="4"/>
        <v>1</v>
      </c>
      <c r="AB6" s="153">
        <f t="shared" si="4"/>
        <v>1</v>
      </c>
      <c r="AC6" s="153">
        <f t="shared" si="4"/>
        <v>1</v>
      </c>
      <c r="AD6" s="170">
        <f t="shared" si="4"/>
        <v>1</v>
      </c>
      <c r="AE6" s="169">
        <f t="shared" ref="AE6:AE15" si="5">D6</f>
        <v>1</v>
      </c>
      <c r="AF6" s="153">
        <f t="shared" ref="AF6:AP16" si="6">AE6</f>
        <v>1</v>
      </c>
      <c r="AG6" s="153">
        <f t="shared" si="6"/>
        <v>1</v>
      </c>
      <c r="AH6" s="153">
        <f t="shared" si="6"/>
        <v>1</v>
      </c>
      <c r="AI6" s="153">
        <f t="shared" si="6"/>
        <v>1</v>
      </c>
      <c r="AJ6" s="153">
        <f t="shared" si="6"/>
        <v>1</v>
      </c>
      <c r="AK6" s="153">
        <f t="shared" si="6"/>
        <v>1</v>
      </c>
      <c r="AL6" s="153">
        <f t="shared" si="6"/>
        <v>1</v>
      </c>
      <c r="AM6" s="153">
        <f t="shared" si="6"/>
        <v>1</v>
      </c>
      <c r="AN6" s="153">
        <f t="shared" si="6"/>
        <v>1</v>
      </c>
      <c r="AO6" s="153">
        <f t="shared" si="6"/>
        <v>1</v>
      </c>
      <c r="AP6" s="170">
        <f t="shared" si="6"/>
        <v>1</v>
      </c>
      <c r="AQ6" s="151"/>
    </row>
    <row r="7" spans="1:45" ht="15.75" customHeight="1">
      <c r="B7" s="168" t="s">
        <v>346</v>
      </c>
      <c r="C7" s="116" t="s">
        <v>350</v>
      </c>
      <c r="D7" s="120">
        <v>2</v>
      </c>
      <c r="E7" s="116" t="s">
        <v>348</v>
      </c>
      <c r="F7" s="119" t="s">
        <v>349</v>
      </c>
      <c r="G7" s="153">
        <f t="shared" si="2"/>
        <v>2</v>
      </c>
      <c r="H7" s="153">
        <f t="shared" si="2"/>
        <v>2</v>
      </c>
      <c r="I7" s="153">
        <f t="shared" si="2"/>
        <v>2</v>
      </c>
      <c r="J7" s="153">
        <f t="shared" si="2"/>
        <v>2</v>
      </c>
      <c r="K7" s="153">
        <f t="shared" si="2"/>
        <v>2</v>
      </c>
      <c r="L7" s="153">
        <f t="shared" si="2"/>
        <v>2</v>
      </c>
      <c r="M7" s="153">
        <f t="shared" si="2"/>
        <v>2</v>
      </c>
      <c r="N7" s="153">
        <f t="shared" si="2"/>
        <v>2</v>
      </c>
      <c r="O7" s="153">
        <f t="shared" si="2"/>
        <v>2</v>
      </c>
      <c r="P7" s="153">
        <f t="shared" si="2"/>
        <v>2</v>
      </c>
      <c r="Q7" s="153">
        <f t="shared" si="2"/>
        <v>2</v>
      </c>
      <c r="R7" s="153">
        <f t="shared" si="2"/>
        <v>2</v>
      </c>
      <c r="S7" s="169">
        <f t="shared" si="3"/>
        <v>2</v>
      </c>
      <c r="T7" s="153">
        <f t="shared" si="4"/>
        <v>2</v>
      </c>
      <c r="U7" s="153">
        <f t="shared" si="4"/>
        <v>2</v>
      </c>
      <c r="V7" s="153">
        <f t="shared" si="4"/>
        <v>2</v>
      </c>
      <c r="W7" s="153">
        <f t="shared" si="4"/>
        <v>2</v>
      </c>
      <c r="X7" s="153">
        <f t="shared" si="4"/>
        <v>2</v>
      </c>
      <c r="Y7" s="153">
        <f t="shared" si="4"/>
        <v>2</v>
      </c>
      <c r="Z7" s="153">
        <f t="shared" si="4"/>
        <v>2</v>
      </c>
      <c r="AA7" s="153">
        <f t="shared" si="4"/>
        <v>2</v>
      </c>
      <c r="AB7" s="153">
        <f t="shared" si="4"/>
        <v>2</v>
      </c>
      <c r="AC7" s="153">
        <f t="shared" si="4"/>
        <v>2</v>
      </c>
      <c r="AD7" s="170">
        <f t="shared" si="4"/>
        <v>2</v>
      </c>
      <c r="AE7" s="169">
        <f t="shared" si="5"/>
        <v>2</v>
      </c>
      <c r="AF7" s="153">
        <f t="shared" si="6"/>
        <v>2</v>
      </c>
      <c r="AG7" s="153">
        <f t="shared" si="6"/>
        <v>2</v>
      </c>
      <c r="AH7" s="153">
        <f t="shared" si="6"/>
        <v>2</v>
      </c>
      <c r="AI7" s="153">
        <f t="shared" si="6"/>
        <v>2</v>
      </c>
      <c r="AJ7" s="153">
        <f t="shared" si="6"/>
        <v>2</v>
      </c>
      <c r="AK7" s="153">
        <f t="shared" si="6"/>
        <v>2</v>
      </c>
      <c r="AL7" s="153">
        <f t="shared" si="6"/>
        <v>2</v>
      </c>
      <c r="AM7" s="153">
        <f t="shared" si="6"/>
        <v>2</v>
      </c>
      <c r="AN7" s="153">
        <f t="shared" si="6"/>
        <v>2</v>
      </c>
      <c r="AO7" s="153">
        <f t="shared" si="6"/>
        <v>2</v>
      </c>
      <c r="AP7" s="170">
        <f t="shared" si="6"/>
        <v>2</v>
      </c>
      <c r="AQ7" s="151"/>
    </row>
    <row r="8" spans="1:45" ht="15.75" customHeight="1">
      <c r="B8" s="168" t="s">
        <v>346</v>
      </c>
      <c r="C8" s="116" t="s">
        <v>351</v>
      </c>
      <c r="D8" s="120">
        <v>2</v>
      </c>
      <c r="E8" s="116" t="s">
        <v>348</v>
      </c>
      <c r="F8" s="119" t="s">
        <v>349</v>
      </c>
      <c r="G8" s="153">
        <f t="shared" si="2"/>
        <v>2</v>
      </c>
      <c r="H8" s="153">
        <f t="shared" si="2"/>
        <v>2</v>
      </c>
      <c r="I8" s="153">
        <f t="shared" si="2"/>
        <v>2</v>
      </c>
      <c r="J8" s="153">
        <f t="shared" si="2"/>
        <v>2</v>
      </c>
      <c r="K8" s="153">
        <f t="shared" si="2"/>
        <v>2</v>
      </c>
      <c r="L8" s="153">
        <f t="shared" si="2"/>
        <v>2</v>
      </c>
      <c r="M8" s="153">
        <f t="shared" si="2"/>
        <v>2</v>
      </c>
      <c r="N8" s="153">
        <f t="shared" si="2"/>
        <v>2</v>
      </c>
      <c r="O8" s="153">
        <f t="shared" si="2"/>
        <v>2</v>
      </c>
      <c r="P8" s="153">
        <f t="shared" si="2"/>
        <v>2</v>
      </c>
      <c r="Q8" s="153">
        <f t="shared" si="2"/>
        <v>2</v>
      </c>
      <c r="R8" s="153">
        <f t="shared" si="2"/>
        <v>2</v>
      </c>
      <c r="S8" s="169">
        <f t="shared" si="3"/>
        <v>2</v>
      </c>
      <c r="T8" s="153">
        <f t="shared" si="4"/>
        <v>2</v>
      </c>
      <c r="U8" s="153">
        <f t="shared" si="4"/>
        <v>2</v>
      </c>
      <c r="V8" s="153">
        <f t="shared" si="4"/>
        <v>2</v>
      </c>
      <c r="W8" s="153">
        <f t="shared" si="4"/>
        <v>2</v>
      </c>
      <c r="X8" s="153">
        <f t="shared" si="4"/>
        <v>2</v>
      </c>
      <c r="Y8" s="153">
        <f t="shared" si="4"/>
        <v>2</v>
      </c>
      <c r="Z8" s="153">
        <f t="shared" si="4"/>
        <v>2</v>
      </c>
      <c r="AA8" s="153">
        <f t="shared" si="4"/>
        <v>2</v>
      </c>
      <c r="AB8" s="153">
        <f t="shared" si="4"/>
        <v>2</v>
      </c>
      <c r="AC8" s="153">
        <f t="shared" si="4"/>
        <v>2</v>
      </c>
      <c r="AD8" s="170">
        <f t="shared" si="4"/>
        <v>2</v>
      </c>
      <c r="AE8" s="169">
        <f t="shared" si="5"/>
        <v>2</v>
      </c>
      <c r="AF8" s="153">
        <f t="shared" si="6"/>
        <v>2</v>
      </c>
      <c r="AG8" s="153">
        <f t="shared" si="6"/>
        <v>2</v>
      </c>
      <c r="AH8" s="153">
        <f t="shared" si="6"/>
        <v>2</v>
      </c>
      <c r="AI8" s="153">
        <f t="shared" si="6"/>
        <v>2</v>
      </c>
      <c r="AJ8" s="153">
        <f t="shared" si="6"/>
        <v>2</v>
      </c>
      <c r="AK8" s="153">
        <f t="shared" si="6"/>
        <v>2</v>
      </c>
      <c r="AL8" s="153">
        <f t="shared" si="6"/>
        <v>2</v>
      </c>
      <c r="AM8" s="153">
        <f t="shared" si="6"/>
        <v>2</v>
      </c>
      <c r="AN8" s="153">
        <f t="shared" si="6"/>
        <v>2</v>
      </c>
      <c r="AO8" s="153">
        <f t="shared" si="6"/>
        <v>2</v>
      </c>
      <c r="AP8" s="170">
        <f t="shared" si="6"/>
        <v>2</v>
      </c>
      <c r="AQ8" s="151"/>
    </row>
    <row r="9" spans="1:45" ht="15.75" customHeight="1">
      <c r="B9" s="168" t="s">
        <v>346</v>
      </c>
      <c r="C9" s="116" t="s">
        <v>352</v>
      </c>
      <c r="D9" s="120">
        <v>1</v>
      </c>
      <c r="E9" s="116" t="s">
        <v>348</v>
      </c>
      <c r="F9" s="119" t="s">
        <v>349</v>
      </c>
      <c r="G9" s="153">
        <f t="shared" si="2"/>
        <v>1</v>
      </c>
      <c r="H9" s="153">
        <f t="shared" si="2"/>
        <v>1</v>
      </c>
      <c r="I9" s="153">
        <f t="shared" si="2"/>
        <v>1</v>
      </c>
      <c r="J9" s="153">
        <f t="shared" si="2"/>
        <v>1</v>
      </c>
      <c r="K9" s="153">
        <f t="shared" si="2"/>
        <v>1</v>
      </c>
      <c r="L9" s="153">
        <f t="shared" si="2"/>
        <v>1</v>
      </c>
      <c r="M9" s="153">
        <f t="shared" si="2"/>
        <v>1</v>
      </c>
      <c r="N9" s="153">
        <f t="shared" si="2"/>
        <v>1</v>
      </c>
      <c r="O9" s="153">
        <f t="shared" si="2"/>
        <v>1</v>
      </c>
      <c r="P9" s="153">
        <f t="shared" si="2"/>
        <v>1</v>
      </c>
      <c r="Q9" s="153">
        <f t="shared" si="2"/>
        <v>1</v>
      </c>
      <c r="R9" s="153">
        <f t="shared" si="2"/>
        <v>1</v>
      </c>
      <c r="S9" s="169">
        <f t="shared" si="3"/>
        <v>1</v>
      </c>
      <c r="T9" s="153">
        <f t="shared" si="4"/>
        <v>1</v>
      </c>
      <c r="U9" s="153">
        <f t="shared" si="4"/>
        <v>1</v>
      </c>
      <c r="V9" s="153">
        <f t="shared" si="4"/>
        <v>1</v>
      </c>
      <c r="W9" s="153">
        <f t="shared" si="4"/>
        <v>1</v>
      </c>
      <c r="X9" s="153">
        <f t="shared" si="4"/>
        <v>1</v>
      </c>
      <c r="Y9" s="153">
        <f t="shared" si="4"/>
        <v>1</v>
      </c>
      <c r="Z9" s="153">
        <f t="shared" si="4"/>
        <v>1</v>
      </c>
      <c r="AA9" s="153">
        <f t="shared" si="4"/>
        <v>1</v>
      </c>
      <c r="AB9" s="153">
        <f t="shared" si="4"/>
        <v>1</v>
      </c>
      <c r="AC9" s="153">
        <f t="shared" si="4"/>
        <v>1</v>
      </c>
      <c r="AD9" s="170">
        <f t="shared" si="4"/>
        <v>1</v>
      </c>
      <c r="AE9" s="169">
        <f t="shared" si="5"/>
        <v>1</v>
      </c>
      <c r="AF9" s="153">
        <f t="shared" si="6"/>
        <v>1</v>
      </c>
      <c r="AG9" s="153">
        <f t="shared" si="6"/>
        <v>1</v>
      </c>
      <c r="AH9" s="153">
        <f t="shared" si="6"/>
        <v>1</v>
      </c>
      <c r="AI9" s="153">
        <f t="shared" si="6"/>
        <v>1</v>
      </c>
      <c r="AJ9" s="153">
        <f t="shared" si="6"/>
        <v>1</v>
      </c>
      <c r="AK9" s="153">
        <f t="shared" si="6"/>
        <v>1</v>
      </c>
      <c r="AL9" s="153">
        <f t="shared" si="6"/>
        <v>1</v>
      </c>
      <c r="AM9" s="153">
        <f t="shared" si="6"/>
        <v>1</v>
      </c>
      <c r="AN9" s="153">
        <f t="shared" si="6"/>
        <v>1</v>
      </c>
      <c r="AO9" s="153">
        <f t="shared" si="6"/>
        <v>1</v>
      </c>
      <c r="AP9" s="170">
        <f t="shared" si="6"/>
        <v>1</v>
      </c>
      <c r="AQ9" s="151"/>
    </row>
    <row r="10" spans="1:45" ht="15.75" customHeight="1">
      <c r="B10" s="168" t="s">
        <v>346</v>
      </c>
      <c r="C10" s="116" t="s">
        <v>353</v>
      </c>
      <c r="D10" s="120">
        <v>1</v>
      </c>
      <c r="E10" s="116" t="s">
        <v>348</v>
      </c>
      <c r="F10" s="119" t="s">
        <v>349</v>
      </c>
      <c r="G10" s="153">
        <f t="shared" si="2"/>
        <v>1</v>
      </c>
      <c r="H10" s="153">
        <f t="shared" si="2"/>
        <v>1</v>
      </c>
      <c r="I10" s="153">
        <f t="shared" si="2"/>
        <v>1</v>
      </c>
      <c r="J10" s="153">
        <f t="shared" si="2"/>
        <v>1</v>
      </c>
      <c r="K10" s="153">
        <f t="shared" si="2"/>
        <v>1</v>
      </c>
      <c r="L10" s="153">
        <f t="shared" si="2"/>
        <v>1</v>
      </c>
      <c r="M10" s="153">
        <f t="shared" si="2"/>
        <v>1</v>
      </c>
      <c r="N10" s="153">
        <f t="shared" si="2"/>
        <v>1</v>
      </c>
      <c r="O10" s="153">
        <f t="shared" si="2"/>
        <v>1</v>
      </c>
      <c r="P10" s="153">
        <f t="shared" si="2"/>
        <v>1</v>
      </c>
      <c r="Q10" s="153">
        <f t="shared" si="2"/>
        <v>1</v>
      </c>
      <c r="R10" s="153">
        <f t="shared" si="2"/>
        <v>1</v>
      </c>
      <c r="S10" s="169">
        <f t="shared" si="3"/>
        <v>1</v>
      </c>
      <c r="T10" s="153">
        <f t="shared" si="4"/>
        <v>1</v>
      </c>
      <c r="U10" s="153">
        <f t="shared" si="4"/>
        <v>1</v>
      </c>
      <c r="V10" s="153">
        <f t="shared" si="4"/>
        <v>1</v>
      </c>
      <c r="W10" s="153">
        <f t="shared" si="4"/>
        <v>1</v>
      </c>
      <c r="X10" s="153">
        <f t="shared" si="4"/>
        <v>1</v>
      </c>
      <c r="Y10" s="153">
        <f t="shared" si="4"/>
        <v>1</v>
      </c>
      <c r="Z10" s="153">
        <f t="shared" si="4"/>
        <v>1</v>
      </c>
      <c r="AA10" s="153">
        <f t="shared" si="4"/>
        <v>1</v>
      </c>
      <c r="AB10" s="153">
        <f t="shared" si="4"/>
        <v>1</v>
      </c>
      <c r="AC10" s="153">
        <f t="shared" si="4"/>
        <v>1</v>
      </c>
      <c r="AD10" s="170">
        <f t="shared" si="4"/>
        <v>1</v>
      </c>
      <c r="AE10" s="169">
        <f t="shared" si="5"/>
        <v>1</v>
      </c>
      <c r="AF10" s="153">
        <f t="shared" si="6"/>
        <v>1</v>
      </c>
      <c r="AG10" s="153">
        <f t="shared" si="6"/>
        <v>1</v>
      </c>
      <c r="AH10" s="153">
        <f t="shared" si="6"/>
        <v>1</v>
      </c>
      <c r="AI10" s="153">
        <f t="shared" si="6"/>
        <v>1</v>
      </c>
      <c r="AJ10" s="153">
        <f t="shared" si="6"/>
        <v>1</v>
      </c>
      <c r="AK10" s="153">
        <f t="shared" si="6"/>
        <v>1</v>
      </c>
      <c r="AL10" s="153">
        <f t="shared" si="6"/>
        <v>1</v>
      </c>
      <c r="AM10" s="153">
        <f t="shared" si="6"/>
        <v>1</v>
      </c>
      <c r="AN10" s="153">
        <f t="shared" si="6"/>
        <v>1</v>
      </c>
      <c r="AO10" s="153">
        <f t="shared" si="6"/>
        <v>1</v>
      </c>
      <c r="AP10" s="170">
        <f t="shared" si="6"/>
        <v>1</v>
      </c>
      <c r="AQ10" s="151"/>
    </row>
    <row r="11" spans="1:45" ht="15.75" customHeight="1">
      <c r="B11" s="168" t="s">
        <v>346</v>
      </c>
      <c r="C11" s="116" t="s">
        <v>354</v>
      </c>
      <c r="D11" s="120">
        <v>1</v>
      </c>
      <c r="E11" s="116" t="s">
        <v>348</v>
      </c>
      <c r="F11" s="119" t="s">
        <v>355</v>
      </c>
      <c r="G11" s="153">
        <f t="shared" si="2"/>
        <v>1</v>
      </c>
      <c r="H11" s="153">
        <f t="shared" si="2"/>
        <v>1</v>
      </c>
      <c r="I11" s="153">
        <f t="shared" si="2"/>
        <v>1</v>
      </c>
      <c r="J11" s="153">
        <f t="shared" si="2"/>
        <v>1</v>
      </c>
      <c r="K11" s="153">
        <f t="shared" si="2"/>
        <v>1</v>
      </c>
      <c r="L11" s="153">
        <f t="shared" si="2"/>
        <v>1</v>
      </c>
      <c r="M11" s="153">
        <f t="shared" si="2"/>
        <v>1</v>
      </c>
      <c r="N11" s="153">
        <f t="shared" si="2"/>
        <v>1</v>
      </c>
      <c r="O11" s="153">
        <f t="shared" si="2"/>
        <v>1</v>
      </c>
      <c r="P11" s="153">
        <f t="shared" si="2"/>
        <v>1</v>
      </c>
      <c r="Q11" s="153">
        <f t="shared" si="2"/>
        <v>1</v>
      </c>
      <c r="R11" s="153">
        <f t="shared" si="2"/>
        <v>1</v>
      </c>
      <c r="S11" s="169">
        <f t="shared" si="3"/>
        <v>1</v>
      </c>
      <c r="T11" s="153">
        <f t="shared" si="4"/>
        <v>1</v>
      </c>
      <c r="U11" s="153">
        <f t="shared" si="4"/>
        <v>1</v>
      </c>
      <c r="V11" s="153">
        <f t="shared" si="4"/>
        <v>1</v>
      </c>
      <c r="W11" s="153">
        <f t="shared" si="4"/>
        <v>1</v>
      </c>
      <c r="X11" s="153">
        <f t="shared" si="4"/>
        <v>1</v>
      </c>
      <c r="Y11" s="153">
        <f t="shared" si="4"/>
        <v>1</v>
      </c>
      <c r="Z11" s="153">
        <f t="shared" si="4"/>
        <v>1</v>
      </c>
      <c r="AA11" s="153">
        <f t="shared" si="4"/>
        <v>1</v>
      </c>
      <c r="AB11" s="153">
        <f t="shared" si="4"/>
        <v>1</v>
      </c>
      <c r="AC11" s="153">
        <f t="shared" si="4"/>
        <v>1</v>
      </c>
      <c r="AD11" s="170">
        <f t="shared" si="4"/>
        <v>1</v>
      </c>
      <c r="AE11" s="169">
        <f t="shared" si="5"/>
        <v>1</v>
      </c>
      <c r="AF11" s="153">
        <f t="shared" si="6"/>
        <v>1</v>
      </c>
      <c r="AG11" s="153">
        <f t="shared" si="6"/>
        <v>1</v>
      </c>
      <c r="AH11" s="153">
        <f t="shared" si="6"/>
        <v>1</v>
      </c>
      <c r="AI11" s="153">
        <f t="shared" si="6"/>
        <v>1</v>
      </c>
      <c r="AJ11" s="153">
        <f t="shared" si="6"/>
        <v>1</v>
      </c>
      <c r="AK11" s="153">
        <f t="shared" si="6"/>
        <v>1</v>
      </c>
      <c r="AL11" s="153">
        <f t="shared" si="6"/>
        <v>1</v>
      </c>
      <c r="AM11" s="153">
        <f t="shared" si="6"/>
        <v>1</v>
      </c>
      <c r="AN11" s="153">
        <f t="shared" si="6"/>
        <v>1</v>
      </c>
      <c r="AO11" s="153">
        <f t="shared" si="6"/>
        <v>1</v>
      </c>
      <c r="AP11" s="170">
        <f t="shared" si="6"/>
        <v>1</v>
      </c>
      <c r="AQ11" s="151"/>
    </row>
    <row r="12" spans="1:45" ht="15.75" customHeight="1">
      <c r="B12" s="168" t="s">
        <v>346</v>
      </c>
      <c r="C12" s="116" t="s">
        <v>356</v>
      </c>
      <c r="D12" s="120">
        <v>1</v>
      </c>
      <c r="E12" s="116" t="s">
        <v>348</v>
      </c>
      <c r="F12" s="119" t="s">
        <v>355</v>
      </c>
      <c r="G12" s="153">
        <f t="shared" si="2"/>
        <v>1</v>
      </c>
      <c r="H12" s="153">
        <f t="shared" si="2"/>
        <v>1</v>
      </c>
      <c r="I12" s="153">
        <f t="shared" si="2"/>
        <v>1</v>
      </c>
      <c r="J12" s="153">
        <f t="shared" si="2"/>
        <v>1</v>
      </c>
      <c r="K12" s="153">
        <f t="shared" si="2"/>
        <v>1</v>
      </c>
      <c r="L12" s="153">
        <f t="shared" si="2"/>
        <v>1</v>
      </c>
      <c r="M12" s="153">
        <f t="shared" si="2"/>
        <v>1</v>
      </c>
      <c r="N12" s="153">
        <f t="shared" si="2"/>
        <v>1</v>
      </c>
      <c r="O12" s="153">
        <f t="shared" si="2"/>
        <v>1</v>
      </c>
      <c r="P12" s="153">
        <f t="shared" si="2"/>
        <v>1</v>
      </c>
      <c r="Q12" s="153">
        <f t="shared" si="2"/>
        <v>1</v>
      </c>
      <c r="R12" s="153">
        <f t="shared" si="2"/>
        <v>1</v>
      </c>
      <c r="S12" s="169">
        <f t="shared" si="3"/>
        <v>1</v>
      </c>
      <c r="T12" s="153">
        <f t="shared" si="4"/>
        <v>1</v>
      </c>
      <c r="U12" s="153">
        <f t="shared" si="4"/>
        <v>1</v>
      </c>
      <c r="V12" s="153">
        <f t="shared" si="4"/>
        <v>1</v>
      </c>
      <c r="W12" s="153">
        <f t="shared" si="4"/>
        <v>1</v>
      </c>
      <c r="X12" s="153">
        <f t="shared" si="4"/>
        <v>1</v>
      </c>
      <c r="Y12" s="153">
        <f t="shared" si="4"/>
        <v>1</v>
      </c>
      <c r="Z12" s="153">
        <f t="shared" si="4"/>
        <v>1</v>
      </c>
      <c r="AA12" s="153">
        <f t="shared" si="4"/>
        <v>1</v>
      </c>
      <c r="AB12" s="153">
        <f t="shared" si="4"/>
        <v>1</v>
      </c>
      <c r="AC12" s="153">
        <f t="shared" si="4"/>
        <v>1</v>
      </c>
      <c r="AD12" s="170">
        <f t="shared" si="4"/>
        <v>1</v>
      </c>
      <c r="AE12" s="169">
        <f t="shared" si="5"/>
        <v>1</v>
      </c>
      <c r="AF12" s="153">
        <f t="shared" si="6"/>
        <v>1</v>
      </c>
      <c r="AG12" s="153">
        <f t="shared" si="6"/>
        <v>1</v>
      </c>
      <c r="AH12" s="153">
        <f t="shared" si="6"/>
        <v>1</v>
      </c>
      <c r="AI12" s="153">
        <f t="shared" si="6"/>
        <v>1</v>
      </c>
      <c r="AJ12" s="153">
        <f t="shared" si="6"/>
        <v>1</v>
      </c>
      <c r="AK12" s="153">
        <f t="shared" si="6"/>
        <v>1</v>
      </c>
      <c r="AL12" s="153">
        <f t="shared" si="6"/>
        <v>1</v>
      </c>
      <c r="AM12" s="153">
        <f t="shared" si="6"/>
        <v>1</v>
      </c>
      <c r="AN12" s="153">
        <f t="shared" si="6"/>
        <v>1</v>
      </c>
      <c r="AO12" s="153">
        <f t="shared" si="6"/>
        <v>1</v>
      </c>
      <c r="AP12" s="170">
        <f t="shared" si="6"/>
        <v>1</v>
      </c>
      <c r="AQ12" s="151"/>
    </row>
    <row r="13" spans="1:45" ht="15.75" customHeight="1">
      <c r="B13" s="168" t="s">
        <v>346</v>
      </c>
      <c r="C13" s="116" t="s">
        <v>357</v>
      </c>
      <c r="D13" s="120">
        <v>2</v>
      </c>
      <c r="E13" s="116" t="s">
        <v>348</v>
      </c>
      <c r="F13" s="119" t="s">
        <v>355</v>
      </c>
      <c r="G13" s="153">
        <f t="shared" si="2"/>
        <v>2</v>
      </c>
      <c r="H13" s="153">
        <f t="shared" si="2"/>
        <v>2</v>
      </c>
      <c r="I13" s="153">
        <f t="shared" si="2"/>
        <v>2</v>
      </c>
      <c r="J13" s="153">
        <f t="shared" si="2"/>
        <v>2</v>
      </c>
      <c r="K13" s="153">
        <f t="shared" si="2"/>
        <v>2</v>
      </c>
      <c r="L13" s="153">
        <f t="shared" si="2"/>
        <v>2</v>
      </c>
      <c r="M13" s="153">
        <f t="shared" si="2"/>
        <v>2</v>
      </c>
      <c r="N13" s="153">
        <f t="shared" si="2"/>
        <v>2</v>
      </c>
      <c r="O13" s="153">
        <f t="shared" si="2"/>
        <v>2</v>
      </c>
      <c r="P13" s="153">
        <f t="shared" si="2"/>
        <v>2</v>
      </c>
      <c r="Q13" s="153">
        <f t="shared" si="2"/>
        <v>2</v>
      </c>
      <c r="R13" s="153">
        <f t="shared" si="2"/>
        <v>2</v>
      </c>
      <c r="S13" s="169">
        <f t="shared" si="3"/>
        <v>2</v>
      </c>
      <c r="T13" s="153">
        <f t="shared" si="4"/>
        <v>2</v>
      </c>
      <c r="U13" s="153">
        <f t="shared" si="4"/>
        <v>2</v>
      </c>
      <c r="V13" s="153">
        <f t="shared" si="4"/>
        <v>2</v>
      </c>
      <c r="W13" s="153">
        <f t="shared" si="4"/>
        <v>2</v>
      </c>
      <c r="X13" s="153">
        <f t="shared" si="4"/>
        <v>2</v>
      </c>
      <c r="Y13" s="153">
        <f t="shared" si="4"/>
        <v>2</v>
      </c>
      <c r="Z13" s="153">
        <f t="shared" si="4"/>
        <v>2</v>
      </c>
      <c r="AA13" s="153">
        <f t="shared" si="4"/>
        <v>2</v>
      </c>
      <c r="AB13" s="153">
        <f t="shared" si="4"/>
        <v>2</v>
      </c>
      <c r="AC13" s="153">
        <f t="shared" si="4"/>
        <v>2</v>
      </c>
      <c r="AD13" s="170">
        <f t="shared" si="4"/>
        <v>2</v>
      </c>
      <c r="AE13" s="169">
        <f t="shared" si="5"/>
        <v>2</v>
      </c>
      <c r="AF13" s="153">
        <f t="shared" si="6"/>
        <v>2</v>
      </c>
      <c r="AG13" s="153">
        <f t="shared" si="6"/>
        <v>2</v>
      </c>
      <c r="AH13" s="153">
        <f t="shared" si="6"/>
        <v>2</v>
      </c>
      <c r="AI13" s="153">
        <f t="shared" si="6"/>
        <v>2</v>
      </c>
      <c r="AJ13" s="153">
        <f t="shared" si="6"/>
        <v>2</v>
      </c>
      <c r="AK13" s="153">
        <f t="shared" si="6"/>
        <v>2</v>
      </c>
      <c r="AL13" s="153">
        <f t="shared" si="6"/>
        <v>2</v>
      </c>
      <c r="AM13" s="153">
        <f t="shared" si="6"/>
        <v>2</v>
      </c>
      <c r="AN13" s="153">
        <f t="shared" si="6"/>
        <v>2</v>
      </c>
      <c r="AO13" s="153">
        <f t="shared" si="6"/>
        <v>2</v>
      </c>
      <c r="AP13" s="170">
        <f t="shared" si="6"/>
        <v>2</v>
      </c>
      <c r="AQ13" s="151"/>
    </row>
    <row r="14" spans="1:45" ht="15.75" customHeight="1">
      <c r="B14" s="168" t="s">
        <v>346</v>
      </c>
      <c r="C14" s="116" t="s">
        <v>358</v>
      </c>
      <c r="D14" s="120">
        <v>1</v>
      </c>
      <c r="E14" s="116" t="s">
        <v>348</v>
      </c>
      <c r="F14" s="119" t="s">
        <v>355</v>
      </c>
      <c r="G14" s="153">
        <f t="shared" si="2"/>
        <v>1</v>
      </c>
      <c r="H14" s="153">
        <f t="shared" si="2"/>
        <v>1</v>
      </c>
      <c r="I14" s="153">
        <f t="shared" si="2"/>
        <v>1</v>
      </c>
      <c r="J14" s="153">
        <f t="shared" si="2"/>
        <v>1</v>
      </c>
      <c r="K14" s="153">
        <f t="shared" si="2"/>
        <v>1</v>
      </c>
      <c r="L14" s="153">
        <f t="shared" si="2"/>
        <v>1</v>
      </c>
      <c r="M14" s="153">
        <f t="shared" si="2"/>
        <v>1</v>
      </c>
      <c r="N14" s="153">
        <f t="shared" si="2"/>
        <v>1</v>
      </c>
      <c r="O14" s="153">
        <f t="shared" si="2"/>
        <v>1</v>
      </c>
      <c r="P14" s="153">
        <f t="shared" si="2"/>
        <v>1</v>
      </c>
      <c r="Q14" s="153">
        <f t="shared" si="2"/>
        <v>1</v>
      </c>
      <c r="R14" s="153">
        <f t="shared" si="2"/>
        <v>1</v>
      </c>
      <c r="S14" s="169">
        <f t="shared" si="3"/>
        <v>1</v>
      </c>
      <c r="T14" s="153">
        <f t="shared" si="4"/>
        <v>1</v>
      </c>
      <c r="U14" s="153">
        <f t="shared" si="4"/>
        <v>1</v>
      </c>
      <c r="V14" s="153">
        <f t="shared" si="4"/>
        <v>1</v>
      </c>
      <c r="W14" s="153">
        <f t="shared" si="4"/>
        <v>1</v>
      </c>
      <c r="X14" s="153">
        <f t="shared" si="4"/>
        <v>1</v>
      </c>
      <c r="Y14" s="153">
        <f t="shared" si="4"/>
        <v>1</v>
      </c>
      <c r="Z14" s="153">
        <f t="shared" si="4"/>
        <v>1</v>
      </c>
      <c r="AA14" s="153">
        <f t="shared" si="4"/>
        <v>1</v>
      </c>
      <c r="AB14" s="153">
        <f t="shared" si="4"/>
        <v>1</v>
      </c>
      <c r="AC14" s="153">
        <f t="shared" si="4"/>
        <v>1</v>
      </c>
      <c r="AD14" s="170">
        <f t="shared" si="4"/>
        <v>1</v>
      </c>
      <c r="AE14" s="169">
        <f t="shared" si="5"/>
        <v>1</v>
      </c>
      <c r="AF14" s="153">
        <f t="shared" si="6"/>
        <v>1</v>
      </c>
      <c r="AG14" s="153">
        <f t="shared" si="6"/>
        <v>1</v>
      </c>
      <c r="AH14" s="153">
        <f t="shared" si="6"/>
        <v>1</v>
      </c>
      <c r="AI14" s="153">
        <f t="shared" si="6"/>
        <v>1</v>
      </c>
      <c r="AJ14" s="153">
        <f t="shared" si="6"/>
        <v>1</v>
      </c>
      <c r="AK14" s="153">
        <f t="shared" si="6"/>
        <v>1</v>
      </c>
      <c r="AL14" s="153">
        <f t="shared" si="6"/>
        <v>1</v>
      </c>
      <c r="AM14" s="153">
        <f t="shared" si="6"/>
        <v>1</v>
      </c>
      <c r="AN14" s="153">
        <f t="shared" si="6"/>
        <v>1</v>
      </c>
      <c r="AO14" s="153">
        <f t="shared" si="6"/>
        <v>1</v>
      </c>
      <c r="AP14" s="170">
        <f t="shared" si="6"/>
        <v>1</v>
      </c>
      <c r="AQ14" s="151"/>
    </row>
    <row r="15" spans="1:45" ht="15.75" customHeight="1">
      <c r="B15" s="168" t="s">
        <v>346</v>
      </c>
      <c r="C15" s="116" t="s">
        <v>359</v>
      </c>
      <c r="D15" s="120">
        <v>1</v>
      </c>
      <c r="E15" s="116" t="s">
        <v>348</v>
      </c>
      <c r="F15" s="119" t="s">
        <v>355</v>
      </c>
      <c r="G15" s="153">
        <f t="shared" si="2"/>
        <v>1</v>
      </c>
      <c r="H15" s="153">
        <f t="shared" si="2"/>
        <v>1</v>
      </c>
      <c r="I15" s="153">
        <f t="shared" si="2"/>
        <v>1</v>
      </c>
      <c r="J15" s="153">
        <f t="shared" si="2"/>
        <v>1</v>
      </c>
      <c r="K15" s="153">
        <f t="shared" si="2"/>
        <v>1</v>
      </c>
      <c r="L15" s="153">
        <f t="shared" si="2"/>
        <v>1</v>
      </c>
      <c r="M15" s="153">
        <f t="shared" si="2"/>
        <v>1</v>
      </c>
      <c r="N15" s="153">
        <f t="shared" si="2"/>
        <v>1</v>
      </c>
      <c r="O15" s="153">
        <f t="shared" si="2"/>
        <v>1</v>
      </c>
      <c r="P15" s="153">
        <f t="shared" si="2"/>
        <v>1</v>
      </c>
      <c r="Q15" s="153">
        <f t="shared" si="2"/>
        <v>1</v>
      </c>
      <c r="R15" s="153">
        <f t="shared" si="2"/>
        <v>1</v>
      </c>
      <c r="S15" s="169">
        <f t="shared" si="3"/>
        <v>1</v>
      </c>
      <c r="T15" s="153">
        <f t="shared" si="4"/>
        <v>1</v>
      </c>
      <c r="U15" s="153">
        <f t="shared" si="4"/>
        <v>1</v>
      </c>
      <c r="V15" s="153">
        <f t="shared" si="4"/>
        <v>1</v>
      </c>
      <c r="W15" s="153">
        <f t="shared" si="4"/>
        <v>1</v>
      </c>
      <c r="X15" s="153">
        <f t="shared" si="4"/>
        <v>1</v>
      </c>
      <c r="Y15" s="153">
        <f t="shared" si="4"/>
        <v>1</v>
      </c>
      <c r="Z15" s="153">
        <f t="shared" si="4"/>
        <v>1</v>
      </c>
      <c r="AA15" s="153">
        <f t="shared" si="4"/>
        <v>1</v>
      </c>
      <c r="AB15" s="153">
        <f t="shared" si="4"/>
        <v>1</v>
      </c>
      <c r="AC15" s="153">
        <f t="shared" si="4"/>
        <v>1</v>
      </c>
      <c r="AD15" s="170">
        <f t="shared" si="4"/>
        <v>1</v>
      </c>
      <c r="AE15" s="169">
        <f t="shared" si="5"/>
        <v>1</v>
      </c>
      <c r="AF15" s="153">
        <f t="shared" si="6"/>
        <v>1</v>
      </c>
      <c r="AG15" s="153">
        <f t="shared" si="6"/>
        <v>1</v>
      </c>
      <c r="AH15" s="153">
        <f t="shared" si="6"/>
        <v>1</v>
      </c>
      <c r="AI15" s="153">
        <f t="shared" si="6"/>
        <v>1</v>
      </c>
      <c r="AJ15" s="153">
        <f t="shared" si="6"/>
        <v>1</v>
      </c>
      <c r="AK15" s="153">
        <f t="shared" si="6"/>
        <v>1</v>
      </c>
      <c r="AL15" s="153">
        <f t="shared" si="6"/>
        <v>1</v>
      </c>
      <c r="AM15" s="153">
        <f t="shared" si="6"/>
        <v>1</v>
      </c>
      <c r="AN15" s="153">
        <f t="shared" si="6"/>
        <v>1</v>
      </c>
      <c r="AO15" s="153">
        <f t="shared" si="6"/>
        <v>1</v>
      </c>
      <c r="AP15" s="170">
        <f t="shared" si="6"/>
        <v>1</v>
      </c>
      <c r="AQ15" s="151"/>
    </row>
    <row r="16" spans="1:45" ht="15.75" customHeight="1">
      <c r="B16" s="168" t="s">
        <v>346</v>
      </c>
      <c r="C16" s="116" t="s">
        <v>360</v>
      </c>
      <c r="D16" s="120">
        <v>2</v>
      </c>
      <c r="E16" s="116" t="s">
        <v>348</v>
      </c>
      <c r="F16" s="119" t="s">
        <v>355</v>
      </c>
      <c r="G16" s="153">
        <f t="shared" si="2"/>
        <v>0</v>
      </c>
      <c r="H16" s="153">
        <f t="shared" si="2"/>
        <v>0</v>
      </c>
      <c r="I16" s="153">
        <f t="shared" si="2"/>
        <v>0</v>
      </c>
      <c r="J16" s="153">
        <f t="shared" si="2"/>
        <v>0</v>
      </c>
      <c r="K16" s="153">
        <f t="shared" si="2"/>
        <v>0</v>
      </c>
      <c r="L16" s="153">
        <f t="shared" si="2"/>
        <v>0</v>
      </c>
      <c r="M16" s="153">
        <f t="shared" si="2"/>
        <v>0</v>
      </c>
      <c r="N16" s="153">
        <f t="shared" si="2"/>
        <v>0</v>
      </c>
      <c r="O16" s="153">
        <f t="shared" si="2"/>
        <v>0</v>
      </c>
      <c r="P16" s="153">
        <f t="shared" si="2"/>
        <v>0</v>
      </c>
      <c r="Q16" s="153">
        <f t="shared" si="2"/>
        <v>0</v>
      </c>
      <c r="R16" s="153">
        <f t="shared" si="2"/>
        <v>0</v>
      </c>
      <c r="S16" s="169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70"/>
      <c r="AE16" s="169"/>
      <c r="AF16" s="153"/>
      <c r="AG16" s="153">
        <f>D16</f>
        <v>2</v>
      </c>
      <c r="AH16" s="153">
        <f t="shared" si="6"/>
        <v>2</v>
      </c>
      <c r="AI16" s="153">
        <f t="shared" si="6"/>
        <v>2</v>
      </c>
      <c r="AJ16" s="153">
        <f t="shared" si="6"/>
        <v>2</v>
      </c>
      <c r="AK16" s="153">
        <f t="shared" si="6"/>
        <v>2</v>
      </c>
      <c r="AL16" s="153">
        <f t="shared" si="6"/>
        <v>2</v>
      </c>
      <c r="AM16" s="153">
        <f t="shared" si="6"/>
        <v>2</v>
      </c>
      <c r="AN16" s="153">
        <f t="shared" si="6"/>
        <v>2</v>
      </c>
      <c r="AO16" s="153">
        <f t="shared" si="6"/>
        <v>2</v>
      </c>
      <c r="AP16" s="170">
        <f t="shared" si="6"/>
        <v>2</v>
      </c>
      <c r="AQ16" s="118"/>
    </row>
    <row r="17" spans="2:43" ht="15.75" customHeight="1">
      <c r="B17" s="168" t="s">
        <v>346</v>
      </c>
      <c r="C17" s="116" t="s">
        <v>361</v>
      </c>
      <c r="D17" s="120">
        <v>1</v>
      </c>
      <c r="E17" s="116" t="s">
        <v>348</v>
      </c>
      <c r="F17" s="119" t="s">
        <v>355</v>
      </c>
      <c r="G17" s="153">
        <f t="shared" si="2"/>
        <v>1</v>
      </c>
      <c r="H17" s="153">
        <f t="shared" si="2"/>
        <v>1</v>
      </c>
      <c r="I17" s="153">
        <f t="shared" si="2"/>
        <v>1</v>
      </c>
      <c r="J17" s="153">
        <f t="shared" si="2"/>
        <v>1</v>
      </c>
      <c r="K17" s="153">
        <f t="shared" si="2"/>
        <v>1</v>
      </c>
      <c r="L17" s="153">
        <f t="shared" si="2"/>
        <v>1</v>
      </c>
      <c r="M17" s="153">
        <f t="shared" si="2"/>
        <v>1</v>
      </c>
      <c r="N17" s="153">
        <f t="shared" si="2"/>
        <v>1</v>
      </c>
      <c r="O17" s="153">
        <f t="shared" si="2"/>
        <v>1</v>
      </c>
      <c r="P17" s="153">
        <f t="shared" si="2"/>
        <v>1</v>
      </c>
      <c r="Q17" s="153">
        <f t="shared" si="2"/>
        <v>1</v>
      </c>
      <c r="R17" s="153">
        <f t="shared" si="2"/>
        <v>1</v>
      </c>
      <c r="S17" s="169">
        <f t="shared" ref="S17:S24" si="7">D17</f>
        <v>1</v>
      </c>
      <c r="T17" s="153">
        <f t="shared" ref="T17:AD24" si="8">S17</f>
        <v>1</v>
      </c>
      <c r="U17" s="153">
        <f t="shared" si="8"/>
        <v>1</v>
      </c>
      <c r="V17" s="153">
        <f t="shared" si="8"/>
        <v>1</v>
      </c>
      <c r="W17" s="153">
        <f t="shared" si="8"/>
        <v>1</v>
      </c>
      <c r="X17" s="153">
        <f t="shared" si="8"/>
        <v>1</v>
      </c>
      <c r="Y17" s="153">
        <f t="shared" si="8"/>
        <v>1</v>
      </c>
      <c r="Z17" s="153">
        <f t="shared" si="8"/>
        <v>1</v>
      </c>
      <c r="AA17" s="153">
        <f t="shared" si="8"/>
        <v>1</v>
      </c>
      <c r="AB17" s="153">
        <f t="shared" si="8"/>
        <v>1</v>
      </c>
      <c r="AC17" s="153">
        <f t="shared" si="8"/>
        <v>1</v>
      </c>
      <c r="AD17" s="170">
        <f t="shared" si="8"/>
        <v>1</v>
      </c>
      <c r="AE17" s="169">
        <f t="shared" ref="AE17:AE24" si="9">D17</f>
        <v>1</v>
      </c>
      <c r="AF17" s="153">
        <f t="shared" ref="AF17:AP24" si="10">AE17</f>
        <v>1</v>
      </c>
      <c r="AG17" s="153">
        <f t="shared" si="10"/>
        <v>1</v>
      </c>
      <c r="AH17" s="153">
        <f t="shared" si="10"/>
        <v>1</v>
      </c>
      <c r="AI17" s="153">
        <f t="shared" si="10"/>
        <v>1</v>
      </c>
      <c r="AJ17" s="153">
        <f t="shared" si="10"/>
        <v>1</v>
      </c>
      <c r="AK17" s="153">
        <f t="shared" si="10"/>
        <v>1</v>
      </c>
      <c r="AL17" s="153">
        <f t="shared" si="10"/>
        <v>1</v>
      </c>
      <c r="AM17" s="153">
        <f t="shared" si="10"/>
        <v>1</v>
      </c>
      <c r="AN17" s="153">
        <f t="shared" si="10"/>
        <v>1</v>
      </c>
      <c r="AO17" s="153">
        <f t="shared" si="10"/>
        <v>1</v>
      </c>
      <c r="AP17" s="170">
        <f t="shared" si="10"/>
        <v>1</v>
      </c>
      <c r="AQ17" s="151"/>
    </row>
    <row r="18" spans="2:43" ht="15.75" customHeight="1">
      <c r="B18" s="168" t="s">
        <v>346</v>
      </c>
      <c r="C18" s="116" t="s">
        <v>362</v>
      </c>
      <c r="D18" s="120">
        <v>1</v>
      </c>
      <c r="E18" s="116" t="s">
        <v>348</v>
      </c>
      <c r="F18" s="119" t="s">
        <v>363</v>
      </c>
      <c r="G18" s="153">
        <f t="shared" si="2"/>
        <v>1</v>
      </c>
      <c r="H18" s="153">
        <f t="shared" si="2"/>
        <v>1</v>
      </c>
      <c r="I18" s="153">
        <f t="shared" si="2"/>
        <v>1</v>
      </c>
      <c r="J18" s="153">
        <f t="shared" si="2"/>
        <v>1</v>
      </c>
      <c r="K18" s="153">
        <f t="shared" si="2"/>
        <v>1</v>
      </c>
      <c r="L18" s="153">
        <f t="shared" si="2"/>
        <v>1</v>
      </c>
      <c r="M18" s="153">
        <f t="shared" si="2"/>
        <v>1</v>
      </c>
      <c r="N18" s="153">
        <f t="shared" si="2"/>
        <v>1</v>
      </c>
      <c r="O18" s="153">
        <f t="shared" si="2"/>
        <v>1</v>
      </c>
      <c r="P18" s="153">
        <f t="shared" si="2"/>
        <v>1</v>
      </c>
      <c r="Q18" s="153">
        <f t="shared" si="2"/>
        <v>1</v>
      </c>
      <c r="R18" s="153">
        <f t="shared" si="2"/>
        <v>1</v>
      </c>
      <c r="S18" s="169">
        <f t="shared" si="7"/>
        <v>1</v>
      </c>
      <c r="T18" s="153">
        <f t="shared" si="8"/>
        <v>1</v>
      </c>
      <c r="U18" s="153">
        <f t="shared" si="8"/>
        <v>1</v>
      </c>
      <c r="V18" s="153">
        <f t="shared" si="8"/>
        <v>1</v>
      </c>
      <c r="W18" s="153">
        <f t="shared" si="8"/>
        <v>1</v>
      </c>
      <c r="X18" s="153">
        <f t="shared" si="8"/>
        <v>1</v>
      </c>
      <c r="Y18" s="153">
        <f t="shared" si="8"/>
        <v>1</v>
      </c>
      <c r="Z18" s="153">
        <f t="shared" si="8"/>
        <v>1</v>
      </c>
      <c r="AA18" s="153">
        <f t="shared" si="8"/>
        <v>1</v>
      </c>
      <c r="AB18" s="153">
        <f t="shared" si="8"/>
        <v>1</v>
      </c>
      <c r="AC18" s="153">
        <f t="shared" si="8"/>
        <v>1</v>
      </c>
      <c r="AD18" s="170">
        <f t="shared" si="8"/>
        <v>1</v>
      </c>
      <c r="AE18" s="169">
        <f t="shared" si="9"/>
        <v>1</v>
      </c>
      <c r="AF18" s="153">
        <f t="shared" si="10"/>
        <v>1</v>
      </c>
      <c r="AG18" s="153">
        <f t="shared" si="10"/>
        <v>1</v>
      </c>
      <c r="AH18" s="153">
        <f t="shared" si="10"/>
        <v>1</v>
      </c>
      <c r="AI18" s="153">
        <f t="shared" si="10"/>
        <v>1</v>
      </c>
      <c r="AJ18" s="153">
        <f t="shared" si="10"/>
        <v>1</v>
      </c>
      <c r="AK18" s="153">
        <f t="shared" si="10"/>
        <v>1</v>
      </c>
      <c r="AL18" s="153">
        <f t="shared" si="10"/>
        <v>1</v>
      </c>
      <c r="AM18" s="153">
        <f t="shared" si="10"/>
        <v>1</v>
      </c>
      <c r="AN18" s="153">
        <f t="shared" si="10"/>
        <v>1</v>
      </c>
      <c r="AO18" s="153">
        <f t="shared" si="10"/>
        <v>1</v>
      </c>
      <c r="AP18" s="170">
        <f t="shared" si="10"/>
        <v>1</v>
      </c>
      <c r="AQ18" s="151"/>
    </row>
    <row r="19" spans="2:43" ht="15.75" customHeight="1">
      <c r="B19" s="168" t="s">
        <v>346</v>
      </c>
      <c r="C19" s="116" t="s">
        <v>364</v>
      </c>
      <c r="D19" s="120">
        <v>1</v>
      </c>
      <c r="E19" s="116" t="s">
        <v>348</v>
      </c>
      <c r="F19" s="119" t="s">
        <v>363</v>
      </c>
      <c r="G19" s="153">
        <f t="shared" si="2"/>
        <v>1</v>
      </c>
      <c r="H19" s="153">
        <f t="shared" si="2"/>
        <v>1</v>
      </c>
      <c r="I19" s="153">
        <f t="shared" si="2"/>
        <v>1</v>
      </c>
      <c r="J19" s="153">
        <f t="shared" si="2"/>
        <v>1</v>
      </c>
      <c r="K19" s="153">
        <f t="shared" si="2"/>
        <v>1</v>
      </c>
      <c r="L19" s="153">
        <f t="shared" si="2"/>
        <v>1</v>
      </c>
      <c r="M19" s="153">
        <f t="shared" si="2"/>
        <v>1</v>
      </c>
      <c r="N19" s="153">
        <f t="shared" si="2"/>
        <v>1</v>
      </c>
      <c r="O19" s="153">
        <f t="shared" si="2"/>
        <v>1</v>
      </c>
      <c r="P19" s="153">
        <f t="shared" si="2"/>
        <v>1</v>
      </c>
      <c r="Q19" s="153">
        <f t="shared" si="2"/>
        <v>1</v>
      </c>
      <c r="R19" s="153">
        <f t="shared" si="2"/>
        <v>1</v>
      </c>
      <c r="S19" s="169">
        <f t="shared" si="7"/>
        <v>1</v>
      </c>
      <c r="T19" s="153">
        <f t="shared" si="8"/>
        <v>1</v>
      </c>
      <c r="U19" s="153">
        <f t="shared" si="8"/>
        <v>1</v>
      </c>
      <c r="V19" s="153">
        <f t="shared" si="8"/>
        <v>1</v>
      </c>
      <c r="W19" s="153">
        <f t="shared" si="8"/>
        <v>1</v>
      </c>
      <c r="X19" s="153">
        <f t="shared" si="8"/>
        <v>1</v>
      </c>
      <c r="Y19" s="153">
        <f t="shared" si="8"/>
        <v>1</v>
      </c>
      <c r="Z19" s="153">
        <f t="shared" si="8"/>
        <v>1</v>
      </c>
      <c r="AA19" s="153">
        <f t="shared" si="8"/>
        <v>1</v>
      </c>
      <c r="AB19" s="153">
        <f t="shared" si="8"/>
        <v>1</v>
      </c>
      <c r="AC19" s="153">
        <f t="shared" si="8"/>
        <v>1</v>
      </c>
      <c r="AD19" s="170">
        <f t="shared" si="8"/>
        <v>1</v>
      </c>
      <c r="AE19" s="169">
        <f t="shared" si="9"/>
        <v>1</v>
      </c>
      <c r="AF19" s="153">
        <f t="shared" si="10"/>
        <v>1</v>
      </c>
      <c r="AG19" s="153">
        <f t="shared" si="10"/>
        <v>1</v>
      </c>
      <c r="AH19" s="153">
        <f t="shared" si="10"/>
        <v>1</v>
      </c>
      <c r="AI19" s="153">
        <f t="shared" si="10"/>
        <v>1</v>
      </c>
      <c r="AJ19" s="153">
        <f t="shared" si="10"/>
        <v>1</v>
      </c>
      <c r="AK19" s="153">
        <f t="shared" si="10"/>
        <v>1</v>
      </c>
      <c r="AL19" s="153">
        <f t="shared" si="10"/>
        <v>1</v>
      </c>
      <c r="AM19" s="153">
        <f t="shared" si="10"/>
        <v>1</v>
      </c>
      <c r="AN19" s="153">
        <f t="shared" si="10"/>
        <v>1</v>
      </c>
      <c r="AO19" s="153">
        <f t="shared" si="10"/>
        <v>1</v>
      </c>
      <c r="AP19" s="170">
        <f t="shared" si="10"/>
        <v>1</v>
      </c>
      <c r="AQ19" s="151"/>
    </row>
    <row r="20" spans="2:43" ht="15.75" customHeight="1">
      <c r="B20" s="168" t="s">
        <v>346</v>
      </c>
      <c r="C20" s="116" t="s">
        <v>365</v>
      </c>
      <c r="D20" s="120">
        <v>1</v>
      </c>
      <c r="E20" s="116" t="s">
        <v>348</v>
      </c>
      <c r="F20" s="119" t="s">
        <v>363</v>
      </c>
      <c r="G20" s="153">
        <f t="shared" si="2"/>
        <v>1</v>
      </c>
      <c r="H20" s="153">
        <f t="shared" si="2"/>
        <v>1</v>
      </c>
      <c r="I20" s="153">
        <f t="shared" si="2"/>
        <v>1</v>
      </c>
      <c r="J20" s="153">
        <f t="shared" si="2"/>
        <v>1</v>
      </c>
      <c r="K20" s="153">
        <f t="shared" si="2"/>
        <v>1</v>
      </c>
      <c r="L20" s="153">
        <f t="shared" si="2"/>
        <v>1</v>
      </c>
      <c r="M20" s="153">
        <f t="shared" si="2"/>
        <v>1</v>
      </c>
      <c r="N20" s="153">
        <f t="shared" si="2"/>
        <v>1</v>
      </c>
      <c r="O20" s="153">
        <f t="shared" si="2"/>
        <v>1</v>
      </c>
      <c r="P20" s="153">
        <f t="shared" si="2"/>
        <v>1</v>
      </c>
      <c r="Q20" s="153">
        <f t="shared" si="2"/>
        <v>1</v>
      </c>
      <c r="R20" s="153">
        <f t="shared" si="2"/>
        <v>1</v>
      </c>
      <c r="S20" s="169">
        <f t="shared" si="7"/>
        <v>1</v>
      </c>
      <c r="T20" s="153">
        <f t="shared" si="8"/>
        <v>1</v>
      </c>
      <c r="U20" s="153">
        <f t="shared" si="8"/>
        <v>1</v>
      </c>
      <c r="V20" s="153">
        <f t="shared" si="8"/>
        <v>1</v>
      </c>
      <c r="W20" s="153">
        <f t="shared" si="8"/>
        <v>1</v>
      </c>
      <c r="X20" s="153">
        <f t="shared" si="8"/>
        <v>1</v>
      </c>
      <c r="Y20" s="153">
        <f t="shared" si="8"/>
        <v>1</v>
      </c>
      <c r="Z20" s="153">
        <f t="shared" si="8"/>
        <v>1</v>
      </c>
      <c r="AA20" s="153">
        <f t="shared" si="8"/>
        <v>1</v>
      </c>
      <c r="AB20" s="153">
        <f t="shared" si="8"/>
        <v>1</v>
      </c>
      <c r="AC20" s="153">
        <f t="shared" si="8"/>
        <v>1</v>
      </c>
      <c r="AD20" s="170">
        <f t="shared" si="8"/>
        <v>1</v>
      </c>
      <c r="AE20" s="169">
        <f t="shared" si="9"/>
        <v>1</v>
      </c>
      <c r="AF20" s="153">
        <f t="shared" si="10"/>
        <v>1</v>
      </c>
      <c r="AG20" s="153">
        <f t="shared" si="10"/>
        <v>1</v>
      </c>
      <c r="AH20" s="153">
        <f t="shared" si="10"/>
        <v>1</v>
      </c>
      <c r="AI20" s="153">
        <f t="shared" si="10"/>
        <v>1</v>
      </c>
      <c r="AJ20" s="153">
        <f t="shared" si="10"/>
        <v>1</v>
      </c>
      <c r="AK20" s="153">
        <f t="shared" si="10"/>
        <v>1</v>
      </c>
      <c r="AL20" s="153">
        <f t="shared" si="10"/>
        <v>1</v>
      </c>
      <c r="AM20" s="153">
        <f t="shared" si="10"/>
        <v>1</v>
      </c>
      <c r="AN20" s="153">
        <f t="shared" si="10"/>
        <v>1</v>
      </c>
      <c r="AO20" s="153">
        <f t="shared" si="10"/>
        <v>1</v>
      </c>
      <c r="AP20" s="170">
        <f t="shared" si="10"/>
        <v>1</v>
      </c>
      <c r="AQ20" s="151"/>
    </row>
    <row r="21" spans="2:43" ht="15.75" customHeight="1">
      <c r="B21" s="168" t="s">
        <v>346</v>
      </c>
      <c r="C21" s="116" t="s">
        <v>366</v>
      </c>
      <c r="D21" s="120">
        <v>1</v>
      </c>
      <c r="E21" s="116" t="s">
        <v>348</v>
      </c>
      <c r="F21" s="119" t="s">
        <v>363</v>
      </c>
      <c r="G21" s="153"/>
      <c r="H21" s="153"/>
      <c r="I21" s="153"/>
      <c r="J21" s="153"/>
      <c r="K21" s="153"/>
      <c r="L21" s="153"/>
      <c r="M21" s="153"/>
      <c r="N21" s="153"/>
      <c r="O21" s="153">
        <f t="shared" si="2"/>
        <v>1</v>
      </c>
      <c r="P21" s="153">
        <f t="shared" si="2"/>
        <v>1</v>
      </c>
      <c r="Q21" s="153">
        <f t="shared" si="2"/>
        <v>1</v>
      </c>
      <c r="R21" s="153">
        <f t="shared" si="2"/>
        <v>1</v>
      </c>
      <c r="S21" s="169">
        <f t="shared" si="7"/>
        <v>1</v>
      </c>
      <c r="T21" s="153">
        <f t="shared" si="8"/>
        <v>1</v>
      </c>
      <c r="U21" s="153">
        <f t="shared" si="8"/>
        <v>1</v>
      </c>
      <c r="V21" s="153">
        <f t="shared" si="8"/>
        <v>1</v>
      </c>
      <c r="W21" s="153">
        <f t="shared" si="8"/>
        <v>1</v>
      </c>
      <c r="X21" s="153">
        <f t="shared" si="8"/>
        <v>1</v>
      </c>
      <c r="Y21" s="153">
        <f t="shared" si="8"/>
        <v>1</v>
      </c>
      <c r="Z21" s="153">
        <f t="shared" si="8"/>
        <v>1</v>
      </c>
      <c r="AA21" s="153">
        <f t="shared" si="8"/>
        <v>1</v>
      </c>
      <c r="AB21" s="153">
        <f t="shared" si="8"/>
        <v>1</v>
      </c>
      <c r="AC21" s="153">
        <f t="shared" si="8"/>
        <v>1</v>
      </c>
      <c r="AD21" s="170">
        <f t="shared" si="8"/>
        <v>1</v>
      </c>
      <c r="AE21" s="169">
        <f t="shared" si="9"/>
        <v>1</v>
      </c>
      <c r="AF21" s="153">
        <f t="shared" si="10"/>
        <v>1</v>
      </c>
      <c r="AG21" s="153">
        <f t="shared" si="10"/>
        <v>1</v>
      </c>
      <c r="AH21" s="153">
        <f t="shared" si="10"/>
        <v>1</v>
      </c>
      <c r="AI21" s="153">
        <f t="shared" si="10"/>
        <v>1</v>
      </c>
      <c r="AJ21" s="153">
        <f t="shared" si="10"/>
        <v>1</v>
      </c>
      <c r="AK21" s="153">
        <f t="shared" si="10"/>
        <v>1</v>
      </c>
      <c r="AL21" s="153">
        <f t="shared" si="10"/>
        <v>1</v>
      </c>
      <c r="AM21" s="153">
        <f t="shared" si="10"/>
        <v>1</v>
      </c>
      <c r="AN21" s="153">
        <f t="shared" si="10"/>
        <v>1</v>
      </c>
      <c r="AO21" s="153">
        <f t="shared" si="10"/>
        <v>1</v>
      </c>
      <c r="AP21" s="170">
        <f t="shared" si="10"/>
        <v>1</v>
      </c>
      <c r="AQ21" s="118"/>
    </row>
    <row r="22" spans="2:43" ht="15.75" customHeight="1">
      <c r="B22" s="168" t="s">
        <v>346</v>
      </c>
      <c r="C22" s="116" t="s">
        <v>367</v>
      </c>
      <c r="D22" s="120">
        <v>1</v>
      </c>
      <c r="E22" s="116" t="s">
        <v>348</v>
      </c>
      <c r="F22" s="119" t="s">
        <v>363</v>
      </c>
      <c r="G22" s="153">
        <f t="shared" ref="G22:R31" si="11">H22</f>
        <v>1</v>
      </c>
      <c r="H22" s="153">
        <f t="shared" si="11"/>
        <v>1</v>
      </c>
      <c r="I22" s="153">
        <f t="shared" si="11"/>
        <v>1</v>
      </c>
      <c r="J22" s="153">
        <f t="shared" si="11"/>
        <v>1</v>
      </c>
      <c r="K22" s="153">
        <f t="shared" si="11"/>
        <v>1</v>
      </c>
      <c r="L22" s="153">
        <f t="shared" si="11"/>
        <v>1</v>
      </c>
      <c r="M22" s="153">
        <f t="shared" si="11"/>
        <v>1</v>
      </c>
      <c r="N22" s="153">
        <f t="shared" si="11"/>
        <v>1</v>
      </c>
      <c r="O22" s="153">
        <f t="shared" si="11"/>
        <v>1</v>
      </c>
      <c r="P22" s="153">
        <f t="shared" si="11"/>
        <v>1</v>
      </c>
      <c r="Q22" s="153">
        <f t="shared" si="11"/>
        <v>1</v>
      </c>
      <c r="R22" s="153">
        <f t="shared" si="11"/>
        <v>1</v>
      </c>
      <c r="S22" s="169">
        <f t="shared" si="7"/>
        <v>1</v>
      </c>
      <c r="T22" s="153">
        <f t="shared" si="8"/>
        <v>1</v>
      </c>
      <c r="U22" s="153">
        <f t="shared" si="8"/>
        <v>1</v>
      </c>
      <c r="V22" s="153">
        <f t="shared" si="8"/>
        <v>1</v>
      </c>
      <c r="W22" s="153">
        <f t="shared" si="8"/>
        <v>1</v>
      </c>
      <c r="X22" s="153">
        <f t="shared" si="8"/>
        <v>1</v>
      </c>
      <c r="Y22" s="153">
        <f t="shared" si="8"/>
        <v>1</v>
      </c>
      <c r="Z22" s="153">
        <f t="shared" si="8"/>
        <v>1</v>
      </c>
      <c r="AA22" s="153">
        <f t="shared" si="8"/>
        <v>1</v>
      </c>
      <c r="AB22" s="153">
        <f t="shared" si="8"/>
        <v>1</v>
      </c>
      <c r="AC22" s="153">
        <f t="shared" si="8"/>
        <v>1</v>
      </c>
      <c r="AD22" s="170">
        <f t="shared" si="8"/>
        <v>1</v>
      </c>
      <c r="AE22" s="169">
        <f t="shared" si="9"/>
        <v>1</v>
      </c>
      <c r="AF22" s="153">
        <f t="shared" si="10"/>
        <v>1</v>
      </c>
      <c r="AG22" s="153">
        <f t="shared" si="10"/>
        <v>1</v>
      </c>
      <c r="AH22" s="153">
        <f t="shared" si="10"/>
        <v>1</v>
      </c>
      <c r="AI22" s="153">
        <f t="shared" si="10"/>
        <v>1</v>
      </c>
      <c r="AJ22" s="153">
        <f t="shared" si="10"/>
        <v>1</v>
      </c>
      <c r="AK22" s="153">
        <f t="shared" si="10"/>
        <v>1</v>
      </c>
      <c r="AL22" s="153">
        <f t="shared" si="10"/>
        <v>1</v>
      </c>
      <c r="AM22" s="153">
        <f t="shared" si="10"/>
        <v>1</v>
      </c>
      <c r="AN22" s="153">
        <f t="shared" si="10"/>
        <v>1</v>
      </c>
      <c r="AO22" s="153">
        <f t="shared" si="10"/>
        <v>1</v>
      </c>
      <c r="AP22" s="170">
        <f t="shared" si="10"/>
        <v>1</v>
      </c>
      <c r="AQ22" s="151"/>
    </row>
    <row r="23" spans="2:43" ht="15.75" customHeight="1">
      <c r="B23" s="168" t="s">
        <v>346</v>
      </c>
      <c r="C23" s="116" t="s">
        <v>368</v>
      </c>
      <c r="D23" s="120">
        <v>2</v>
      </c>
      <c r="E23" s="116" t="s">
        <v>369</v>
      </c>
      <c r="F23" s="119" t="s">
        <v>369</v>
      </c>
      <c r="G23" s="153">
        <f t="shared" si="11"/>
        <v>2</v>
      </c>
      <c r="H23" s="153">
        <f t="shared" si="11"/>
        <v>2</v>
      </c>
      <c r="I23" s="153">
        <f t="shared" si="11"/>
        <v>2</v>
      </c>
      <c r="J23" s="153">
        <f t="shared" si="11"/>
        <v>2</v>
      </c>
      <c r="K23" s="153">
        <f t="shared" si="11"/>
        <v>2</v>
      </c>
      <c r="L23" s="153">
        <f t="shared" si="11"/>
        <v>2</v>
      </c>
      <c r="M23" s="153">
        <f t="shared" si="11"/>
        <v>2</v>
      </c>
      <c r="N23" s="153">
        <f t="shared" si="11"/>
        <v>2</v>
      </c>
      <c r="O23" s="153">
        <f t="shared" si="11"/>
        <v>2</v>
      </c>
      <c r="P23" s="153">
        <f t="shared" si="11"/>
        <v>2</v>
      </c>
      <c r="Q23" s="153">
        <f t="shared" si="11"/>
        <v>2</v>
      </c>
      <c r="R23" s="153">
        <f t="shared" si="11"/>
        <v>2</v>
      </c>
      <c r="S23" s="169">
        <f t="shared" si="7"/>
        <v>2</v>
      </c>
      <c r="T23" s="153">
        <f t="shared" si="8"/>
        <v>2</v>
      </c>
      <c r="U23" s="153">
        <f t="shared" si="8"/>
        <v>2</v>
      </c>
      <c r="V23" s="153">
        <f t="shared" si="8"/>
        <v>2</v>
      </c>
      <c r="W23" s="153">
        <f t="shared" si="8"/>
        <v>2</v>
      </c>
      <c r="X23" s="153">
        <f t="shared" si="8"/>
        <v>2</v>
      </c>
      <c r="Y23" s="153">
        <f t="shared" si="8"/>
        <v>2</v>
      </c>
      <c r="Z23" s="153">
        <f t="shared" si="8"/>
        <v>2</v>
      </c>
      <c r="AA23" s="153">
        <f t="shared" si="8"/>
        <v>2</v>
      </c>
      <c r="AB23" s="153">
        <f t="shared" si="8"/>
        <v>2</v>
      </c>
      <c r="AC23" s="153">
        <f t="shared" si="8"/>
        <v>2</v>
      </c>
      <c r="AD23" s="170">
        <f t="shared" si="8"/>
        <v>2</v>
      </c>
      <c r="AE23" s="169">
        <f t="shared" si="9"/>
        <v>2</v>
      </c>
      <c r="AF23" s="153">
        <f t="shared" si="10"/>
        <v>2</v>
      </c>
      <c r="AG23" s="153">
        <f t="shared" si="10"/>
        <v>2</v>
      </c>
      <c r="AH23" s="153">
        <f t="shared" si="10"/>
        <v>2</v>
      </c>
      <c r="AI23" s="153">
        <f t="shared" si="10"/>
        <v>2</v>
      </c>
      <c r="AJ23" s="153">
        <f t="shared" si="10"/>
        <v>2</v>
      </c>
      <c r="AK23" s="153">
        <f t="shared" si="10"/>
        <v>2</v>
      </c>
      <c r="AL23" s="153">
        <f t="shared" si="10"/>
        <v>2</v>
      </c>
      <c r="AM23" s="153">
        <f t="shared" si="10"/>
        <v>2</v>
      </c>
      <c r="AN23" s="153">
        <f t="shared" si="10"/>
        <v>2</v>
      </c>
      <c r="AO23" s="153">
        <f t="shared" si="10"/>
        <v>2</v>
      </c>
      <c r="AP23" s="170">
        <f t="shared" si="10"/>
        <v>2</v>
      </c>
      <c r="AQ23" s="151"/>
    </row>
    <row r="24" spans="2:43" ht="15.75" customHeight="1">
      <c r="B24" s="168" t="s">
        <v>346</v>
      </c>
      <c r="C24" s="116" t="s">
        <v>451</v>
      </c>
      <c r="D24" s="120">
        <v>1</v>
      </c>
      <c r="E24" s="116" t="s">
        <v>369</v>
      </c>
      <c r="F24" s="119" t="s">
        <v>369</v>
      </c>
      <c r="G24" s="153">
        <f t="shared" si="11"/>
        <v>1</v>
      </c>
      <c r="H24" s="153">
        <f t="shared" si="11"/>
        <v>1</v>
      </c>
      <c r="I24" s="153">
        <f t="shared" si="11"/>
        <v>1</v>
      </c>
      <c r="J24" s="153">
        <f t="shared" si="11"/>
        <v>1</v>
      </c>
      <c r="K24" s="153">
        <f t="shared" si="11"/>
        <v>1</v>
      </c>
      <c r="L24" s="153">
        <f t="shared" si="11"/>
        <v>1</v>
      </c>
      <c r="M24" s="153">
        <f t="shared" si="11"/>
        <v>1</v>
      </c>
      <c r="N24" s="153">
        <f t="shared" si="11"/>
        <v>1</v>
      </c>
      <c r="O24" s="153">
        <f t="shared" si="11"/>
        <v>1</v>
      </c>
      <c r="P24" s="153">
        <f t="shared" si="11"/>
        <v>1</v>
      </c>
      <c r="Q24" s="153">
        <f t="shared" si="11"/>
        <v>1</v>
      </c>
      <c r="R24" s="153">
        <f t="shared" si="11"/>
        <v>1</v>
      </c>
      <c r="S24" s="169">
        <f t="shared" si="7"/>
        <v>1</v>
      </c>
      <c r="T24" s="153">
        <f t="shared" si="8"/>
        <v>1</v>
      </c>
      <c r="U24" s="153">
        <f t="shared" si="8"/>
        <v>1</v>
      </c>
      <c r="V24" s="153">
        <f t="shared" si="8"/>
        <v>1</v>
      </c>
      <c r="W24" s="153">
        <f t="shared" si="8"/>
        <v>1</v>
      </c>
      <c r="X24" s="153">
        <f t="shared" si="8"/>
        <v>1</v>
      </c>
      <c r="Y24" s="153">
        <f t="shared" si="8"/>
        <v>1</v>
      </c>
      <c r="Z24" s="153">
        <f t="shared" si="8"/>
        <v>1</v>
      </c>
      <c r="AA24" s="153">
        <f t="shared" si="8"/>
        <v>1</v>
      </c>
      <c r="AB24" s="153">
        <f t="shared" si="8"/>
        <v>1</v>
      </c>
      <c r="AC24" s="153">
        <f t="shared" si="8"/>
        <v>1</v>
      </c>
      <c r="AD24" s="170">
        <f t="shared" si="8"/>
        <v>1</v>
      </c>
      <c r="AE24" s="169">
        <f t="shared" si="9"/>
        <v>1</v>
      </c>
      <c r="AF24" s="153">
        <f t="shared" si="10"/>
        <v>1</v>
      </c>
      <c r="AG24" s="153">
        <f t="shared" si="10"/>
        <v>1</v>
      </c>
      <c r="AH24" s="153">
        <f t="shared" si="10"/>
        <v>1</v>
      </c>
      <c r="AI24" s="153">
        <f t="shared" si="10"/>
        <v>1</v>
      </c>
      <c r="AJ24" s="153">
        <f t="shared" si="10"/>
        <v>1</v>
      </c>
      <c r="AK24" s="153">
        <f t="shared" si="10"/>
        <v>1</v>
      </c>
      <c r="AL24" s="153">
        <f t="shared" si="10"/>
        <v>1</v>
      </c>
      <c r="AM24" s="153">
        <f t="shared" si="10"/>
        <v>1</v>
      </c>
      <c r="AN24" s="153">
        <f t="shared" si="10"/>
        <v>1</v>
      </c>
      <c r="AO24" s="153">
        <f t="shared" si="10"/>
        <v>1</v>
      </c>
      <c r="AP24" s="170">
        <f t="shared" si="10"/>
        <v>1</v>
      </c>
      <c r="AQ24" s="151"/>
    </row>
    <row r="25" spans="2:43" ht="15.75" customHeight="1">
      <c r="B25" s="168" t="s">
        <v>346</v>
      </c>
      <c r="C25" s="116" t="s">
        <v>371</v>
      </c>
      <c r="D25" s="120">
        <v>2</v>
      </c>
      <c r="E25" s="116" t="s">
        <v>369</v>
      </c>
      <c r="F25" s="119" t="s">
        <v>369</v>
      </c>
      <c r="G25" s="153">
        <f t="shared" si="11"/>
        <v>0</v>
      </c>
      <c r="H25" s="153">
        <f t="shared" si="11"/>
        <v>0</v>
      </c>
      <c r="I25" s="153">
        <f t="shared" si="11"/>
        <v>0</v>
      </c>
      <c r="J25" s="153">
        <f t="shared" si="11"/>
        <v>0</v>
      </c>
      <c r="K25" s="153">
        <f t="shared" si="11"/>
        <v>0</v>
      </c>
      <c r="L25" s="153">
        <f t="shared" si="11"/>
        <v>0</v>
      </c>
      <c r="M25" s="153">
        <f t="shared" si="11"/>
        <v>0</v>
      </c>
      <c r="N25" s="153">
        <f t="shared" si="11"/>
        <v>0</v>
      </c>
      <c r="O25" s="153">
        <f t="shared" si="11"/>
        <v>0</v>
      </c>
      <c r="P25" s="153">
        <f t="shared" si="11"/>
        <v>0</v>
      </c>
      <c r="Q25" s="153">
        <f t="shared" si="11"/>
        <v>0</v>
      </c>
      <c r="R25" s="153">
        <f t="shared" si="11"/>
        <v>0</v>
      </c>
      <c r="S25" s="169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70"/>
      <c r="AE25" s="169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70"/>
      <c r="AQ25" s="118"/>
    </row>
    <row r="26" spans="2:43" ht="15.75" customHeight="1">
      <c r="B26" s="168" t="s">
        <v>346</v>
      </c>
      <c r="C26" s="116" t="s">
        <v>372</v>
      </c>
      <c r="D26" s="120">
        <v>1</v>
      </c>
      <c r="E26" s="116" t="s">
        <v>369</v>
      </c>
      <c r="F26" s="119" t="s">
        <v>369</v>
      </c>
      <c r="G26" s="153">
        <f t="shared" si="11"/>
        <v>1</v>
      </c>
      <c r="H26" s="153">
        <f t="shared" si="11"/>
        <v>1</v>
      </c>
      <c r="I26" s="153">
        <f t="shared" si="11"/>
        <v>1</v>
      </c>
      <c r="J26" s="153">
        <f t="shared" si="11"/>
        <v>1</v>
      </c>
      <c r="K26" s="153">
        <f t="shared" si="11"/>
        <v>1</v>
      </c>
      <c r="L26" s="153">
        <f t="shared" si="11"/>
        <v>1</v>
      </c>
      <c r="M26" s="153">
        <f t="shared" si="11"/>
        <v>1</v>
      </c>
      <c r="N26" s="153">
        <f t="shared" si="11"/>
        <v>1</v>
      </c>
      <c r="O26" s="153">
        <f t="shared" si="11"/>
        <v>1</v>
      </c>
      <c r="P26" s="153">
        <f t="shared" si="11"/>
        <v>1</v>
      </c>
      <c r="Q26" s="153">
        <f t="shared" si="11"/>
        <v>1</v>
      </c>
      <c r="R26" s="153">
        <f t="shared" si="11"/>
        <v>1</v>
      </c>
      <c r="S26" s="169">
        <f t="shared" ref="S26:S28" si="12">D26</f>
        <v>1</v>
      </c>
      <c r="T26" s="153">
        <f t="shared" ref="T26:AD29" si="13">S26</f>
        <v>1</v>
      </c>
      <c r="U26" s="153">
        <f t="shared" si="13"/>
        <v>1</v>
      </c>
      <c r="V26" s="153">
        <f t="shared" si="13"/>
        <v>1</v>
      </c>
      <c r="W26" s="153">
        <f t="shared" si="13"/>
        <v>1</v>
      </c>
      <c r="X26" s="153">
        <f t="shared" si="13"/>
        <v>1</v>
      </c>
      <c r="Y26" s="153">
        <f t="shared" si="13"/>
        <v>1</v>
      </c>
      <c r="Z26" s="153">
        <f t="shared" si="13"/>
        <v>1</v>
      </c>
      <c r="AA26" s="153">
        <f t="shared" si="13"/>
        <v>1</v>
      </c>
      <c r="AB26" s="153">
        <f t="shared" si="13"/>
        <v>1</v>
      </c>
      <c r="AC26" s="153">
        <f t="shared" si="13"/>
        <v>1</v>
      </c>
      <c r="AD26" s="170">
        <f t="shared" si="13"/>
        <v>1</v>
      </c>
      <c r="AE26" s="169">
        <f t="shared" ref="AE26:AE31" si="14">D26</f>
        <v>1</v>
      </c>
      <c r="AF26" s="153">
        <f t="shared" ref="AF26:AP31" si="15">AE26</f>
        <v>1</v>
      </c>
      <c r="AG26" s="153">
        <f t="shared" si="15"/>
        <v>1</v>
      </c>
      <c r="AH26" s="153">
        <f t="shared" si="15"/>
        <v>1</v>
      </c>
      <c r="AI26" s="153">
        <f t="shared" si="15"/>
        <v>1</v>
      </c>
      <c r="AJ26" s="153">
        <f t="shared" si="15"/>
        <v>1</v>
      </c>
      <c r="AK26" s="153">
        <f t="shared" si="15"/>
        <v>1</v>
      </c>
      <c r="AL26" s="153">
        <f t="shared" si="15"/>
        <v>1</v>
      </c>
      <c r="AM26" s="153">
        <f t="shared" si="15"/>
        <v>1</v>
      </c>
      <c r="AN26" s="153">
        <f t="shared" si="15"/>
        <v>1</v>
      </c>
      <c r="AO26" s="153">
        <f t="shared" si="15"/>
        <v>1</v>
      </c>
      <c r="AP26" s="170">
        <f t="shared" si="15"/>
        <v>1</v>
      </c>
      <c r="AQ26" s="151"/>
    </row>
    <row r="27" spans="2:43" ht="15.75" customHeight="1">
      <c r="B27" s="168" t="s">
        <v>346</v>
      </c>
      <c r="C27" s="116" t="s">
        <v>373</v>
      </c>
      <c r="D27" s="120">
        <v>1</v>
      </c>
      <c r="E27" s="116" t="s">
        <v>369</v>
      </c>
      <c r="F27" s="119" t="s">
        <v>369</v>
      </c>
      <c r="G27" s="153">
        <f t="shared" si="11"/>
        <v>1</v>
      </c>
      <c r="H27" s="153">
        <f t="shared" si="11"/>
        <v>1</v>
      </c>
      <c r="I27" s="153">
        <f t="shared" si="11"/>
        <v>1</v>
      </c>
      <c r="J27" s="153">
        <f t="shared" si="11"/>
        <v>1</v>
      </c>
      <c r="K27" s="153">
        <f t="shared" si="11"/>
        <v>1</v>
      </c>
      <c r="L27" s="153">
        <f t="shared" si="11"/>
        <v>1</v>
      </c>
      <c r="M27" s="153">
        <f t="shared" si="11"/>
        <v>1</v>
      </c>
      <c r="N27" s="153">
        <f t="shared" si="11"/>
        <v>1</v>
      </c>
      <c r="O27" s="153">
        <f t="shared" si="11"/>
        <v>1</v>
      </c>
      <c r="P27" s="153">
        <f t="shared" si="11"/>
        <v>1</v>
      </c>
      <c r="Q27" s="153">
        <f t="shared" si="11"/>
        <v>1</v>
      </c>
      <c r="R27" s="153">
        <f t="shared" si="11"/>
        <v>1</v>
      </c>
      <c r="S27" s="169">
        <f t="shared" si="12"/>
        <v>1</v>
      </c>
      <c r="T27" s="153">
        <f t="shared" si="13"/>
        <v>1</v>
      </c>
      <c r="U27" s="153">
        <f t="shared" si="13"/>
        <v>1</v>
      </c>
      <c r="V27" s="153">
        <f t="shared" si="13"/>
        <v>1</v>
      </c>
      <c r="W27" s="153">
        <f t="shared" si="13"/>
        <v>1</v>
      </c>
      <c r="X27" s="153">
        <f t="shared" si="13"/>
        <v>1</v>
      </c>
      <c r="Y27" s="153">
        <f t="shared" si="13"/>
        <v>1</v>
      </c>
      <c r="Z27" s="153">
        <f t="shared" si="13"/>
        <v>1</v>
      </c>
      <c r="AA27" s="153">
        <f t="shared" si="13"/>
        <v>1</v>
      </c>
      <c r="AB27" s="153">
        <f t="shared" si="13"/>
        <v>1</v>
      </c>
      <c r="AC27" s="153">
        <f t="shared" si="13"/>
        <v>1</v>
      </c>
      <c r="AD27" s="170">
        <f t="shared" si="13"/>
        <v>1</v>
      </c>
      <c r="AE27" s="169">
        <f t="shared" si="14"/>
        <v>1</v>
      </c>
      <c r="AF27" s="153">
        <f t="shared" si="15"/>
        <v>1</v>
      </c>
      <c r="AG27" s="153">
        <f t="shared" si="15"/>
        <v>1</v>
      </c>
      <c r="AH27" s="153">
        <f t="shared" si="15"/>
        <v>1</v>
      </c>
      <c r="AI27" s="153">
        <f t="shared" si="15"/>
        <v>1</v>
      </c>
      <c r="AJ27" s="153">
        <f t="shared" si="15"/>
        <v>1</v>
      </c>
      <c r="AK27" s="153">
        <f t="shared" si="15"/>
        <v>1</v>
      </c>
      <c r="AL27" s="153">
        <f t="shared" si="15"/>
        <v>1</v>
      </c>
      <c r="AM27" s="153">
        <f t="shared" si="15"/>
        <v>1</v>
      </c>
      <c r="AN27" s="153">
        <f t="shared" si="15"/>
        <v>1</v>
      </c>
      <c r="AO27" s="153">
        <f t="shared" si="15"/>
        <v>1</v>
      </c>
      <c r="AP27" s="170">
        <f t="shared" si="15"/>
        <v>1</v>
      </c>
      <c r="AQ27" s="151"/>
    </row>
    <row r="28" spans="2:43" ht="15.75" customHeight="1">
      <c r="B28" s="168" t="s">
        <v>346</v>
      </c>
      <c r="C28" s="116" t="s">
        <v>374</v>
      </c>
      <c r="D28" s="120">
        <v>2</v>
      </c>
      <c r="E28" s="116" t="s">
        <v>369</v>
      </c>
      <c r="F28" s="119" t="s">
        <v>369</v>
      </c>
      <c r="G28" s="153">
        <f t="shared" si="11"/>
        <v>2</v>
      </c>
      <c r="H28" s="153">
        <f t="shared" si="11"/>
        <v>2</v>
      </c>
      <c r="I28" s="153">
        <f t="shared" si="11"/>
        <v>2</v>
      </c>
      <c r="J28" s="153">
        <f t="shared" si="11"/>
        <v>2</v>
      </c>
      <c r="K28" s="153">
        <f t="shared" si="11"/>
        <v>2</v>
      </c>
      <c r="L28" s="153">
        <f t="shared" si="11"/>
        <v>2</v>
      </c>
      <c r="M28" s="153">
        <f t="shared" si="11"/>
        <v>2</v>
      </c>
      <c r="N28" s="153">
        <f t="shared" si="11"/>
        <v>2</v>
      </c>
      <c r="O28" s="153">
        <f t="shared" si="11"/>
        <v>2</v>
      </c>
      <c r="P28" s="153">
        <f t="shared" si="11"/>
        <v>2</v>
      </c>
      <c r="Q28" s="153">
        <f t="shared" si="11"/>
        <v>2</v>
      </c>
      <c r="R28" s="153">
        <f t="shared" si="11"/>
        <v>2</v>
      </c>
      <c r="S28" s="169">
        <f t="shared" si="12"/>
        <v>2</v>
      </c>
      <c r="T28" s="153">
        <f t="shared" si="13"/>
        <v>2</v>
      </c>
      <c r="U28" s="153">
        <f t="shared" si="13"/>
        <v>2</v>
      </c>
      <c r="V28" s="153">
        <f t="shared" si="13"/>
        <v>2</v>
      </c>
      <c r="W28" s="153">
        <f t="shared" si="13"/>
        <v>2</v>
      </c>
      <c r="X28" s="153">
        <f t="shared" si="13"/>
        <v>2</v>
      </c>
      <c r="Y28" s="153">
        <f t="shared" si="13"/>
        <v>2</v>
      </c>
      <c r="Z28" s="153">
        <f t="shared" si="13"/>
        <v>2</v>
      </c>
      <c r="AA28" s="153">
        <f t="shared" si="13"/>
        <v>2</v>
      </c>
      <c r="AB28" s="153">
        <f t="shared" si="13"/>
        <v>2</v>
      </c>
      <c r="AC28" s="153">
        <f t="shared" si="13"/>
        <v>2</v>
      </c>
      <c r="AD28" s="170">
        <f t="shared" si="13"/>
        <v>2</v>
      </c>
      <c r="AE28" s="169">
        <f t="shared" si="14"/>
        <v>2</v>
      </c>
      <c r="AF28" s="153">
        <f t="shared" si="15"/>
        <v>2</v>
      </c>
      <c r="AG28" s="153">
        <f t="shared" si="15"/>
        <v>2</v>
      </c>
      <c r="AH28" s="153">
        <f t="shared" si="15"/>
        <v>2</v>
      </c>
      <c r="AI28" s="153">
        <f t="shared" si="15"/>
        <v>2</v>
      </c>
      <c r="AJ28" s="153">
        <f t="shared" si="15"/>
        <v>2</v>
      </c>
      <c r="AK28" s="153">
        <f t="shared" si="15"/>
        <v>2</v>
      </c>
      <c r="AL28" s="153">
        <f t="shared" si="15"/>
        <v>2</v>
      </c>
      <c r="AM28" s="153">
        <f t="shared" si="15"/>
        <v>2</v>
      </c>
      <c r="AN28" s="153">
        <f t="shared" si="15"/>
        <v>2</v>
      </c>
      <c r="AO28" s="153">
        <f t="shared" si="15"/>
        <v>2</v>
      </c>
      <c r="AP28" s="170">
        <f t="shared" si="15"/>
        <v>2</v>
      </c>
      <c r="AQ28" s="151"/>
    </row>
    <row r="29" spans="2:43" ht="15.75" customHeight="1">
      <c r="B29" s="168" t="s">
        <v>346</v>
      </c>
      <c r="C29" s="116" t="s">
        <v>375</v>
      </c>
      <c r="D29" s="120">
        <v>1</v>
      </c>
      <c r="E29" s="116" t="s">
        <v>369</v>
      </c>
      <c r="F29" s="119" t="s">
        <v>369</v>
      </c>
      <c r="G29" s="153">
        <f t="shared" si="11"/>
        <v>0</v>
      </c>
      <c r="H29" s="153">
        <f t="shared" si="11"/>
        <v>0</v>
      </c>
      <c r="I29" s="153">
        <f t="shared" si="11"/>
        <v>0</v>
      </c>
      <c r="J29" s="153">
        <f t="shared" si="11"/>
        <v>0</v>
      </c>
      <c r="K29" s="153">
        <f t="shared" si="11"/>
        <v>0</v>
      </c>
      <c r="L29" s="153">
        <f t="shared" si="11"/>
        <v>0</v>
      </c>
      <c r="M29" s="153">
        <f t="shared" si="11"/>
        <v>0</v>
      </c>
      <c r="N29" s="153">
        <f t="shared" si="11"/>
        <v>0</v>
      </c>
      <c r="O29" s="153">
        <f t="shared" si="11"/>
        <v>0</v>
      </c>
      <c r="P29" s="153">
        <f t="shared" si="11"/>
        <v>0</v>
      </c>
      <c r="Q29" s="153">
        <f t="shared" si="11"/>
        <v>0</v>
      </c>
      <c r="R29" s="153">
        <f t="shared" si="11"/>
        <v>0</v>
      </c>
      <c r="S29" s="169"/>
      <c r="T29" s="153"/>
      <c r="U29" s="153"/>
      <c r="V29" s="153"/>
      <c r="W29" s="153">
        <f>D29</f>
        <v>1</v>
      </c>
      <c r="X29" s="153">
        <f t="shared" si="13"/>
        <v>1</v>
      </c>
      <c r="Y29" s="153">
        <f t="shared" si="13"/>
        <v>1</v>
      </c>
      <c r="Z29" s="153">
        <f t="shared" si="13"/>
        <v>1</v>
      </c>
      <c r="AA29" s="153">
        <f t="shared" si="13"/>
        <v>1</v>
      </c>
      <c r="AB29" s="153">
        <f t="shared" si="13"/>
        <v>1</v>
      </c>
      <c r="AC29" s="153">
        <f t="shared" si="13"/>
        <v>1</v>
      </c>
      <c r="AD29" s="170">
        <f t="shared" si="13"/>
        <v>1</v>
      </c>
      <c r="AE29" s="169">
        <f t="shared" si="14"/>
        <v>1</v>
      </c>
      <c r="AF29" s="153">
        <f t="shared" si="15"/>
        <v>1</v>
      </c>
      <c r="AG29" s="153">
        <f t="shared" si="15"/>
        <v>1</v>
      </c>
      <c r="AH29" s="153">
        <f t="shared" si="15"/>
        <v>1</v>
      </c>
      <c r="AI29" s="153">
        <f t="shared" si="15"/>
        <v>1</v>
      </c>
      <c r="AJ29" s="153">
        <f t="shared" si="15"/>
        <v>1</v>
      </c>
      <c r="AK29" s="153">
        <f t="shared" si="15"/>
        <v>1</v>
      </c>
      <c r="AL29" s="153">
        <f t="shared" si="15"/>
        <v>1</v>
      </c>
      <c r="AM29" s="153">
        <f t="shared" si="15"/>
        <v>1</v>
      </c>
      <c r="AN29" s="153">
        <f t="shared" si="15"/>
        <v>1</v>
      </c>
      <c r="AO29" s="153">
        <f t="shared" si="15"/>
        <v>1</v>
      </c>
      <c r="AP29" s="170">
        <f t="shared" si="15"/>
        <v>1</v>
      </c>
      <c r="AQ29" s="118"/>
    </row>
    <row r="30" spans="2:43" ht="15.75" customHeight="1">
      <c r="B30" s="168" t="s">
        <v>346</v>
      </c>
      <c r="C30" s="116" t="s">
        <v>376</v>
      </c>
      <c r="D30" s="120">
        <v>1</v>
      </c>
      <c r="E30" s="116" t="s">
        <v>377</v>
      </c>
      <c r="F30" s="119" t="s">
        <v>377</v>
      </c>
      <c r="G30" s="153">
        <f t="shared" si="11"/>
        <v>1</v>
      </c>
      <c r="H30" s="153">
        <f t="shared" si="11"/>
        <v>1</v>
      </c>
      <c r="I30" s="153">
        <f t="shared" si="11"/>
        <v>1</v>
      </c>
      <c r="J30" s="153">
        <f t="shared" si="11"/>
        <v>1</v>
      </c>
      <c r="K30" s="153">
        <f t="shared" si="11"/>
        <v>1</v>
      </c>
      <c r="L30" s="153">
        <f t="shared" si="11"/>
        <v>1</v>
      </c>
      <c r="M30" s="153">
        <f t="shared" si="11"/>
        <v>1</v>
      </c>
      <c r="N30" s="153">
        <f t="shared" si="11"/>
        <v>1</v>
      </c>
      <c r="O30" s="153">
        <f t="shared" si="11"/>
        <v>1</v>
      </c>
      <c r="P30" s="153">
        <f t="shared" si="11"/>
        <v>1</v>
      </c>
      <c r="Q30" s="153">
        <f t="shared" si="11"/>
        <v>1</v>
      </c>
      <c r="R30" s="153">
        <f t="shared" si="11"/>
        <v>1</v>
      </c>
      <c r="S30" s="169">
        <f t="shared" ref="S30:S31" si="16">D30</f>
        <v>1</v>
      </c>
      <c r="T30" s="153">
        <f t="shared" ref="T30:AD31" si="17">S30</f>
        <v>1</v>
      </c>
      <c r="U30" s="153">
        <f t="shared" si="17"/>
        <v>1</v>
      </c>
      <c r="V30" s="153">
        <f t="shared" si="17"/>
        <v>1</v>
      </c>
      <c r="W30" s="153">
        <f t="shared" si="17"/>
        <v>1</v>
      </c>
      <c r="X30" s="153">
        <f t="shared" si="17"/>
        <v>1</v>
      </c>
      <c r="Y30" s="153">
        <f t="shared" si="17"/>
        <v>1</v>
      </c>
      <c r="Z30" s="153">
        <f t="shared" si="17"/>
        <v>1</v>
      </c>
      <c r="AA30" s="153">
        <f t="shared" si="17"/>
        <v>1</v>
      </c>
      <c r="AB30" s="153">
        <f t="shared" si="17"/>
        <v>1</v>
      </c>
      <c r="AC30" s="153">
        <f t="shared" si="17"/>
        <v>1</v>
      </c>
      <c r="AD30" s="170">
        <f t="shared" si="17"/>
        <v>1</v>
      </c>
      <c r="AE30" s="169">
        <f t="shared" si="14"/>
        <v>1</v>
      </c>
      <c r="AF30" s="153">
        <f t="shared" si="15"/>
        <v>1</v>
      </c>
      <c r="AG30" s="153">
        <f t="shared" si="15"/>
        <v>1</v>
      </c>
      <c r="AH30" s="153">
        <f t="shared" si="15"/>
        <v>1</v>
      </c>
      <c r="AI30" s="153">
        <f t="shared" si="15"/>
        <v>1</v>
      </c>
      <c r="AJ30" s="153">
        <f t="shared" si="15"/>
        <v>1</v>
      </c>
      <c r="AK30" s="153">
        <f t="shared" si="15"/>
        <v>1</v>
      </c>
      <c r="AL30" s="153">
        <f t="shared" si="15"/>
        <v>1</v>
      </c>
      <c r="AM30" s="153">
        <f t="shared" si="15"/>
        <v>1</v>
      </c>
      <c r="AN30" s="153">
        <f t="shared" si="15"/>
        <v>1</v>
      </c>
      <c r="AO30" s="153">
        <f t="shared" si="15"/>
        <v>1</v>
      </c>
      <c r="AP30" s="170">
        <f t="shared" si="15"/>
        <v>1</v>
      </c>
      <c r="AQ30" s="151"/>
    </row>
    <row r="31" spans="2:43" ht="15.75" customHeight="1">
      <c r="B31" s="168" t="s">
        <v>346</v>
      </c>
      <c r="C31" s="116" t="s">
        <v>378</v>
      </c>
      <c r="D31" s="120">
        <v>1</v>
      </c>
      <c r="E31" s="116" t="s">
        <v>377</v>
      </c>
      <c r="F31" s="119" t="s">
        <v>377</v>
      </c>
      <c r="G31" s="153">
        <f t="shared" si="11"/>
        <v>1</v>
      </c>
      <c r="H31" s="153">
        <f t="shared" si="11"/>
        <v>1</v>
      </c>
      <c r="I31" s="153">
        <f t="shared" si="11"/>
        <v>1</v>
      </c>
      <c r="J31" s="153">
        <f t="shared" si="11"/>
        <v>1</v>
      </c>
      <c r="K31" s="153">
        <f t="shared" si="11"/>
        <v>1</v>
      </c>
      <c r="L31" s="153">
        <f t="shared" si="11"/>
        <v>1</v>
      </c>
      <c r="M31" s="153">
        <f t="shared" si="11"/>
        <v>1</v>
      </c>
      <c r="N31" s="153">
        <f t="shared" si="11"/>
        <v>1</v>
      </c>
      <c r="O31" s="153">
        <f t="shared" si="11"/>
        <v>1</v>
      </c>
      <c r="P31" s="153">
        <f t="shared" si="11"/>
        <v>1</v>
      </c>
      <c r="Q31" s="153">
        <f t="shared" si="11"/>
        <v>1</v>
      </c>
      <c r="R31" s="153">
        <f t="shared" si="11"/>
        <v>1</v>
      </c>
      <c r="S31" s="169">
        <f t="shared" si="16"/>
        <v>1</v>
      </c>
      <c r="T31" s="153">
        <f t="shared" si="17"/>
        <v>1</v>
      </c>
      <c r="U31" s="153">
        <f t="shared" si="17"/>
        <v>1</v>
      </c>
      <c r="V31" s="153">
        <f t="shared" si="17"/>
        <v>1</v>
      </c>
      <c r="W31" s="153">
        <f t="shared" si="17"/>
        <v>1</v>
      </c>
      <c r="X31" s="153">
        <f t="shared" si="17"/>
        <v>1</v>
      </c>
      <c r="Y31" s="153">
        <f t="shared" si="17"/>
        <v>1</v>
      </c>
      <c r="Z31" s="153">
        <f t="shared" si="17"/>
        <v>1</v>
      </c>
      <c r="AA31" s="153">
        <f t="shared" si="17"/>
        <v>1</v>
      </c>
      <c r="AB31" s="153">
        <f t="shared" si="17"/>
        <v>1</v>
      </c>
      <c r="AC31" s="153">
        <f t="shared" si="17"/>
        <v>1</v>
      </c>
      <c r="AD31" s="170">
        <f t="shared" si="17"/>
        <v>1</v>
      </c>
      <c r="AE31" s="169">
        <f t="shared" si="14"/>
        <v>1</v>
      </c>
      <c r="AF31" s="153">
        <f t="shared" si="15"/>
        <v>1</v>
      </c>
      <c r="AG31" s="153">
        <f t="shared" si="15"/>
        <v>1</v>
      </c>
      <c r="AH31" s="153">
        <f t="shared" si="15"/>
        <v>1</v>
      </c>
      <c r="AI31" s="153">
        <f t="shared" si="15"/>
        <v>1</v>
      </c>
      <c r="AJ31" s="153">
        <f t="shared" si="15"/>
        <v>1</v>
      </c>
      <c r="AK31" s="153">
        <f t="shared" si="15"/>
        <v>1</v>
      </c>
      <c r="AL31" s="153">
        <f t="shared" si="15"/>
        <v>1</v>
      </c>
      <c r="AM31" s="153">
        <f t="shared" si="15"/>
        <v>1</v>
      </c>
      <c r="AN31" s="153">
        <f t="shared" si="15"/>
        <v>1</v>
      </c>
      <c r="AO31" s="153">
        <f t="shared" si="15"/>
        <v>1</v>
      </c>
      <c r="AP31" s="170">
        <f t="shared" si="15"/>
        <v>1</v>
      </c>
      <c r="AQ31" s="151"/>
    </row>
    <row r="32" spans="2:43" ht="15.75" customHeight="1">
      <c r="B32" s="168" t="s">
        <v>346</v>
      </c>
      <c r="C32" s="116" t="s">
        <v>452</v>
      </c>
      <c r="D32" s="120">
        <v>1</v>
      </c>
      <c r="E32" s="116" t="s">
        <v>377</v>
      </c>
      <c r="F32" s="119" t="s">
        <v>377</v>
      </c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69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70"/>
      <c r="AE32" s="169"/>
      <c r="AF32" s="153"/>
      <c r="AG32" s="153"/>
      <c r="AH32" s="153"/>
      <c r="AI32" s="153"/>
      <c r="AJ32" s="153"/>
      <c r="AK32" s="153"/>
      <c r="AL32" s="153"/>
      <c r="AM32" s="153">
        <v>1</v>
      </c>
      <c r="AN32" s="153">
        <v>1</v>
      </c>
      <c r="AO32" s="153">
        <v>1</v>
      </c>
      <c r="AP32" s="170">
        <v>1</v>
      </c>
      <c r="AQ32" s="118"/>
    </row>
    <row r="33" spans="2:45" ht="15.75" customHeight="1">
      <c r="B33" s="168" t="s">
        <v>346</v>
      </c>
      <c r="C33" s="116" t="s">
        <v>379</v>
      </c>
      <c r="D33" s="120">
        <v>1</v>
      </c>
      <c r="E33" s="116" t="s">
        <v>377</v>
      </c>
      <c r="F33" s="119" t="s">
        <v>377</v>
      </c>
      <c r="G33" s="153">
        <f t="shared" ref="G33:R35" si="18">H33</f>
        <v>1</v>
      </c>
      <c r="H33" s="153">
        <f t="shared" si="18"/>
        <v>1</v>
      </c>
      <c r="I33" s="153">
        <f t="shared" si="18"/>
        <v>1</v>
      </c>
      <c r="J33" s="153">
        <f t="shared" si="18"/>
        <v>1</v>
      </c>
      <c r="K33" s="153">
        <f t="shared" si="18"/>
        <v>1</v>
      </c>
      <c r="L33" s="153">
        <f t="shared" si="18"/>
        <v>1</v>
      </c>
      <c r="M33" s="153">
        <f t="shared" si="18"/>
        <v>1</v>
      </c>
      <c r="N33" s="153">
        <f t="shared" si="18"/>
        <v>1</v>
      </c>
      <c r="O33" s="153">
        <f t="shared" si="18"/>
        <v>1</v>
      </c>
      <c r="P33" s="153">
        <f t="shared" si="18"/>
        <v>1</v>
      </c>
      <c r="Q33" s="153">
        <f t="shared" si="18"/>
        <v>1</v>
      </c>
      <c r="R33" s="153">
        <f t="shared" si="18"/>
        <v>1</v>
      </c>
      <c r="S33" s="169">
        <f t="shared" ref="S33:S34" si="19">D33</f>
        <v>1</v>
      </c>
      <c r="T33" s="153">
        <f t="shared" ref="T33:AD36" si="20">S33</f>
        <v>1</v>
      </c>
      <c r="U33" s="153">
        <f t="shared" si="20"/>
        <v>1</v>
      </c>
      <c r="V33" s="153">
        <f t="shared" si="20"/>
        <v>1</v>
      </c>
      <c r="W33" s="153">
        <f t="shared" si="20"/>
        <v>1</v>
      </c>
      <c r="X33" s="153">
        <f t="shared" si="20"/>
        <v>1</v>
      </c>
      <c r="Y33" s="153">
        <f t="shared" si="20"/>
        <v>1</v>
      </c>
      <c r="Z33" s="153">
        <f t="shared" si="20"/>
        <v>1</v>
      </c>
      <c r="AA33" s="153">
        <f t="shared" si="20"/>
        <v>1</v>
      </c>
      <c r="AB33" s="153">
        <f t="shared" si="20"/>
        <v>1</v>
      </c>
      <c r="AC33" s="153">
        <f t="shared" si="20"/>
        <v>1</v>
      </c>
      <c r="AD33" s="170">
        <f t="shared" si="20"/>
        <v>1</v>
      </c>
      <c r="AE33" s="169">
        <f t="shared" ref="AE33:AE34" si="21">D33</f>
        <v>1</v>
      </c>
      <c r="AF33" s="153">
        <f t="shared" ref="AF33:AP39" si="22">AE33</f>
        <v>1</v>
      </c>
      <c r="AG33" s="153">
        <f t="shared" si="22"/>
        <v>1</v>
      </c>
      <c r="AH33" s="153">
        <f t="shared" si="22"/>
        <v>1</v>
      </c>
      <c r="AI33" s="153">
        <f t="shared" si="22"/>
        <v>1</v>
      </c>
      <c r="AJ33" s="153">
        <f t="shared" si="22"/>
        <v>1</v>
      </c>
      <c r="AK33" s="153">
        <f t="shared" si="22"/>
        <v>1</v>
      </c>
      <c r="AL33" s="153">
        <f t="shared" si="22"/>
        <v>1</v>
      </c>
      <c r="AM33" s="153">
        <f t="shared" si="22"/>
        <v>1</v>
      </c>
      <c r="AN33" s="153">
        <f t="shared" si="22"/>
        <v>1</v>
      </c>
      <c r="AO33" s="153">
        <f t="shared" si="22"/>
        <v>1</v>
      </c>
      <c r="AP33" s="170">
        <f t="shared" si="22"/>
        <v>1</v>
      </c>
      <c r="AQ33" s="151"/>
    </row>
    <row r="34" spans="2:45" ht="15.75" customHeight="1">
      <c r="B34" s="168" t="s">
        <v>346</v>
      </c>
      <c r="C34" s="116" t="s">
        <v>380</v>
      </c>
      <c r="D34" s="120">
        <v>1</v>
      </c>
      <c r="E34" s="116" t="s">
        <v>377</v>
      </c>
      <c r="F34" s="119" t="s">
        <v>377</v>
      </c>
      <c r="G34" s="153">
        <f t="shared" si="18"/>
        <v>1</v>
      </c>
      <c r="H34" s="153">
        <f t="shared" si="18"/>
        <v>1</v>
      </c>
      <c r="I34" s="153">
        <f t="shared" si="18"/>
        <v>1</v>
      </c>
      <c r="J34" s="153">
        <f t="shared" si="18"/>
        <v>1</v>
      </c>
      <c r="K34" s="153">
        <f t="shared" si="18"/>
        <v>1</v>
      </c>
      <c r="L34" s="153">
        <f t="shared" si="18"/>
        <v>1</v>
      </c>
      <c r="M34" s="153">
        <f t="shared" si="18"/>
        <v>1</v>
      </c>
      <c r="N34" s="153">
        <f t="shared" si="18"/>
        <v>1</v>
      </c>
      <c r="O34" s="153">
        <f t="shared" si="18"/>
        <v>1</v>
      </c>
      <c r="P34" s="153">
        <f t="shared" si="18"/>
        <v>1</v>
      </c>
      <c r="Q34" s="153">
        <f t="shared" si="18"/>
        <v>1</v>
      </c>
      <c r="R34" s="153">
        <f t="shared" si="18"/>
        <v>1</v>
      </c>
      <c r="S34" s="169">
        <f t="shared" si="19"/>
        <v>1</v>
      </c>
      <c r="T34" s="153">
        <f t="shared" si="20"/>
        <v>1</v>
      </c>
      <c r="U34" s="153">
        <f t="shared" si="20"/>
        <v>1</v>
      </c>
      <c r="V34" s="153">
        <f t="shared" si="20"/>
        <v>1</v>
      </c>
      <c r="W34" s="153">
        <f t="shared" si="20"/>
        <v>1</v>
      </c>
      <c r="X34" s="153">
        <f t="shared" si="20"/>
        <v>1</v>
      </c>
      <c r="Y34" s="153">
        <f t="shared" si="20"/>
        <v>1</v>
      </c>
      <c r="Z34" s="153">
        <f t="shared" si="20"/>
        <v>1</v>
      </c>
      <c r="AA34" s="153">
        <f t="shared" si="20"/>
        <v>1</v>
      </c>
      <c r="AB34" s="153">
        <f t="shared" si="20"/>
        <v>1</v>
      </c>
      <c r="AC34" s="153">
        <f t="shared" si="20"/>
        <v>1</v>
      </c>
      <c r="AD34" s="170">
        <f t="shared" si="20"/>
        <v>1</v>
      </c>
      <c r="AE34" s="169">
        <f t="shared" si="21"/>
        <v>1</v>
      </c>
      <c r="AF34" s="153">
        <f t="shared" si="22"/>
        <v>1</v>
      </c>
      <c r="AG34" s="153">
        <f t="shared" si="22"/>
        <v>1</v>
      </c>
      <c r="AH34" s="153">
        <f t="shared" si="22"/>
        <v>1</v>
      </c>
      <c r="AI34" s="153">
        <f t="shared" si="22"/>
        <v>1</v>
      </c>
      <c r="AJ34" s="153">
        <f t="shared" si="22"/>
        <v>1</v>
      </c>
      <c r="AK34" s="153">
        <f t="shared" si="22"/>
        <v>1</v>
      </c>
      <c r="AL34" s="153">
        <f t="shared" si="22"/>
        <v>1</v>
      </c>
      <c r="AM34" s="153">
        <f t="shared" si="22"/>
        <v>1</v>
      </c>
      <c r="AN34" s="153">
        <f t="shared" si="22"/>
        <v>1</v>
      </c>
      <c r="AO34" s="153">
        <f t="shared" si="22"/>
        <v>1</v>
      </c>
      <c r="AP34" s="170">
        <f t="shared" si="22"/>
        <v>1</v>
      </c>
      <c r="AQ34" s="151"/>
    </row>
    <row r="35" spans="2:45" ht="15.75" customHeight="1">
      <c r="B35" s="168" t="s">
        <v>346</v>
      </c>
      <c r="C35" s="116" t="s">
        <v>381</v>
      </c>
      <c r="D35" s="120">
        <v>2</v>
      </c>
      <c r="E35" s="116" t="s">
        <v>377</v>
      </c>
      <c r="F35" s="119" t="s">
        <v>377</v>
      </c>
      <c r="G35" s="153"/>
      <c r="H35" s="153"/>
      <c r="I35" s="153"/>
      <c r="J35" s="153"/>
      <c r="K35" s="153"/>
      <c r="L35" s="153"/>
      <c r="M35" s="153"/>
      <c r="N35" s="153"/>
      <c r="O35" s="153">
        <f t="shared" si="18"/>
        <v>1</v>
      </c>
      <c r="P35" s="153">
        <f t="shared" si="18"/>
        <v>1</v>
      </c>
      <c r="Q35" s="153">
        <f t="shared" si="18"/>
        <v>1</v>
      </c>
      <c r="R35" s="153">
        <f t="shared" si="18"/>
        <v>1</v>
      </c>
      <c r="S35" s="169">
        <v>1</v>
      </c>
      <c r="T35" s="153">
        <f t="shared" si="20"/>
        <v>1</v>
      </c>
      <c r="U35" s="153">
        <f t="shared" si="20"/>
        <v>1</v>
      </c>
      <c r="V35" s="153">
        <f t="shared" si="20"/>
        <v>1</v>
      </c>
      <c r="W35" s="153">
        <f t="shared" si="20"/>
        <v>1</v>
      </c>
      <c r="X35" s="153">
        <f t="shared" si="20"/>
        <v>1</v>
      </c>
      <c r="Y35" s="153">
        <f t="shared" si="20"/>
        <v>1</v>
      </c>
      <c r="Z35" s="153">
        <f t="shared" si="20"/>
        <v>1</v>
      </c>
      <c r="AA35" s="153">
        <f t="shared" si="20"/>
        <v>1</v>
      </c>
      <c r="AB35" s="153">
        <f t="shared" si="20"/>
        <v>1</v>
      </c>
      <c r="AC35" s="153">
        <f t="shared" si="20"/>
        <v>1</v>
      </c>
      <c r="AD35" s="170">
        <f t="shared" si="20"/>
        <v>1</v>
      </c>
      <c r="AE35" s="169">
        <v>1</v>
      </c>
      <c r="AF35" s="153">
        <f t="shared" si="22"/>
        <v>1</v>
      </c>
      <c r="AG35" s="153">
        <f t="shared" si="22"/>
        <v>1</v>
      </c>
      <c r="AH35" s="153">
        <f t="shared" si="22"/>
        <v>1</v>
      </c>
      <c r="AI35" s="153">
        <f t="shared" si="22"/>
        <v>1</v>
      </c>
      <c r="AJ35" s="153">
        <f t="shared" si="22"/>
        <v>1</v>
      </c>
      <c r="AK35" s="153">
        <f t="shared" si="22"/>
        <v>1</v>
      </c>
      <c r="AL35" s="153">
        <f t="shared" si="22"/>
        <v>1</v>
      </c>
      <c r="AM35" s="153">
        <f t="shared" si="22"/>
        <v>1</v>
      </c>
      <c r="AN35" s="153">
        <f t="shared" si="22"/>
        <v>1</v>
      </c>
      <c r="AO35" s="153">
        <v>2</v>
      </c>
      <c r="AP35" s="170">
        <f>AO35</f>
        <v>2</v>
      </c>
      <c r="AQ35" s="118"/>
    </row>
    <row r="36" spans="2:45" ht="15.75" customHeight="1">
      <c r="B36" s="168" t="s">
        <v>346</v>
      </c>
      <c r="C36" s="116" t="s">
        <v>382</v>
      </c>
      <c r="D36" s="120">
        <v>2</v>
      </c>
      <c r="E36" s="116" t="s">
        <v>377</v>
      </c>
      <c r="F36" s="119" t="s">
        <v>377</v>
      </c>
      <c r="G36" s="153">
        <f t="shared" ref="G36:R39" si="23">H36</f>
        <v>2</v>
      </c>
      <c r="H36" s="153">
        <f t="shared" si="23"/>
        <v>2</v>
      </c>
      <c r="I36" s="153">
        <f t="shared" si="23"/>
        <v>2</v>
      </c>
      <c r="J36" s="153">
        <f t="shared" si="23"/>
        <v>2</v>
      </c>
      <c r="K36" s="153">
        <f t="shared" si="23"/>
        <v>2</v>
      </c>
      <c r="L36" s="153">
        <f t="shared" si="23"/>
        <v>2</v>
      </c>
      <c r="M36" s="153">
        <f t="shared" si="23"/>
        <v>2</v>
      </c>
      <c r="N36" s="153">
        <f t="shared" si="23"/>
        <v>2</v>
      </c>
      <c r="O36" s="153">
        <f t="shared" si="23"/>
        <v>2</v>
      </c>
      <c r="P36" s="153">
        <f t="shared" si="23"/>
        <v>2</v>
      </c>
      <c r="Q36" s="153">
        <f t="shared" si="23"/>
        <v>2</v>
      </c>
      <c r="R36" s="153">
        <f t="shared" si="23"/>
        <v>2</v>
      </c>
      <c r="S36" s="169">
        <f>D36</f>
        <v>2</v>
      </c>
      <c r="T36" s="153">
        <f t="shared" si="20"/>
        <v>2</v>
      </c>
      <c r="U36" s="153">
        <f t="shared" si="20"/>
        <v>2</v>
      </c>
      <c r="V36" s="153">
        <f t="shared" si="20"/>
        <v>2</v>
      </c>
      <c r="W36" s="153">
        <f t="shared" si="20"/>
        <v>2</v>
      </c>
      <c r="X36" s="153">
        <f t="shared" si="20"/>
        <v>2</v>
      </c>
      <c r="Y36" s="153">
        <f t="shared" si="20"/>
        <v>2</v>
      </c>
      <c r="Z36" s="153">
        <f t="shared" si="20"/>
        <v>2</v>
      </c>
      <c r="AA36" s="153">
        <f t="shared" si="20"/>
        <v>2</v>
      </c>
      <c r="AB36" s="153">
        <f t="shared" si="20"/>
        <v>2</v>
      </c>
      <c r="AC36" s="153">
        <f t="shared" si="20"/>
        <v>2</v>
      </c>
      <c r="AD36" s="170">
        <f t="shared" si="20"/>
        <v>2</v>
      </c>
      <c r="AE36" s="169">
        <f t="shared" ref="AE36:AE38" si="24">D36</f>
        <v>2</v>
      </c>
      <c r="AF36" s="153">
        <f t="shared" si="22"/>
        <v>2</v>
      </c>
      <c r="AG36" s="153">
        <f t="shared" si="22"/>
        <v>2</v>
      </c>
      <c r="AH36" s="153">
        <f t="shared" si="22"/>
        <v>2</v>
      </c>
      <c r="AI36" s="153">
        <f t="shared" si="22"/>
        <v>2</v>
      </c>
      <c r="AJ36" s="153">
        <f t="shared" si="22"/>
        <v>2</v>
      </c>
      <c r="AK36" s="153">
        <f t="shared" si="22"/>
        <v>2</v>
      </c>
      <c r="AL36" s="153">
        <f t="shared" si="22"/>
        <v>2</v>
      </c>
      <c r="AM36" s="153">
        <f t="shared" si="22"/>
        <v>2</v>
      </c>
      <c r="AN36" s="153">
        <f t="shared" si="22"/>
        <v>2</v>
      </c>
      <c r="AO36" s="153">
        <f t="shared" si="22"/>
        <v>2</v>
      </c>
      <c r="AP36" s="170">
        <f t="shared" si="22"/>
        <v>2</v>
      </c>
      <c r="AQ36" s="151"/>
    </row>
    <row r="37" spans="2:45" ht="15.75" customHeight="1">
      <c r="B37" s="168" t="s">
        <v>346</v>
      </c>
      <c r="C37" s="116" t="s">
        <v>383</v>
      </c>
      <c r="D37" s="120">
        <v>1</v>
      </c>
      <c r="E37" s="116" t="s">
        <v>377</v>
      </c>
      <c r="F37" s="119" t="s">
        <v>377</v>
      </c>
      <c r="G37" s="153">
        <f t="shared" si="23"/>
        <v>0</v>
      </c>
      <c r="H37" s="153">
        <f t="shared" si="23"/>
        <v>0</v>
      </c>
      <c r="I37" s="153">
        <f t="shared" si="23"/>
        <v>0</v>
      </c>
      <c r="J37" s="153">
        <f t="shared" si="23"/>
        <v>0</v>
      </c>
      <c r="K37" s="153">
        <f t="shared" si="23"/>
        <v>0</v>
      </c>
      <c r="L37" s="153">
        <f t="shared" si="23"/>
        <v>0</v>
      </c>
      <c r="M37" s="153">
        <f t="shared" si="23"/>
        <v>0</v>
      </c>
      <c r="N37" s="153">
        <f t="shared" si="23"/>
        <v>0</v>
      </c>
      <c r="O37" s="153">
        <f t="shared" si="23"/>
        <v>0</v>
      </c>
      <c r="P37" s="153">
        <f t="shared" si="23"/>
        <v>0</v>
      </c>
      <c r="Q37" s="153">
        <f t="shared" si="23"/>
        <v>0</v>
      </c>
      <c r="R37" s="153">
        <f t="shared" si="23"/>
        <v>0</v>
      </c>
      <c r="S37" s="169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70"/>
      <c r="AE37" s="169">
        <f t="shared" si="24"/>
        <v>1</v>
      </c>
      <c r="AF37" s="153">
        <f t="shared" si="22"/>
        <v>1</v>
      </c>
      <c r="AG37" s="153">
        <f t="shared" si="22"/>
        <v>1</v>
      </c>
      <c r="AH37" s="153">
        <f t="shared" si="22"/>
        <v>1</v>
      </c>
      <c r="AI37" s="153">
        <f t="shared" si="22"/>
        <v>1</v>
      </c>
      <c r="AJ37" s="153">
        <f t="shared" si="22"/>
        <v>1</v>
      </c>
      <c r="AK37" s="153">
        <f t="shared" si="22"/>
        <v>1</v>
      </c>
      <c r="AL37" s="153">
        <f t="shared" si="22"/>
        <v>1</v>
      </c>
      <c r="AM37" s="153">
        <f t="shared" si="22"/>
        <v>1</v>
      </c>
      <c r="AN37" s="153">
        <f t="shared" si="22"/>
        <v>1</v>
      </c>
      <c r="AO37" s="153">
        <f t="shared" si="22"/>
        <v>1</v>
      </c>
      <c r="AP37" s="170">
        <f t="shared" si="22"/>
        <v>1</v>
      </c>
      <c r="AQ37" s="118"/>
    </row>
    <row r="38" spans="2:45" ht="15.75" customHeight="1">
      <c r="B38" s="168" t="s">
        <v>346</v>
      </c>
      <c r="C38" s="116" t="s">
        <v>384</v>
      </c>
      <c r="D38" s="120">
        <v>1</v>
      </c>
      <c r="E38" s="116" t="s">
        <v>385</v>
      </c>
      <c r="F38" s="119" t="s">
        <v>385</v>
      </c>
      <c r="G38" s="153">
        <f t="shared" si="23"/>
        <v>1</v>
      </c>
      <c r="H38" s="153">
        <f t="shared" si="23"/>
        <v>1</v>
      </c>
      <c r="I38" s="153">
        <f t="shared" si="23"/>
        <v>1</v>
      </c>
      <c r="J38" s="153">
        <f t="shared" si="23"/>
        <v>1</v>
      </c>
      <c r="K38" s="153">
        <f t="shared" si="23"/>
        <v>1</v>
      </c>
      <c r="L38" s="153">
        <f t="shared" si="23"/>
        <v>1</v>
      </c>
      <c r="M38" s="153">
        <f t="shared" si="23"/>
        <v>1</v>
      </c>
      <c r="N38" s="153">
        <f t="shared" si="23"/>
        <v>1</v>
      </c>
      <c r="O38" s="153">
        <f t="shared" si="23"/>
        <v>1</v>
      </c>
      <c r="P38" s="153">
        <f t="shared" si="23"/>
        <v>1</v>
      </c>
      <c r="Q38" s="153">
        <f t="shared" si="23"/>
        <v>1</v>
      </c>
      <c r="R38" s="153">
        <f t="shared" si="23"/>
        <v>1</v>
      </c>
      <c r="S38" s="169">
        <f>D38</f>
        <v>1</v>
      </c>
      <c r="T38" s="153">
        <f t="shared" ref="T38:AD38" si="25">S38</f>
        <v>1</v>
      </c>
      <c r="U38" s="153">
        <f t="shared" si="25"/>
        <v>1</v>
      </c>
      <c r="V38" s="153">
        <f t="shared" si="25"/>
        <v>1</v>
      </c>
      <c r="W38" s="153">
        <f t="shared" si="25"/>
        <v>1</v>
      </c>
      <c r="X38" s="153">
        <f t="shared" si="25"/>
        <v>1</v>
      </c>
      <c r="Y38" s="153">
        <f t="shared" si="25"/>
        <v>1</v>
      </c>
      <c r="Z38" s="153">
        <f t="shared" si="25"/>
        <v>1</v>
      </c>
      <c r="AA38" s="153">
        <f t="shared" si="25"/>
        <v>1</v>
      </c>
      <c r="AB38" s="153">
        <f t="shared" si="25"/>
        <v>1</v>
      </c>
      <c r="AC38" s="153">
        <f t="shared" si="25"/>
        <v>1</v>
      </c>
      <c r="AD38" s="170">
        <f t="shared" si="25"/>
        <v>1</v>
      </c>
      <c r="AE38" s="169">
        <f t="shared" si="24"/>
        <v>1</v>
      </c>
      <c r="AF38" s="153">
        <f t="shared" si="22"/>
        <v>1</v>
      </c>
      <c r="AG38" s="153">
        <f t="shared" si="22"/>
        <v>1</v>
      </c>
      <c r="AH38" s="153">
        <f t="shared" si="22"/>
        <v>1</v>
      </c>
      <c r="AI38" s="153">
        <f t="shared" si="22"/>
        <v>1</v>
      </c>
      <c r="AJ38" s="153">
        <f t="shared" si="22"/>
        <v>1</v>
      </c>
      <c r="AK38" s="153">
        <f t="shared" si="22"/>
        <v>1</v>
      </c>
      <c r="AL38" s="153">
        <f t="shared" si="22"/>
        <v>1</v>
      </c>
      <c r="AM38" s="153">
        <f t="shared" si="22"/>
        <v>1</v>
      </c>
      <c r="AN38" s="153">
        <f t="shared" si="22"/>
        <v>1</v>
      </c>
      <c r="AO38" s="153">
        <f t="shared" si="22"/>
        <v>1</v>
      </c>
      <c r="AP38" s="170">
        <f t="shared" si="22"/>
        <v>1</v>
      </c>
      <c r="AQ38" s="151"/>
    </row>
    <row r="39" spans="2:45" ht="15.75" customHeight="1">
      <c r="B39" s="171" t="s">
        <v>346</v>
      </c>
      <c r="C39" s="172" t="s">
        <v>386</v>
      </c>
      <c r="D39" s="173">
        <v>1</v>
      </c>
      <c r="E39" s="174" t="s">
        <v>348</v>
      </c>
      <c r="F39" s="175" t="s">
        <v>363</v>
      </c>
      <c r="G39" s="176">
        <f t="shared" si="23"/>
        <v>0</v>
      </c>
      <c r="H39" s="176">
        <f t="shared" si="23"/>
        <v>0</v>
      </c>
      <c r="I39" s="176">
        <f t="shared" si="23"/>
        <v>0</v>
      </c>
      <c r="J39" s="176">
        <f t="shared" si="23"/>
        <v>0</v>
      </c>
      <c r="K39" s="176">
        <f t="shared" si="23"/>
        <v>0</v>
      </c>
      <c r="L39" s="176">
        <f t="shared" si="23"/>
        <v>0</v>
      </c>
      <c r="M39" s="176">
        <f t="shared" si="23"/>
        <v>0</v>
      </c>
      <c r="N39" s="176">
        <f t="shared" si="23"/>
        <v>0</v>
      </c>
      <c r="O39" s="176">
        <f t="shared" si="23"/>
        <v>0</v>
      </c>
      <c r="P39" s="176">
        <f t="shared" si="23"/>
        <v>0</v>
      </c>
      <c r="Q39" s="176">
        <f t="shared" si="23"/>
        <v>0</v>
      </c>
      <c r="R39" s="176">
        <f t="shared" si="23"/>
        <v>0</v>
      </c>
      <c r="S39" s="177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8"/>
      <c r="AE39" s="177"/>
      <c r="AF39" s="176"/>
      <c r="AG39" s="176"/>
      <c r="AH39" s="176">
        <f>D39</f>
        <v>1</v>
      </c>
      <c r="AI39" s="176">
        <f t="shared" si="22"/>
        <v>1</v>
      </c>
      <c r="AJ39" s="176">
        <f t="shared" si="22"/>
        <v>1</v>
      </c>
      <c r="AK39" s="176">
        <f t="shared" si="22"/>
        <v>1</v>
      </c>
      <c r="AL39" s="176">
        <f t="shared" si="22"/>
        <v>1</v>
      </c>
      <c r="AM39" s="176">
        <f t="shared" si="22"/>
        <v>1</v>
      </c>
      <c r="AN39" s="176">
        <f t="shared" si="22"/>
        <v>1</v>
      </c>
      <c r="AO39" s="176">
        <f t="shared" si="22"/>
        <v>1</v>
      </c>
      <c r="AP39" s="178">
        <f t="shared" si="22"/>
        <v>1</v>
      </c>
      <c r="AQ39" s="118"/>
    </row>
    <row r="40" spans="2:45" ht="15.75" customHeight="1">
      <c r="B40" s="168" t="s">
        <v>387</v>
      </c>
      <c r="C40" s="116" t="s">
        <v>347</v>
      </c>
      <c r="D40" s="120">
        <v>1</v>
      </c>
      <c r="E40" s="116" t="s">
        <v>348</v>
      </c>
      <c r="F40" s="119" t="s">
        <v>349</v>
      </c>
      <c r="G40" s="169">
        <v>4</v>
      </c>
      <c r="H40" s="153">
        <v>5</v>
      </c>
      <c r="I40" s="153">
        <v>6</v>
      </c>
      <c r="J40" s="153">
        <v>6</v>
      </c>
      <c r="K40" s="153">
        <v>6</v>
      </c>
      <c r="L40" s="153">
        <v>4</v>
      </c>
      <c r="M40" s="153">
        <v>4</v>
      </c>
      <c r="N40" s="153">
        <v>7</v>
      </c>
      <c r="O40" s="153">
        <v>7</v>
      </c>
      <c r="P40" s="153">
        <v>11</v>
      </c>
      <c r="Q40" s="153">
        <v>5</v>
      </c>
      <c r="R40" s="153">
        <v>4</v>
      </c>
      <c r="S40" s="169">
        <v>3</v>
      </c>
      <c r="T40" s="153">
        <v>2</v>
      </c>
      <c r="U40" s="153">
        <v>3</v>
      </c>
      <c r="V40" s="153">
        <v>7</v>
      </c>
      <c r="W40" s="153">
        <v>9</v>
      </c>
      <c r="X40" s="153">
        <v>5</v>
      </c>
      <c r="Y40" s="153">
        <v>5</v>
      </c>
      <c r="Z40" s="153">
        <v>4</v>
      </c>
      <c r="AA40" s="153">
        <v>3</v>
      </c>
      <c r="AB40" s="153">
        <v>5</v>
      </c>
      <c r="AC40" s="153">
        <v>10</v>
      </c>
      <c r="AD40" s="170">
        <v>5</v>
      </c>
      <c r="AE40" s="169">
        <v>4</v>
      </c>
      <c r="AF40" s="153">
        <v>1</v>
      </c>
      <c r="AG40" s="153">
        <v>6</v>
      </c>
      <c r="AH40" s="153">
        <v>3</v>
      </c>
      <c r="AI40" s="153">
        <v>6</v>
      </c>
      <c r="AJ40" s="153">
        <v>1</v>
      </c>
      <c r="AK40" s="153">
        <v>2</v>
      </c>
      <c r="AL40" s="153">
        <v>5</v>
      </c>
      <c r="AM40" s="153">
        <v>1</v>
      </c>
      <c r="AN40" s="153">
        <v>14</v>
      </c>
      <c r="AO40" s="153">
        <v>9</v>
      </c>
      <c r="AP40" s="170">
        <v>4</v>
      </c>
      <c r="AQ40" s="151"/>
      <c r="AR40" s="96">
        <f t="shared" ref="AR40:AR103" si="26">SUM(S40:AD40)</f>
        <v>61</v>
      </c>
      <c r="AS40" s="96">
        <f>SUM(AE40:AP40)</f>
        <v>56</v>
      </c>
    </row>
    <row r="41" spans="2:45" ht="15.75" customHeight="1">
      <c r="B41" s="168" t="s">
        <v>387</v>
      </c>
      <c r="C41" s="116" t="s">
        <v>350</v>
      </c>
      <c r="D41" s="120">
        <v>2</v>
      </c>
      <c r="E41" s="116" t="s">
        <v>348</v>
      </c>
      <c r="F41" s="119" t="s">
        <v>349</v>
      </c>
      <c r="G41" s="153">
        <v>3</v>
      </c>
      <c r="H41" s="153">
        <v>4</v>
      </c>
      <c r="I41" s="153">
        <v>10</v>
      </c>
      <c r="J41" s="153">
        <v>7</v>
      </c>
      <c r="K41" s="153">
        <v>13</v>
      </c>
      <c r="L41" s="153">
        <v>9</v>
      </c>
      <c r="M41" s="153">
        <v>7</v>
      </c>
      <c r="N41" s="153">
        <v>10</v>
      </c>
      <c r="O41" s="153">
        <v>10</v>
      </c>
      <c r="P41" s="153">
        <v>12</v>
      </c>
      <c r="Q41" s="153">
        <v>14</v>
      </c>
      <c r="R41" s="153">
        <v>12</v>
      </c>
      <c r="S41" s="169">
        <v>2</v>
      </c>
      <c r="T41" s="153">
        <v>5</v>
      </c>
      <c r="U41" s="153">
        <v>8</v>
      </c>
      <c r="V41" s="153">
        <v>9</v>
      </c>
      <c r="W41" s="153">
        <v>11</v>
      </c>
      <c r="X41" s="153">
        <v>6</v>
      </c>
      <c r="Y41" s="153">
        <v>6</v>
      </c>
      <c r="Z41" s="153">
        <v>5</v>
      </c>
      <c r="AA41" s="153">
        <v>12</v>
      </c>
      <c r="AB41" s="153">
        <v>10</v>
      </c>
      <c r="AC41" s="153">
        <v>7</v>
      </c>
      <c r="AD41" s="170">
        <v>8</v>
      </c>
      <c r="AE41" s="169">
        <v>7</v>
      </c>
      <c r="AF41" s="153">
        <v>3</v>
      </c>
      <c r="AG41" s="153">
        <v>6</v>
      </c>
      <c r="AH41" s="153">
        <v>6</v>
      </c>
      <c r="AI41" s="153">
        <v>8</v>
      </c>
      <c r="AJ41" s="153">
        <v>6</v>
      </c>
      <c r="AK41" s="153">
        <v>8</v>
      </c>
      <c r="AL41" s="153">
        <v>11</v>
      </c>
      <c r="AM41" s="153">
        <v>8</v>
      </c>
      <c r="AN41" s="153">
        <v>14</v>
      </c>
      <c r="AO41" s="153">
        <v>10</v>
      </c>
      <c r="AP41" s="170">
        <v>4</v>
      </c>
      <c r="AQ41" s="151"/>
      <c r="AR41" s="96">
        <f t="shared" si="26"/>
        <v>89</v>
      </c>
      <c r="AS41" s="96">
        <f t="shared" ref="AS41:AS104" si="27">SUM(AE41:AP41)</f>
        <v>91</v>
      </c>
    </row>
    <row r="42" spans="2:45" ht="15.75" customHeight="1">
      <c r="B42" s="168" t="s">
        <v>387</v>
      </c>
      <c r="C42" s="116" t="s">
        <v>351</v>
      </c>
      <c r="D42" s="120">
        <v>2</v>
      </c>
      <c r="E42" s="116" t="s">
        <v>348</v>
      </c>
      <c r="F42" s="119" t="s">
        <v>349</v>
      </c>
      <c r="G42" s="153">
        <v>8</v>
      </c>
      <c r="H42" s="153">
        <v>5</v>
      </c>
      <c r="I42" s="153">
        <v>14</v>
      </c>
      <c r="J42" s="153">
        <v>9</v>
      </c>
      <c r="K42" s="153">
        <v>9</v>
      </c>
      <c r="L42" s="153">
        <v>12</v>
      </c>
      <c r="M42" s="153">
        <v>10</v>
      </c>
      <c r="N42" s="153">
        <v>7</v>
      </c>
      <c r="O42" s="153">
        <v>12</v>
      </c>
      <c r="P42" s="153">
        <v>11</v>
      </c>
      <c r="Q42" s="153">
        <v>7</v>
      </c>
      <c r="R42" s="153">
        <v>12</v>
      </c>
      <c r="S42" s="169">
        <v>2</v>
      </c>
      <c r="T42" s="153">
        <v>7</v>
      </c>
      <c r="U42" s="153">
        <v>5</v>
      </c>
      <c r="V42" s="153">
        <v>10</v>
      </c>
      <c r="W42" s="153">
        <v>8</v>
      </c>
      <c r="X42" s="153">
        <v>14</v>
      </c>
      <c r="Y42" s="153">
        <v>8</v>
      </c>
      <c r="Z42" s="153">
        <v>2</v>
      </c>
      <c r="AA42" s="153">
        <v>5</v>
      </c>
      <c r="AB42" s="153">
        <v>14</v>
      </c>
      <c r="AC42" s="153">
        <v>10</v>
      </c>
      <c r="AD42" s="170">
        <v>10</v>
      </c>
      <c r="AE42" s="169">
        <v>4</v>
      </c>
      <c r="AF42" s="153">
        <v>3</v>
      </c>
      <c r="AG42" s="153">
        <v>3</v>
      </c>
      <c r="AH42" s="153">
        <v>6</v>
      </c>
      <c r="AI42" s="153">
        <v>14</v>
      </c>
      <c r="AJ42" s="153">
        <v>10</v>
      </c>
      <c r="AK42" s="153">
        <v>1</v>
      </c>
      <c r="AL42" s="153">
        <v>5</v>
      </c>
      <c r="AM42" s="153">
        <v>5</v>
      </c>
      <c r="AN42" s="153">
        <v>12</v>
      </c>
      <c r="AO42" s="153">
        <v>9</v>
      </c>
      <c r="AP42" s="170">
        <v>7</v>
      </c>
      <c r="AQ42" s="151"/>
      <c r="AR42" s="96">
        <f t="shared" si="26"/>
        <v>95</v>
      </c>
      <c r="AS42" s="96">
        <f t="shared" si="27"/>
        <v>79</v>
      </c>
    </row>
    <row r="43" spans="2:45" ht="15.75" customHeight="1">
      <c r="B43" s="168" t="s">
        <v>387</v>
      </c>
      <c r="C43" s="116" t="s">
        <v>352</v>
      </c>
      <c r="D43" s="120">
        <v>1</v>
      </c>
      <c r="E43" s="116" t="s">
        <v>348</v>
      </c>
      <c r="F43" s="119" t="s">
        <v>349</v>
      </c>
      <c r="G43" s="153">
        <v>1</v>
      </c>
      <c r="H43" s="153">
        <v>1</v>
      </c>
      <c r="I43" s="153">
        <v>6</v>
      </c>
      <c r="J43" s="153">
        <v>8</v>
      </c>
      <c r="K43" s="153">
        <v>8</v>
      </c>
      <c r="L43" s="153">
        <v>7</v>
      </c>
      <c r="M43" s="153">
        <v>6</v>
      </c>
      <c r="N43" s="153">
        <v>6</v>
      </c>
      <c r="O43" s="153">
        <v>11</v>
      </c>
      <c r="P43" s="153">
        <v>14</v>
      </c>
      <c r="Q43" s="153">
        <v>11</v>
      </c>
      <c r="R43" s="153">
        <v>12</v>
      </c>
      <c r="S43" s="169">
        <v>6</v>
      </c>
      <c r="T43" s="153">
        <v>9</v>
      </c>
      <c r="U43" s="153">
        <v>13</v>
      </c>
      <c r="V43" s="153">
        <v>6</v>
      </c>
      <c r="W43" s="153">
        <v>12</v>
      </c>
      <c r="X43" s="153">
        <v>14</v>
      </c>
      <c r="Y43" s="153">
        <v>7</v>
      </c>
      <c r="Z43" s="153">
        <v>11</v>
      </c>
      <c r="AA43" s="153">
        <v>7</v>
      </c>
      <c r="AB43" s="153">
        <v>12</v>
      </c>
      <c r="AC43" s="153">
        <v>13</v>
      </c>
      <c r="AD43" s="170">
        <v>9</v>
      </c>
      <c r="AE43" s="169">
        <v>9</v>
      </c>
      <c r="AF43" s="153">
        <v>8</v>
      </c>
      <c r="AG43" s="153">
        <v>14</v>
      </c>
      <c r="AH43" s="153">
        <v>8</v>
      </c>
      <c r="AI43" s="153">
        <v>14</v>
      </c>
      <c r="AJ43" s="153">
        <v>16</v>
      </c>
      <c r="AK43" s="153">
        <v>8</v>
      </c>
      <c r="AL43" s="153">
        <v>11</v>
      </c>
      <c r="AM43" s="153">
        <v>8</v>
      </c>
      <c r="AN43" s="153">
        <v>18</v>
      </c>
      <c r="AO43" s="153">
        <v>19</v>
      </c>
      <c r="AP43" s="170">
        <v>9</v>
      </c>
      <c r="AQ43" s="151"/>
      <c r="AR43" s="96">
        <f t="shared" si="26"/>
        <v>119</v>
      </c>
      <c r="AS43" s="96">
        <f t="shared" si="27"/>
        <v>142</v>
      </c>
    </row>
    <row r="44" spans="2:45" ht="15.75" customHeight="1">
      <c r="B44" s="168" t="s">
        <v>387</v>
      </c>
      <c r="C44" s="116" t="s">
        <v>353</v>
      </c>
      <c r="D44" s="120">
        <v>1</v>
      </c>
      <c r="E44" s="116" t="s">
        <v>348</v>
      </c>
      <c r="F44" s="119" t="s">
        <v>349</v>
      </c>
      <c r="G44" s="153">
        <v>4</v>
      </c>
      <c r="H44" s="153">
        <v>1</v>
      </c>
      <c r="I44" s="153">
        <v>4</v>
      </c>
      <c r="J44" s="153">
        <v>6</v>
      </c>
      <c r="K44" s="153">
        <v>2</v>
      </c>
      <c r="L44" s="153">
        <v>5</v>
      </c>
      <c r="M44" s="153">
        <v>4</v>
      </c>
      <c r="N44" s="153">
        <v>6</v>
      </c>
      <c r="O44" s="153">
        <v>9</v>
      </c>
      <c r="P44" s="153">
        <v>7</v>
      </c>
      <c r="Q44" s="153">
        <v>7</v>
      </c>
      <c r="R44" s="153">
        <v>10</v>
      </c>
      <c r="S44" s="169">
        <v>5</v>
      </c>
      <c r="T44" s="153">
        <v>5</v>
      </c>
      <c r="U44" s="153">
        <v>3</v>
      </c>
      <c r="V44" s="153">
        <v>6</v>
      </c>
      <c r="W44" s="153">
        <v>3</v>
      </c>
      <c r="X44" s="153">
        <v>4</v>
      </c>
      <c r="Y44" s="153">
        <v>4</v>
      </c>
      <c r="Z44" s="153">
        <v>2</v>
      </c>
      <c r="AA44" s="153">
        <v>3</v>
      </c>
      <c r="AB44" s="153">
        <v>7</v>
      </c>
      <c r="AC44" s="153">
        <v>6</v>
      </c>
      <c r="AD44" s="170">
        <v>6</v>
      </c>
      <c r="AE44" s="169">
        <v>3</v>
      </c>
      <c r="AF44" s="153">
        <v>4</v>
      </c>
      <c r="AG44" s="153">
        <v>2</v>
      </c>
      <c r="AH44" s="153">
        <v>9</v>
      </c>
      <c r="AI44" s="153">
        <v>4</v>
      </c>
      <c r="AJ44" s="153">
        <v>6</v>
      </c>
      <c r="AK44" s="153">
        <v>1</v>
      </c>
      <c r="AL44" s="153">
        <v>6</v>
      </c>
      <c r="AM44" s="153">
        <v>3</v>
      </c>
      <c r="AN44" s="153">
        <v>7</v>
      </c>
      <c r="AO44" s="153">
        <v>6</v>
      </c>
      <c r="AP44" s="170">
        <v>3</v>
      </c>
      <c r="AQ44" s="151"/>
      <c r="AR44" s="96">
        <f t="shared" si="26"/>
        <v>54</v>
      </c>
      <c r="AS44" s="96">
        <f t="shared" si="27"/>
        <v>54</v>
      </c>
    </row>
    <row r="45" spans="2:45" ht="15.75" customHeight="1">
      <c r="B45" s="168" t="s">
        <v>387</v>
      </c>
      <c r="C45" s="116" t="s">
        <v>354</v>
      </c>
      <c r="D45" s="120">
        <v>1</v>
      </c>
      <c r="E45" s="116" t="s">
        <v>348</v>
      </c>
      <c r="F45" s="119" t="s">
        <v>355</v>
      </c>
      <c r="G45" s="153">
        <v>4</v>
      </c>
      <c r="H45" s="153">
        <v>4</v>
      </c>
      <c r="I45" s="153">
        <v>12</v>
      </c>
      <c r="J45" s="153">
        <v>10</v>
      </c>
      <c r="K45" s="153">
        <v>14</v>
      </c>
      <c r="L45" s="153">
        <v>15</v>
      </c>
      <c r="M45" s="153">
        <v>9</v>
      </c>
      <c r="N45" s="153">
        <v>9</v>
      </c>
      <c r="O45" s="153">
        <v>11</v>
      </c>
      <c r="P45" s="153">
        <v>17</v>
      </c>
      <c r="Q45" s="153">
        <v>10</v>
      </c>
      <c r="R45" s="153">
        <v>15</v>
      </c>
      <c r="S45" s="169">
        <v>8</v>
      </c>
      <c r="T45" s="153">
        <v>7</v>
      </c>
      <c r="U45" s="153">
        <v>11</v>
      </c>
      <c r="V45" s="153">
        <v>9</v>
      </c>
      <c r="W45" s="153">
        <v>11</v>
      </c>
      <c r="X45" s="153">
        <v>19</v>
      </c>
      <c r="Y45" s="153">
        <v>15</v>
      </c>
      <c r="Z45" s="153">
        <v>13</v>
      </c>
      <c r="AA45" s="153">
        <v>11</v>
      </c>
      <c r="AB45" s="153">
        <v>14</v>
      </c>
      <c r="AC45" s="153">
        <v>12</v>
      </c>
      <c r="AD45" s="170">
        <v>5</v>
      </c>
      <c r="AE45" s="169">
        <v>6</v>
      </c>
      <c r="AF45" s="153">
        <v>9</v>
      </c>
      <c r="AG45" s="153">
        <v>9</v>
      </c>
      <c r="AH45" s="153">
        <v>10</v>
      </c>
      <c r="AI45" s="153">
        <v>15</v>
      </c>
      <c r="AJ45" s="153">
        <v>16</v>
      </c>
      <c r="AK45" s="153">
        <v>11</v>
      </c>
      <c r="AL45" s="153">
        <v>15</v>
      </c>
      <c r="AM45" s="153">
        <v>16</v>
      </c>
      <c r="AN45" s="153">
        <v>15</v>
      </c>
      <c r="AO45" s="153">
        <v>13</v>
      </c>
      <c r="AP45" s="170">
        <v>12</v>
      </c>
      <c r="AQ45" s="151"/>
      <c r="AR45" s="96">
        <f t="shared" si="26"/>
        <v>135</v>
      </c>
      <c r="AS45" s="96">
        <f t="shared" si="27"/>
        <v>147</v>
      </c>
    </row>
    <row r="46" spans="2:45" ht="15.75" customHeight="1">
      <c r="B46" s="168" t="s">
        <v>387</v>
      </c>
      <c r="C46" s="116" t="s">
        <v>356</v>
      </c>
      <c r="D46" s="120">
        <v>1</v>
      </c>
      <c r="E46" s="116" t="s">
        <v>348</v>
      </c>
      <c r="F46" s="119" t="s">
        <v>355</v>
      </c>
      <c r="G46" s="153">
        <v>2</v>
      </c>
      <c r="H46" s="153">
        <v>3</v>
      </c>
      <c r="I46" s="153">
        <v>5</v>
      </c>
      <c r="J46" s="153">
        <v>8</v>
      </c>
      <c r="K46" s="153">
        <v>5</v>
      </c>
      <c r="L46" s="153">
        <v>5</v>
      </c>
      <c r="M46" s="153">
        <v>3</v>
      </c>
      <c r="N46" s="153">
        <v>3</v>
      </c>
      <c r="O46" s="153">
        <v>3</v>
      </c>
      <c r="P46" s="153">
        <v>8</v>
      </c>
      <c r="Q46" s="153">
        <v>7</v>
      </c>
      <c r="R46" s="153">
        <v>7</v>
      </c>
      <c r="S46" s="169">
        <v>2</v>
      </c>
      <c r="T46" s="153">
        <v>2</v>
      </c>
      <c r="U46" s="153">
        <v>1</v>
      </c>
      <c r="V46" s="153">
        <v>7</v>
      </c>
      <c r="W46" s="153">
        <v>2</v>
      </c>
      <c r="X46" s="153">
        <v>2</v>
      </c>
      <c r="Y46" s="153">
        <v>3</v>
      </c>
      <c r="Z46" s="153">
        <v>9</v>
      </c>
      <c r="AA46" s="153">
        <v>5</v>
      </c>
      <c r="AB46" s="153">
        <v>12</v>
      </c>
      <c r="AC46" s="153">
        <v>9</v>
      </c>
      <c r="AD46" s="170">
        <v>5</v>
      </c>
      <c r="AE46" s="169">
        <v>3</v>
      </c>
      <c r="AF46" s="153">
        <v>5</v>
      </c>
      <c r="AG46" s="153">
        <v>7</v>
      </c>
      <c r="AH46" s="153">
        <v>6</v>
      </c>
      <c r="AI46" s="153">
        <v>3</v>
      </c>
      <c r="AJ46" s="153">
        <v>5</v>
      </c>
      <c r="AK46" s="153">
        <v>3</v>
      </c>
      <c r="AL46" s="153">
        <v>3</v>
      </c>
      <c r="AM46" s="153">
        <v>2</v>
      </c>
      <c r="AN46" s="153">
        <v>10</v>
      </c>
      <c r="AO46" s="153">
        <v>9</v>
      </c>
      <c r="AP46" s="170">
        <v>6</v>
      </c>
      <c r="AQ46" s="151"/>
      <c r="AR46" s="96">
        <f t="shared" si="26"/>
        <v>59</v>
      </c>
      <c r="AS46" s="96">
        <f t="shared" si="27"/>
        <v>62</v>
      </c>
    </row>
    <row r="47" spans="2:45" ht="15.75" customHeight="1">
      <c r="B47" s="168" t="s">
        <v>387</v>
      </c>
      <c r="C47" s="116" t="s">
        <v>357</v>
      </c>
      <c r="D47" s="120">
        <v>2</v>
      </c>
      <c r="E47" s="116" t="s">
        <v>348</v>
      </c>
      <c r="F47" s="119" t="s">
        <v>355</v>
      </c>
      <c r="G47" s="153">
        <v>4</v>
      </c>
      <c r="H47" s="153">
        <v>3</v>
      </c>
      <c r="I47" s="153">
        <v>10</v>
      </c>
      <c r="J47" s="153">
        <v>13</v>
      </c>
      <c r="K47" s="153">
        <v>11</v>
      </c>
      <c r="L47" s="153">
        <v>12</v>
      </c>
      <c r="M47" s="153">
        <v>9</v>
      </c>
      <c r="N47" s="153">
        <v>6</v>
      </c>
      <c r="O47" s="153">
        <v>10</v>
      </c>
      <c r="P47" s="153">
        <v>15</v>
      </c>
      <c r="Q47" s="153">
        <v>15</v>
      </c>
      <c r="R47" s="153">
        <v>13</v>
      </c>
      <c r="S47" s="169">
        <v>3</v>
      </c>
      <c r="T47" s="153">
        <v>2</v>
      </c>
      <c r="U47" s="153">
        <v>13</v>
      </c>
      <c r="V47" s="153">
        <v>12</v>
      </c>
      <c r="W47" s="153">
        <v>7</v>
      </c>
      <c r="X47" s="153">
        <v>8</v>
      </c>
      <c r="Y47" s="153">
        <v>3</v>
      </c>
      <c r="Z47" s="153">
        <v>10</v>
      </c>
      <c r="AA47" s="153">
        <v>6</v>
      </c>
      <c r="AB47" s="153">
        <v>18</v>
      </c>
      <c r="AC47" s="153">
        <v>22</v>
      </c>
      <c r="AD47" s="170">
        <v>9</v>
      </c>
      <c r="AE47" s="169">
        <v>4</v>
      </c>
      <c r="AF47" s="153">
        <v>5</v>
      </c>
      <c r="AG47" s="153">
        <v>8</v>
      </c>
      <c r="AH47" s="153">
        <v>7</v>
      </c>
      <c r="AI47" s="153">
        <v>11</v>
      </c>
      <c r="AJ47" s="153">
        <v>9</v>
      </c>
      <c r="AK47" s="153">
        <v>5</v>
      </c>
      <c r="AL47" s="153">
        <v>9</v>
      </c>
      <c r="AM47" s="153">
        <v>10</v>
      </c>
      <c r="AN47" s="153">
        <v>19</v>
      </c>
      <c r="AO47" s="153">
        <v>16</v>
      </c>
      <c r="AP47" s="170">
        <v>9</v>
      </c>
      <c r="AQ47" s="151"/>
      <c r="AR47" s="96">
        <f t="shared" si="26"/>
        <v>113</v>
      </c>
      <c r="AS47" s="96">
        <f t="shared" si="27"/>
        <v>112</v>
      </c>
    </row>
    <row r="48" spans="2:45" ht="15.75" customHeight="1">
      <c r="B48" s="168" t="s">
        <v>387</v>
      </c>
      <c r="C48" s="116" t="s">
        <v>358</v>
      </c>
      <c r="D48" s="120">
        <v>1</v>
      </c>
      <c r="E48" s="116" t="s">
        <v>348</v>
      </c>
      <c r="F48" s="119" t="s">
        <v>355</v>
      </c>
      <c r="G48" s="153">
        <v>2</v>
      </c>
      <c r="H48" s="153">
        <v>5</v>
      </c>
      <c r="I48" s="153">
        <v>7</v>
      </c>
      <c r="J48" s="153">
        <v>9</v>
      </c>
      <c r="K48" s="153">
        <v>7</v>
      </c>
      <c r="L48" s="153">
        <v>9</v>
      </c>
      <c r="M48" s="153">
        <v>5</v>
      </c>
      <c r="N48" s="153">
        <v>5</v>
      </c>
      <c r="O48" s="153">
        <v>6</v>
      </c>
      <c r="P48" s="153">
        <v>15</v>
      </c>
      <c r="Q48" s="153">
        <v>7</v>
      </c>
      <c r="R48" s="153">
        <v>7</v>
      </c>
      <c r="S48" s="169">
        <v>2</v>
      </c>
      <c r="T48" s="153">
        <v>2</v>
      </c>
      <c r="U48" s="153">
        <v>7</v>
      </c>
      <c r="V48" s="153">
        <v>11</v>
      </c>
      <c r="W48" s="153">
        <v>7</v>
      </c>
      <c r="X48" s="153">
        <v>5</v>
      </c>
      <c r="Y48" s="153">
        <v>4</v>
      </c>
      <c r="Z48" s="153">
        <v>10</v>
      </c>
      <c r="AA48" s="153">
        <v>9</v>
      </c>
      <c r="AB48" s="153">
        <v>9</v>
      </c>
      <c r="AC48" s="153">
        <v>14</v>
      </c>
      <c r="AD48" s="170">
        <v>11</v>
      </c>
      <c r="AE48" s="169">
        <v>4</v>
      </c>
      <c r="AF48" s="153">
        <v>7</v>
      </c>
      <c r="AG48" s="153">
        <v>6</v>
      </c>
      <c r="AH48" s="153">
        <v>8</v>
      </c>
      <c r="AI48" s="153">
        <v>13</v>
      </c>
      <c r="AJ48" s="153">
        <v>8</v>
      </c>
      <c r="AK48" s="153">
        <v>6</v>
      </c>
      <c r="AL48" s="153">
        <v>6</v>
      </c>
      <c r="AM48" s="153">
        <v>7</v>
      </c>
      <c r="AN48" s="153">
        <v>14</v>
      </c>
      <c r="AO48" s="153">
        <v>15</v>
      </c>
      <c r="AP48" s="170">
        <v>6</v>
      </c>
      <c r="AQ48" s="151"/>
      <c r="AR48" s="96">
        <f t="shared" si="26"/>
        <v>91</v>
      </c>
      <c r="AS48" s="96">
        <f t="shared" si="27"/>
        <v>100</v>
      </c>
    </row>
    <row r="49" spans="2:45" ht="15.75" customHeight="1">
      <c r="B49" s="168" t="s">
        <v>387</v>
      </c>
      <c r="C49" s="116" t="s">
        <v>359</v>
      </c>
      <c r="D49" s="120">
        <v>1</v>
      </c>
      <c r="E49" s="116" t="s">
        <v>348</v>
      </c>
      <c r="F49" s="119" t="s">
        <v>355</v>
      </c>
      <c r="G49" s="153">
        <v>3</v>
      </c>
      <c r="H49" s="153">
        <v>3</v>
      </c>
      <c r="I49" s="153">
        <v>13</v>
      </c>
      <c r="J49" s="153">
        <v>17</v>
      </c>
      <c r="K49" s="153">
        <v>11</v>
      </c>
      <c r="L49" s="153">
        <v>9</v>
      </c>
      <c r="M49" s="153">
        <v>10</v>
      </c>
      <c r="N49" s="153">
        <v>7</v>
      </c>
      <c r="O49" s="153">
        <v>18</v>
      </c>
      <c r="P49" s="153">
        <v>17</v>
      </c>
      <c r="Q49" s="153">
        <v>13</v>
      </c>
      <c r="R49" s="153">
        <v>13</v>
      </c>
      <c r="S49" s="169">
        <v>5</v>
      </c>
      <c r="T49" s="153">
        <v>7</v>
      </c>
      <c r="U49" s="153">
        <v>14</v>
      </c>
      <c r="V49" s="153">
        <v>18</v>
      </c>
      <c r="W49" s="153">
        <v>18</v>
      </c>
      <c r="X49" s="153">
        <v>15</v>
      </c>
      <c r="Y49" s="153">
        <v>10</v>
      </c>
      <c r="Z49" s="153">
        <v>12</v>
      </c>
      <c r="AA49" s="153">
        <v>13</v>
      </c>
      <c r="AB49" s="153">
        <v>16</v>
      </c>
      <c r="AC49" s="153">
        <v>19</v>
      </c>
      <c r="AD49" s="170">
        <v>11</v>
      </c>
      <c r="AE49" s="169">
        <v>5</v>
      </c>
      <c r="AF49" s="153">
        <v>8</v>
      </c>
      <c r="AG49" s="153">
        <v>13</v>
      </c>
      <c r="AH49" s="153">
        <v>14</v>
      </c>
      <c r="AI49" s="153">
        <v>14</v>
      </c>
      <c r="AJ49" s="153">
        <v>9</v>
      </c>
      <c r="AK49" s="153">
        <v>9</v>
      </c>
      <c r="AL49" s="153">
        <v>11</v>
      </c>
      <c r="AM49" s="153">
        <v>13</v>
      </c>
      <c r="AN49" s="153">
        <v>16</v>
      </c>
      <c r="AO49" s="153">
        <v>19</v>
      </c>
      <c r="AP49" s="170">
        <v>9</v>
      </c>
      <c r="AQ49" s="151"/>
      <c r="AR49" s="96">
        <f t="shared" si="26"/>
        <v>158</v>
      </c>
      <c r="AS49" s="96">
        <f t="shared" si="27"/>
        <v>140</v>
      </c>
    </row>
    <row r="50" spans="2:45" ht="15.75" customHeight="1">
      <c r="B50" s="168" t="s">
        <v>387</v>
      </c>
      <c r="C50" s="116" t="s">
        <v>360</v>
      </c>
      <c r="D50" s="120">
        <v>2</v>
      </c>
      <c r="E50" s="116" t="s">
        <v>348</v>
      </c>
      <c r="F50" s="119" t="s">
        <v>355</v>
      </c>
      <c r="G50" s="153">
        <v>0</v>
      </c>
      <c r="H50" s="153">
        <v>0</v>
      </c>
      <c r="I50" s="153">
        <v>0</v>
      </c>
      <c r="J50" s="153">
        <v>0</v>
      </c>
      <c r="K50" s="153">
        <v>0</v>
      </c>
      <c r="L50" s="153">
        <v>0</v>
      </c>
      <c r="M50" s="153">
        <v>0</v>
      </c>
      <c r="N50" s="153">
        <v>0</v>
      </c>
      <c r="O50" s="153">
        <v>0</v>
      </c>
      <c r="P50" s="153">
        <v>0</v>
      </c>
      <c r="Q50" s="153">
        <v>0</v>
      </c>
      <c r="R50" s="153">
        <v>0</v>
      </c>
      <c r="S50" s="169">
        <v>0</v>
      </c>
      <c r="T50" s="153">
        <v>0</v>
      </c>
      <c r="U50" s="153">
        <v>0</v>
      </c>
      <c r="V50" s="153">
        <v>0</v>
      </c>
      <c r="W50" s="153">
        <v>0</v>
      </c>
      <c r="X50" s="153">
        <v>0</v>
      </c>
      <c r="Y50" s="153">
        <v>0</v>
      </c>
      <c r="Z50" s="153">
        <v>0</v>
      </c>
      <c r="AA50" s="153">
        <v>0</v>
      </c>
      <c r="AB50" s="153">
        <v>0</v>
      </c>
      <c r="AC50" s="153">
        <v>0</v>
      </c>
      <c r="AD50" s="170">
        <v>0</v>
      </c>
      <c r="AE50" s="169">
        <v>0</v>
      </c>
      <c r="AF50" s="153">
        <v>0</v>
      </c>
      <c r="AG50" s="153">
        <v>4</v>
      </c>
      <c r="AH50" s="153">
        <v>5</v>
      </c>
      <c r="AI50" s="153">
        <v>6</v>
      </c>
      <c r="AJ50" s="153">
        <v>2</v>
      </c>
      <c r="AK50" s="153">
        <v>5</v>
      </c>
      <c r="AL50" s="153">
        <v>2</v>
      </c>
      <c r="AM50" s="153">
        <v>4</v>
      </c>
      <c r="AN50" s="153">
        <v>9</v>
      </c>
      <c r="AO50" s="153">
        <v>5</v>
      </c>
      <c r="AP50" s="170">
        <v>1</v>
      </c>
      <c r="AQ50" s="151"/>
      <c r="AR50" s="96">
        <f t="shared" si="26"/>
        <v>0</v>
      </c>
      <c r="AS50" s="96">
        <f t="shared" si="27"/>
        <v>43</v>
      </c>
    </row>
    <row r="51" spans="2:45" ht="15.75" customHeight="1">
      <c r="B51" s="168" t="s">
        <v>387</v>
      </c>
      <c r="C51" s="116" t="s">
        <v>361</v>
      </c>
      <c r="D51" s="120">
        <v>1</v>
      </c>
      <c r="E51" s="116" t="s">
        <v>348</v>
      </c>
      <c r="F51" s="119" t="s">
        <v>355</v>
      </c>
      <c r="G51" s="153">
        <v>2</v>
      </c>
      <c r="H51" s="153">
        <v>3</v>
      </c>
      <c r="I51" s="153">
        <v>2</v>
      </c>
      <c r="J51" s="153">
        <v>5</v>
      </c>
      <c r="K51" s="153">
        <v>9</v>
      </c>
      <c r="L51" s="153">
        <v>6</v>
      </c>
      <c r="M51" s="153">
        <v>4</v>
      </c>
      <c r="N51" s="153">
        <v>2</v>
      </c>
      <c r="O51" s="153">
        <v>7</v>
      </c>
      <c r="P51" s="153">
        <v>9</v>
      </c>
      <c r="Q51" s="153">
        <v>5</v>
      </c>
      <c r="R51" s="153">
        <v>4</v>
      </c>
      <c r="S51" s="169">
        <v>1</v>
      </c>
      <c r="T51" s="153">
        <v>1</v>
      </c>
      <c r="U51" s="153">
        <v>2</v>
      </c>
      <c r="V51" s="153">
        <v>6</v>
      </c>
      <c r="W51" s="153">
        <v>10</v>
      </c>
      <c r="X51" s="153">
        <v>9</v>
      </c>
      <c r="Y51" s="153">
        <v>1</v>
      </c>
      <c r="Z51" s="153">
        <v>2</v>
      </c>
      <c r="AA51" s="153">
        <v>6</v>
      </c>
      <c r="AB51" s="153">
        <v>10</v>
      </c>
      <c r="AC51" s="153">
        <v>8</v>
      </c>
      <c r="AD51" s="170">
        <v>8</v>
      </c>
      <c r="AE51" s="169">
        <v>1</v>
      </c>
      <c r="AF51" s="153">
        <v>4</v>
      </c>
      <c r="AG51" s="153">
        <v>4</v>
      </c>
      <c r="AH51" s="153">
        <v>7</v>
      </c>
      <c r="AI51" s="153">
        <v>13</v>
      </c>
      <c r="AJ51" s="153">
        <v>4</v>
      </c>
      <c r="AK51" s="153">
        <v>5</v>
      </c>
      <c r="AL51" s="153">
        <v>2</v>
      </c>
      <c r="AM51" s="153">
        <v>4</v>
      </c>
      <c r="AN51" s="153">
        <v>11</v>
      </c>
      <c r="AO51" s="153">
        <v>13</v>
      </c>
      <c r="AP51" s="170">
        <v>1</v>
      </c>
      <c r="AQ51" s="151"/>
      <c r="AR51" s="96">
        <f t="shared" si="26"/>
        <v>64</v>
      </c>
      <c r="AS51" s="96">
        <f t="shared" si="27"/>
        <v>69</v>
      </c>
    </row>
    <row r="52" spans="2:45" ht="15.75" customHeight="1">
      <c r="B52" s="168" t="s">
        <v>387</v>
      </c>
      <c r="C52" s="116" t="s">
        <v>362</v>
      </c>
      <c r="D52" s="120">
        <v>1</v>
      </c>
      <c r="E52" s="116" t="s">
        <v>348</v>
      </c>
      <c r="F52" s="119" t="s">
        <v>363</v>
      </c>
      <c r="G52" s="153">
        <v>4</v>
      </c>
      <c r="H52" s="153">
        <v>5</v>
      </c>
      <c r="I52" s="153">
        <v>11</v>
      </c>
      <c r="J52" s="153">
        <v>9</v>
      </c>
      <c r="K52" s="153">
        <v>10</v>
      </c>
      <c r="L52" s="153">
        <v>12</v>
      </c>
      <c r="M52" s="153">
        <v>6</v>
      </c>
      <c r="N52" s="153">
        <v>5</v>
      </c>
      <c r="O52" s="153">
        <v>7</v>
      </c>
      <c r="P52" s="153">
        <v>10</v>
      </c>
      <c r="Q52" s="153">
        <v>8</v>
      </c>
      <c r="R52" s="153">
        <v>8</v>
      </c>
      <c r="S52" s="169">
        <v>4</v>
      </c>
      <c r="T52" s="153">
        <v>4</v>
      </c>
      <c r="U52" s="153">
        <v>6</v>
      </c>
      <c r="V52" s="153">
        <v>11</v>
      </c>
      <c r="W52" s="153">
        <v>11</v>
      </c>
      <c r="X52" s="153">
        <v>7</v>
      </c>
      <c r="Y52" s="153">
        <v>4</v>
      </c>
      <c r="Z52" s="153">
        <v>8</v>
      </c>
      <c r="AA52" s="153">
        <v>6</v>
      </c>
      <c r="AB52" s="153">
        <v>8</v>
      </c>
      <c r="AC52" s="153">
        <v>12</v>
      </c>
      <c r="AD52" s="170">
        <v>6</v>
      </c>
      <c r="AE52" s="169">
        <v>8</v>
      </c>
      <c r="AF52" s="153">
        <v>5</v>
      </c>
      <c r="AG52" s="153">
        <v>8</v>
      </c>
      <c r="AH52" s="153">
        <v>6</v>
      </c>
      <c r="AI52" s="153">
        <v>9</v>
      </c>
      <c r="AJ52" s="153">
        <v>9</v>
      </c>
      <c r="AK52" s="153">
        <v>4</v>
      </c>
      <c r="AL52" s="153">
        <v>7</v>
      </c>
      <c r="AM52" s="153">
        <v>6</v>
      </c>
      <c r="AN52" s="153">
        <v>11</v>
      </c>
      <c r="AO52" s="153">
        <v>10</v>
      </c>
      <c r="AP52" s="170">
        <v>8</v>
      </c>
      <c r="AQ52" s="151"/>
      <c r="AR52" s="96">
        <f t="shared" si="26"/>
        <v>87</v>
      </c>
      <c r="AS52" s="96">
        <f t="shared" si="27"/>
        <v>91</v>
      </c>
    </row>
    <row r="53" spans="2:45" ht="15.75" customHeight="1">
      <c r="B53" s="168" t="s">
        <v>387</v>
      </c>
      <c r="C53" s="116" t="s">
        <v>364</v>
      </c>
      <c r="D53" s="120">
        <v>1</v>
      </c>
      <c r="E53" s="116" t="s">
        <v>348</v>
      </c>
      <c r="F53" s="119" t="s">
        <v>363</v>
      </c>
      <c r="G53" s="153">
        <v>1</v>
      </c>
      <c r="H53" s="153">
        <v>5</v>
      </c>
      <c r="I53" s="153">
        <v>6</v>
      </c>
      <c r="J53" s="153">
        <v>9</v>
      </c>
      <c r="K53" s="153">
        <v>13</v>
      </c>
      <c r="L53" s="153">
        <v>7</v>
      </c>
      <c r="M53" s="153">
        <v>6</v>
      </c>
      <c r="N53" s="153">
        <v>5</v>
      </c>
      <c r="O53" s="153">
        <v>12</v>
      </c>
      <c r="P53" s="153">
        <v>15</v>
      </c>
      <c r="Q53" s="153">
        <v>9</v>
      </c>
      <c r="R53" s="153">
        <v>6</v>
      </c>
      <c r="S53" s="169">
        <v>2</v>
      </c>
      <c r="T53" s="153">
        <v>4</v>
      </c>
      <c r="U53" s="153">
        <v>4</v>
      </c>
      <c r="V53" s="153">
        <v>8</v>
      </c>
      <c r="W53" s="153">
        <v>7</v>
      </c>
      <c r="X53" s="153">
        <v>5</v>
      </c>
      <c r="Y53" s="153">
        <v>6</v>
      </c>
      <c r="Z53" s="153">
        <v>4</v>
      </c>
      <c r="AA53" s="153">
        <v>9</v>
      </c>
      <c r="AB53" s="153">
        <v>9</v>
      </c>
      <c r="AC53" s="153">
        <v>12</v>
      </c>
      <c r="AD53" s="170">
        <v>5</v>
      </c>
      <c r="AE53" s="169">
        <v>6</v>
      </c>
      <c r="AF53" s="153">
        <v>4</v>
      </c>
      <c r="AG53" s="153">
        <v>4</v>
      </c>
      <c r="AH53" s="153">
        <v>5</v>
      </c>
      <c r="AI53" s="153">
        <v>7</v>
      </c>
      <c r="AJ53" s="153">
        <v>8</v>
      </c>
      <c r="AK53" s="153">
        <v>4</v>
      </c>
      <c r="AL53" s="153">
        <v>9</v>
      </c>
      <c r="AM53" s="153">
        <v>11</v>
      </c>
      <c r="AN53" s="153">
        <v>12</v>
      </c>
      <c r="AO53" s="153">
        <v>10</v>
      </c>
      <c r="AP53" s="170">
        <v>5</v>
      </c>
      <c r="AQ53" s="151"/>
      <c r="AR53" s="96">
        <f t="shared" si="26"/>
        <v>75</v>
      </c>
      <c r="AS53" s="96">
        <f t="shared" si="27"/>
        <v>85</v>
      </c>
    </row>
    <row r="54" spans="2:45" ht="15.75" customHeight="1">
      <c r="B54" s="168" t="s">
        <v>387</v>
      </c>
      <c r="C54" s="116" t="s">
        <v>365</v>
      </c>
      <c r="D54" s="120">
        <v>1</v>
      </c>
      <c r="E54" s="116" t="s">
        <v>348</v>
      </c>
      <c r="F54" s="119" t="s">
        <v>363</v>
      </c>
      <c r="G54" s="153">
        <v>0</v>
      </c>
      <c r="H54" s="153">
        <v>0</v>
      </c>
      <c r="I54" s="153">
        <v>3</v>
      </c>
      <c r="J54" s="153">
        <v>5</v>
      </c>
      <c r="K54" s="153">
        <v>7</v>
      </c>
      <c r="L54" s="153">
        <v>9</v>
      </c>
      <c r="M54" s="153">
        <v>5</v>
      </c>
      <c r="N54" s="153">
        <v>8</v>
      </c>
      <c r="O54" s="153">
        <v>14</v>
      </c>
      <c r="P54" s="153">
        <v>12</v>
      </c>
      <c r="Q54" s="153">
        <v>9</v>
      </c>
      <c r="R54" s="153">
        <v>9</v>
      </c>
      <c r="S54" s="169">
        <v>10</v>
      </c>
      <c r="T54" s="153">
        <v>6</v>
      </c>
      <c r="U54" s="153">
        <v>10</v>
      </c>
      <c r="V54" s="153">
        <v>10</v>
      </c>
      <c r="W54" s="153">
        <v>12</v>
      </c>
      <c r="X54" s="153">
        <v>13</v>
      </c>
      <c r="Y54" s="153">
        <v>6</v>
      </c>
      <c r="Z54" s="153">
        <v>13</v>
      </c>
      <c r="AA54" s="153">
        <v>8</v>
      </c>
      <c r="AB54" s="153">
        <v>14</v>
      </c>
      <c r="AC54" s="153">
        <v>17</v>
      </c>
      <c r="AD54" s="170">
        <v>14</v>
      </c>
      <c r="AE54" s="169">
        <v>4</v>
      </c>
      <c r="AF54" s="153">
        <v>10</v>
      </c>
      <c r="AG54" s="153">
        <v>12</v>
      </c>
      <c r="AH54" s="153">
        <v>11</v>
      </c>
      <c r="AI54" s="153">
        <v>15</v>
      </c>
      <c r="AJ54" s="153">
        <v>14</v>
      </c>
      <c r="AK54" s="153">
        <v>11</v>
      </c>
      <c r="AL54" s="153">
        <v>11</v>
      </c>
      <c r="AM54" s="153">
        <v>11</v>
      </c>
      <c r="AN54" s="153">
        <v>19</v>
      </c>
      <c r="AO54" s="153">
        <v>12</v>
      </c>
      <c r="AP54" s="170">
        <v>9</v>
      </c>
      <c r="AQ54" s="151"/>
      <c r="AR54" s="96">
        <f t="shared" si="26"/>
        <v>133</v>
      </c>
      <c r="AS54" s="96">
        <f t="shared" si="27"/>
        <v>139</v>
      </c>
    </row>
    <row r="55" spans="2:45" ht="15.75" customHeight="1">
      <c r="B55" s="168" t="s">
        <v>387</v>
      </c>
      <c r="C55" s="116" t="s">
        <v>366</v>
      </c>
      <c r="D55" s="120">
        <v>1</v>
      </c>
      <c r="E55" s="116" t="s">
        <v>348</v>
      </c>
      <c r="F55" s="119" t="s">
        <v>363</v>
      </c>
      <c r="G55" s="153">
        <v>0</v>
      </c>
      <c r="H55" s="153">
        <v>0</v>
      </c>
      <c r="I55" s="153">
        <v>0</v>
      </c>
      <c r="J55" s="153">
        <v>0</v>
      </c>
      <c r="K55" s="153">
        <v>0</v>
      </c>
      <c r="L55" s="153">
        <v>0</v>
      </c>
      <c r="M55" s="153">
        <v>0</v>
      </c>
      <c r="N55" s="153">
        <v>0</v>
      </c>
      <c r="O55" s="153">
        <v>1</v>
      </c>
      <c r="P55" s="153">
        <v>0</v>
      </c>
      <c r="Q55" s="153">
        <v>1</v>
      </c>
      <c r="R55" s="153">
        <v>3</v>
      </c>
      <c r="S55" s="169">
        <v>1</v>
      </c>
      <c r="T55" s="153">
        <v>3</v>
      </c>
      <c r="U55" s="153">
        <v>7</v>
      </c>
      <c r="V55" s="153">
        <v>4</v>
      </c>
      <c r="W55" s="153">
        <v>4</v>
      </c>
      <c r="X55" s="153">
        <v>10</v>
      </c>
      <c r="Y55" s="153">
        <v>4</v>
      </c>
      <c r="Z55" s="153">
        <v>6</v>
      </c>
      <c r="AA55" s="153">
        <v>5</v>
      </c>
      <c r="AB55" s="153">
        <v>9</v>
      </c>
      <c r="AC55" s="153">
        <v>9</v>
      </c>
      <c r="AD55" s="170">
        <v>4</v>
      </c>
      <c r="AE55" s="169">
        <v>3</v>
      </c>
      <c r="AF55" s="153">
        <v>5</v>
      </c>
      <c r="AG55" s="153">
        <v>4</v>
      </c>
      <c r="AH55" s="153">
        <v>7</v>
      </c>
      <c r="AI55" s="153">
        <v>5</v>
      </c>
      <c r="AJ55" s="153">
        <v>5</v>
      </c>
      <c r="AK55" s="153">
        <v>4</v>
      </c>
      <c r="AL55" s="153">
        <v>3</v>
      </c>
      <c r="AM55" s="153">
        <v>4</v>
      </c>
      <c r="AN55" s="153">
        <v>11</v>
      </c>
      <c r="AO55" s="153">
        <v>6</v>
      </c>
      <c r="AP55" s="170">
        <v>8</v>
      </c>
      <c r="AQ55" s="151"/>
      <c r="AR55" s="96">
        <f t="shared" si="26"/>
        <v>66</v>
      </c>
      <c r="AS55" s="96">
        <f t="shared" si="27"/>
        <v>65</v>
      </c>
    </row>
    <row r="56" spans="2:45" ht="15.75" customHeight="1">
      <c r="B56" s="168" t="s">
        <v>387</v>
      </c>
      <c r="C56" s="116" t="s">
        <v>367</v>
      </c>
      <c r="D56" s="120">
        <v>1</v>
      </c>
      <c r="E56" s="116" t="s">
        <v>348</v>
      </c>
      <c r="F56" s="119" t="s">
        <v>363</v>
      </c>
      <c r="G56" s="153">
        <v>4</v>
      </c>
      <c r="H56" s="153">
        <v>4</v>
      </c>
      <c r="I56" s="153">
        <v>5</v>
      </c>
      <c r="J56" s="153">
        <v>7</v>
      </c>
      <c r="K56" s="153">
        <v>5</v>
      </c>
      <c r="L56" s="153">
        <v>5</v>
      </c>
      <c r="M56" s="153">
        <v>3</v>
      </c>
      <c r="N56" s="153">
        <v>5</v>
      </c>
      <c r="O56" s="153">
        <v>10</v>
      </c>
      <c r="P56" s="153">
        <v>15</v>
      </c>
      <c r="Q56" s="153">
        <v>5</v>
      </c>
      <c r="R56" s="153">
        <v>3</v>
      </c>
      <c r="S56" s="169">
        <v>10</v>
      </c>
      <c r="T56" s="153">
        <v>5</v>
      </c>
      <c r="U56" s="153">
        <v>2</v>
      </c>
      <c r="V56" s="153">
        <v>9</v>
      </c>
      <c r="W56" s="153">
        <v>6</v>
      </c>
      <c r="X56" s="153">
        <v>4</v>
      </c>
      <c r="Y56" s="153">
        <v>4</v>
      </c>
      <c r="Z56" s="153">
        <v>7</v>
      </c>
      <c r="AA56" s="153">
        <v>5</v>
      </c>
      <c r="AB56" s="153">
        <v>12</v>
      </c>
      <c r="AC56" s="153">
        <v>7</v>
      </c>
      <c r="AD56" s="170">
        <v>8</v>
      </c>
      <c r="AE56" s="169">
        <v>7</v>
      </c>
      <c r="AF56" s="153">
        <v>2</v>
      </c>
      <c r="AG56" s="153">
        <v>8</v>
      </c>
      <c r="AH56" s="153">
        <v>7</v>
      </c>
      <c r="AI56" s="153">
        <v>7</v>
      </c>
      <c r="AJ56" s="153">
        <v>3</v>
      </c>
      <c r="AK56" s="153">
        <v>2</v>
      </c>
      <c r="AL56" s="153">
        <v>6</v>
      </c>
      <c r="AM56" s="153">
        <v>1</v>
      </c>
      <c r="AN56" s="153">
        <v>10</v>
      </c>
      <c r="AO56" s="153">
        <v>8</v>
      </c>
      <c r="AP56" s="170">
        <v>5</v>
      </c>
      <c r="AQ56" s="151"/>
      <c r="AR56" s="96">
        <f t="shared" si="26"/>
        <v>79</v>
      </c>
      <c r="AS56" s="96">
        <f t="shared" si="27"/>
        <v>66</v>
      </c>
    </row>
    <row r="57" spans="2:45" ht="15.75" customHeight="1">
      <c r="B57" s="168" t="s">
        <v>387</v>
      </c>
      <c r="C57" s="116" t="s">
        <v>368</v>
      </c>
      <c r="D57" s="120">
        <v>2</v>
      </c>
      <c r="E57" s="116" t="s">
        <v>369</v>
      </c>
      <c r="F57" s="119" t="s">
        <v>369</v>
      </c>
      <c r="G57" s="153">
        <v>3</v>
      </c>
      <c r="H57" s="153">
        <v>5</v>
      </c>
      <c r="I57" s="153">
        <v>15</v>
      </c>
      <c r="J57" s="153">
        <v>11</v>
      </c>
      <c r="K57" s="153">
        <v>12</v>
      </c>
      <c r="L57" s="153">
        <v>12</v>
      </c>
      <c r="M57" s="153">
        <v>5</v>
      </c>
      <c r="N57" s="153">
        <v>0</v>
      </c>
      <c r="O57" s="153">
        <v>15</v>
      </c>
      <c r="P57" s="153">
        <v>29</v>
      </c>
      <c r="Q57" s="153">
        <v>25</v>
      </c>
      <c r="R57" s="153">
        <v>12</v>
      </c>
      <c r="S57" s="169">
        <v>3</v>
      </c>
      <c r="T57" s="153">
        <v>7</v>
      </c>
      <c r="U57" s="153">
        <v>20</v>
      </c>
      <c r="V57" s="153">
        <v>21</v>
      </c>
      <c r="W57" s="153">
        <v>14</v>
      </c>
      <c r="X57" s="153">
        <v>9</v>
      </c>
      <c r="Y57" s="153">
        <v>4</v>
      </c>
      <c r="Z57" s="153">
        <v>6</v>
      </c>
      <c r="AA57" s="153">
        <v>6</v>
      </c>
      <c r="AB57" s="153">
        <v>29</v>
      </c>
      <c r="AC57" s="153">
        <v>28</v>
      </c>
      <c r="AD57" s="170">
        <v>11</v>
      </c>
      <c r="AE57" s="169">
        <v>5</v>
      </c>
      <c r="AF57" s="153">
        <v>1</v>
      </c>
      <c r="AG57" s="153">
        <v>15</v>
      </c>
      <c r="AH57" s="153">
        <v>12</v>
      </c>
      <c r="AI57" s="153">
        <v>14</v>
      </c>
      <c r="AJ57" s="153">
        <v>5</v>
      </c>
      <c r="AK57" s="153">
        <v>6</v>
      </c>
      <c r="AL57" s="153">
        <v>4</v>
      </c>
      <c r="AM57" s="153">
        <v>13</v>
      </c>
      <c r="AN57" s="153">
        <v>19</v>
      </c>
      <c r="AO57" s="153">
        <v>26</v>
      </c>
      <c r="AP57" s="170">
        <v>11</v>
      </c>
      <c r="AQ57" s="151"/>
      <c r="AR57" s="96">
        <f t="shared" si="26"/>
        <v>158</v>
      </c>
      <c r="AS57" s="96">
        <f t="shared" si="27"/>
        <v>131</v>
      </c>
    </row>
    <row r="58" spans="2:45" ht="15.75" customHeight="1">
      <c r="B58" s="168" t="s">
        <v>387</v>
      </c>
      <c r="C58" s="116" t="s">
        <v>451</v>
      </c>
      <c r="D58" s="120">
        <v>1</v>
      </c>
      <c r="E58" s="116" t="s">
        <v>369</v>
      </c>
      <c r="F58" s="119" t="s">
        <v>369</v>
      </c>
      <c r="G58" s="153">
        <v>4</v>
      </c>
      <c r="H58" s="153">
        <v>5</v>
      </c>
      <c r="I58" s="153">
        <v>14</v>
      </c>
      <c r="J58" s="153">
        <v>11</v>
      </c>
      <c r="K58" s="153">
        <v>10</v>
      </c>
      <c r="L58" s="153">
        <v>7</v>
      </c>
      <c r="M58" s="153">
        <v>6</v>
      </c>
      <c r="N58" s="153">
        <v>5</v>
      </c>
      <c r="O58" s="153">
        <v>12</v>
      </c>
      <c r="P58" s="153">
        <v>13</v>
      </c>
      <c r="Q58" s="153">
        <v>13</v>
      </c>
      <c r="R58" s="153">
        <v>12</v>
      </c>
      <c r="S58" s="169">
        <v>6</v>
      </c>
      <c r="T58" s="153">
        <v>4</v>
      </c>
      <c r="U58" s="153">
        <v>12</v>
      </c>
      <c r="V58" s="153">
        <v>15</v>
      </c>
      <c r="W58" s="153">
        <v>11</v>
      </c>
      <c r="X58" s="153">
        <v>11</v>
      </c>
      <c r="Y58" s="153">
        <v>11</v>
      </c>
      <c r="Z58" s="153">
        <v>6</v>
      </c>
      <c r="AA58" s="153">
        <v>8</v>
      </c>
      <c r="AB58" s="153">
        <v>20</v>
      </c>
      <c r="AC58" s="153">
        <v>19</v>
      </c>
      <c r="AD58" s="170">
        <v>8</v>
      </c>
      <c r="AE58" s="169">
        <v>6</v>
      </c>
      <c r="AF58" s="153">
        <v>3</v>
      </c>
      <c r="AG58" s="153">
        <v>14</v>
      </c>
      <c r="AH58" s="153">
        <v>14</v>
      </c>
      <c r="AI58" s="153">
        <v>11</v>
      </c>
      <c r="AJ58" s="153">
        <v>6</v>
      </c>
      <c r="AK58" s="153">
        <v>6</v>
      </c>
      <c r="AL58" s="153">
        <v>5</v>
      </c>
      <c r="AM58" s="153">
        <v>4</v>
      </c>
      <c r="AN58" s="153">
        <v>10</v>
      </c>
      <c r="AO58" s="153">
        <v>12</v>
      </c>
      <c r="AP58" s="170">
        <v>3</v>
      </c>
      <c r="AQ58" s="151"/>
      <c r="AR58" s="96">
        <f t="shared" si="26"/>
        <v>131</v>
      </c>
      <c r="AS58" s="96">
        <f t="shared" si="27"/>
        <v>94</v>
      </c>
    </row>
    <row r="59" spans="2:45" ht="15.75" customHeight="1">
      <c r="B59" s="168" t="s">
        <v>387</v>
      </c>
      <c r="C59" s="116" t="s">
        <v>371</v>
      </c>
      <c r="D59" s="120">
        <v>2</v>
      </c>
      <c r="E59" s="116" t="s">
        <v>369</v>
      </c>
      <c r="F59" s="119" t="s">
        <v>369</v>
      </c>
      <c r="G59" s="153">
        <v>0</v>
      </c>
      <c r="H59" s="153">
        <v>0</v>
      </c>
      <c r="I59" s="153">
        <v>0</v>
      </c>
      <c r="J59" s="153">
        <v>0</v>
      </c>
      <c r="K59" s="153">
        <v>0</v>
      </c>
      <c r="L59" s="153">
        <v>0</v>
      </c>
      <c r="M59" s="153">
        <v>0</v>
      </c>
      <c r="N59" s="153">
        <v>0</v>
      </c>
      <c r="O59" s="153">
        <v>0</v>
      </c>
      <c r="P59" s="153">
        <v>0</v>
      </c>
      <c r="Q59" s="153">
        <v>0</v>
      </c>
      <c r="R59" s="153">
        <v>0</v>
      </c>
      <c r="S59" s="169">
        <v>0</v>
      </c>
      <c r="T59" s="153">
        <v>0</v>
      </c>
      <c r="U59" s="153">
        <v>0</v>
      </c>
      <c r="V59" s="153">
        <v>0</v>
      </c>
      <c r="W59" s="153">
        <v>0</v>
      </c>
      <c r="X59" s="153">
        <v>0</v>
      </c>
      <c r="Y59" s="153">
        <v>0</v>
      </c>
      <c r="Z59" s="153">
        <v>0</v>
      </c>
      <c r="AA59" s="153">
        <v>0</v>
      </c>
      <c r="AB59" s="153">
        <v>0</v>
      </c>
      <c r="AC59" s="153">
        <v>0</v>
      </c>
      <c r="AD59" s="170">
        <v>0</v>
      </c>
      <c r="AE59" s="169">
        <v>0</v>
      </c>
      <c r="AF59" s="153">
        <v>0</v>
      </c>
      <c r="AG59" s="153">
        <v>0</v>
      </c>
      <c r="AH59" s="153">
        <v>0</v>
      </c>
      <c r="AI59" s="153">
        <v>0</v>
      </c>
      <c r="AJ59" s="153">
        <v>0</v>
      </c>
      <c r="AK59" s="153">
        <v>0</v>
      </c>
      <c r="AL59" s="153">
        <v>0</v>
      </c>
      <c r="AM59" s="153">
        <v>0</v>
      </c>
      <c r="AN59" s="153">
        <v>0</v>
      </c>
      <c r="AO59" s="153">
        <v>0</v>
      </c>
      <c r="AP59" s="170">
        <v>0</v>
      </c>
      <c r="AQ59" s="151"/>
      <c r="AR59" s="96">
        <f t="shared" si="26"/>
        <v>0</v>
      </c>
      <c r="AS59" s="96">
        <f t="shared" si="27"/>
        <v>0</v>
      </c>
    </row>
    <row r="60" spans="2:45" ht="15.75" customHeight="1">
      <c r="B60" s="168" t="s">
        <v>387</v>
      </c>
      <c r="C60" s="116" t="s">
        <v>372</v>
      </c>
      <c r="D60" s="120">
        <v>1</v>
      </c>
      <c r="E60" s="116" t="s">
        <v>369</v>
      </c>
      <c r="F60" s="119" t="s">
        <v>369</v>
      </c>
      <c r="G60" s="153">
        <v>1</v>
      </c>
      <c r="H60" s="153">
        <v>3</v>
      </c>
      <c r="I60" s="153">
        <v>5</v>
      </c>
      <c r="J60" s="153">
        <v>4</v>
      </c>
      <c r="K60" s="153">
        <v>4</v>
      </c>
      <c r="L60" s="153">
        <v>6</v>
      </c>
      <c r="M60" s="153">
        <v>5</v>
      </c>
      <c r="N60" s="153">
        <v>4</v>
      </c>
      <c r="O60" s="153">
        <v>4</v>
      </c>
      <c r="P60" s="153">
        <v>10</v>
      </c>
      <c r="Q60" s="153">
        <v>11</v>
      </c>
      <c r="R60" s="153">
        <v>6</v>
      </c>
      <c r="S60" s="169">
        <v>3</v>
      </c>
      <c r="T60" s="153">
        <v>4</v>
      </c>
      <c r="U60" s="153">
        <v>6</v>
      </c>
      <c r="V60" s="153">
        <v>7</v>
      </c>
      <c r="W60" s="153">
        <v>8</v>
      </c>
      <c r="X60" s="153">
        <v>2</v>
      </c>
      <c r="Y60" s="153">
        <v>0</v>
      </c>
      <c r="Z60" s="153">
        <v>1</v>
      </c>
      <c r="AA60" s="153">
        <v>2</v>
      </c>
      <c r="AB60" s="153">
        <v>12</v>
      </c>
      <c r="AC60" s="153">
        <v>12</v>
      </c>
      <c r="AD60" s="170">
        <v>5</v>
      </c>
      <c r="AE60" s="169">
        <v>6</v>
      </c>
      <c r="AF60" s="153">
        <v>4</v>
      </c>
      <c r="AG60" s="153">
        <v>3</v>
      </c>
      <c r="AH60" s="153">
        <v>1</v>
      </c>
      <c r="AI60" s="153">
        <v>5</v>
      </c>
      <c r="AJ60" s="153">
        <v>1</v>
      </c>
      <c r="AK60" s="153">
        <v>2</v>
      </c>
      <c r="AL60" s="153">
        <v>2</v>
      </c>
      <c r="AM60" s="153">
        <v>3</v>
      </c>
      <c r="AN60" s="153">
        <v>7</v>
      </c>
      <c r="AO60" s="153">
        <v>3</v>
      </c>
      <c r="AP60" s="170">
        <v>4</v>
      </c>
      <c r="AQ60" s="151"/>
      <c r="AR60" s="96">
        <f t="shared" si="26"/>
        <v>62</v>
      </c>
      <c r="AS60" s="96">
        <f t="shared" si="27"/>
        <v>41</v>
      </c>
    </row>
    <row r="61" spans="2:45" ht="15.75" customHeight="1">
      <c r="B61" s="168" t="s">
        <v>387</v>
      </c>
      <c r="C61" s="116" t="s">
        <v>373</v>
      </c>
      <c r="D61" s="120">
        <v>1</v>
      </c>
      <c r="E61" s="116" t="s">
        <v>369</v>
      </c>
      <c r="F61" s="119" t="s">
        <v>369</v>
      </c>
      <c r="G61" s="153">
        <v>5</v>
      </c>
      <c r="H61" s="153">
        <v>6</v>
      </c>
      <c r="I61" s="153">
        <v>12</v>
      </c>
      <c r="J61" s="153">
        <v>8</v>
      </c>
      <c r="K61" s="153">
        <v>10</v>
      </c>
      <c r="L61" s="153">
        <v>13</v>
      </c>
      <c r="M61" s="153">
        <v>10</v>
      </c>
      <c r="N61" s="153">
        <v>9</v>
      </c>
      <c r="O61" s="153">
        <v>12</v>
      </c>
      <c r="P61" s="153">
        <v>17</v>
      </c>
      <c r="Q61" s="153">
        <v>14</v>
      </c>
      <c r="R61" s="153">
        <v>16</v>
      </c>
      <c r="S61" s="169">
        <v>2</v>
      </c>
      <c r="T61" s="153">
        <v>1</v>
      </c>
      <c r="U61" s="153">
        <v>5</v>
      </c>
      <c r="V61" s="153">
        <v>14</v>
      </c>
      <c r="W61" s="153">
        <v>14</v>
      </c>
      <c r="X61" s="153">
        <v>10</v>
      </c>
      <c r="Y61" s="153">
        <v>6</v>
      </c>
      <c r="Z61" s="153">
        <v>2</v>
      </c>
      <c r="AA61" s="153">
        <v>14</v>
      </c>
      <c r="AB61" s="153">
        <v>17</v>
      </c>
      <c r="AC61" s="153">
        <v>18</v>
      </c>
      <c r="AD61" s="170">
        <v>8</v>
      </c>
      <c r="AE61" s="169">
        <v>2</v>
      </c>
      <c r="AF61" s="153">
        <v>2</v>
      </c>
      <c r="AG61" s="153">
        <v>12</v>
      </c>
      <c r="AH61" s="153">
        <v>10</v>
      </c>
      <c r="AI61" s="153">
        <v>9</v>
      </c>
      <c r="AJ61" s="153">
        <v>4</v>
      </c>
      <c r="AK61" s="153">
        <v>3</v>
      </c>
      <c r="AL61" s="153">
        <v>3</v>
      </c>
      <c r="AM61" s="153">
        <v>5</v>
      </c>
      <c r="AN61" s="153">
        <v>13</v>
      </c>
      <c r="AO61" s="153">
        <v>11</v>
      </c>
      <c r="AP61" s="170">
        <v>7</v>
      </c>
      <c r="AQ61" s="151"/>
      <c r="AR61" s="96">
        <f t="shared" si="26"/>
        <v>111</v>
      </c>
      <c r="AS61" s="96">
        <f t="shared" si="27"/>
        <v>81</v>
      </c>
    </row>
    <row r="62" spans="2:45" ht="15.75" customHeight="1">
      <c r="B62" s="168" t="s">
        <v>387</v>
      </c>
      <c r="C62" s="116" t="s">
        <v>374</v>
      </c>
      <c r="D62" s="120">
        <v>2</v>
      </c>
      <c r="E62" s="116" t="s">
        <v>369</v>
      </c>
      <c r="F62" s="119" t="s">
        <v>369</v>
      </c>
      <c r="G62" s="153">
        <v>6</v>
      </c>
      <c r="H62" s="153">
        <v>3</v>
      </c>
      <c r="I62" s="153">
        <v>16</v>
      </c>
      <c r="J62" s="153">
        <v>8</v>
      </c>
      <c r="K62" s="153">
        <v>9</v>
      </c>
      <c r="L62" s="153">
        <v>6</v>
      </c>
      <c r="M62" s="153">
        <v>7</v>
      </c>
      <c r="N62" s="153">
        <v>10</v>
      </c>
      <c r="O62" s="153">
        <v>11</v>
      </c>
      <c r="P62" s="153">
        <v>27</v>
      </c>
      <c r="Q62" s="153">
        <v>20</v>
      </c>
      <c r="R62" s="153">
        <v>12</v>
      </c>
      <c r="S62" s="169">
        <v>6</v>
      </c>
      <c r="T62" s="153">
        <v>6</v>
      </c>
      <c r="U62" s="153">
        <v>19</v>
      </c>
      <c r="V62" s="153">
        <v>10</v>
      </c>
      <c r="W62" s="153">
        <v>6</v>
      </c>
      <c r="X62" s="153">
        <v>6</v>
      </c>
      <c r="Y62" s="153">
        <v>6</v>
      </c>
      <c r="Z62" s="153">
        <v>4</v>
      </c>
      <c r="AA62" s="153">
        <v>12</v>
      </c>
      <c r="AB62" s="153">
        <v>22</v>
      </c>
      <c r="AC62" s="153">
        <v>25</v>
      </c>
      <c r="AD62" s="170">
        <v>15</v>
      </c>
      <c r="AE62" s="169">
        <v>2</v>
      </c>
      <c r="AF62" s="153">
        <v>5</v>
      </c>
      <c r="AG62" s="153">
        <v>9</v>
      </c>
      <c r="AH62" s="153">
        <v>8</v>
      </c>
      <c r="AI62" s="153">
        <v>7</v>
      </c>
      <c r="AJ62" s="153">
        <v>6</v>
      </c>
      <c r="AK62" s="153">
        <v>0</v>
      </c>
      <c r="AL62" s="153">
        <v>3</v>
      </c>
      <c r="AM62" s="153">
        <v>4</v>
      </c>
      <c r="AN62" s="153">
        <v>12</v>
      </c>
      <c r="AO62" s="153">
        <v>15</v>
      </c>
      <c r="AP62" s="170">
        <v>10</v>
      </c>
      <c r="AQ62" s="151"/>
      <c r="AR62" s="96">
        <f t="shared" si="26"/>
        <v>137</v>
      </c>
      <c r="AS62" s="96">
        <f t="shared" si="27"/>
        <v>81</v>
      </c>
    </row>
    <row r="63" spans="2:45" ht="15.75" customHeight="1">
      <c r="B63" s="168" t="s">
        <v>387</v>
      </c>
      <c r="C63" s="116" t="s">
        <v>375</v>
      </c>
      <c r="D63" s="120">
        <v>1</v>
      </c>
      <c r="E63" s="116" t="s">
        <v>369</v>
      </c>
      <c r="F63" s="119" t="s">
        <v>369</v>
      </c>
      <c r="G63" s="153">
        <v>0</v>
      </c>
      <c r="H63" s="153">
        <v>0</v>
      </c>
      <c r="I63" s="153">
        <v>0</v>
      </c>
      <c r="J63" s="153">
        <v>0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  <c r="Q63" s="153">
        <v>1</v>
      </c>
      <c r="R63" s="153">
        <v>0</v>
      </c>
      <c r="S63" s="169">
        <v>0</v>
      </c>
      <c r="T63" s="153">
        <v>0</v>
      </c>
      <c r="U63" s="153">
        <v>0</v>
      </c>
      <c r="V63" s="153">
        <v>5</v>
      </c>
      <c r="W63" s="153">
        <v>1</v>
      </c>
      <c r="X63" s="153">
        <v>0</v>
      </c>
      <c r="Y63" s="153">
        <v>0</v>
      </c>
      <c r="Z63" s="153">
        <v>0</v>
      </c>
      <c r="AA63" s="153">
        <v>1</v>
      </c>
      <c r="AB63" s="153">
        <v>3</v>
      </c>
      <c r="AC63" s="153">
        <v>5</v>
      </c>
      <c r="AD63" s="170">
        <v>2</v>
      </c>
      <c r="AE63" s="169">
        <v>3</v>
      </c>
      <c r="AF63" s="153">
        <v>2</v>
      </c>
      <c r="AG63" s="153">
        <v>10</v>
      </c>
      <c r="AH63" s="153">
        <v>3</v>
      </c>
      <c r="AI63" s="153">
        <v>6</v>
      </c>
      <c r="AJ63" s="153">
        <v>3</v>
      </c>
      <c r="AK63" s="153">
        <v>1</v>
      </c>
      <c r="AL63" s="153">
        <v>2</v>
      </c>
      <c r="AM63" s="153">
        <v>3</v>
      </c>
      <c r="AN63" s="153">
        <v>3</v>
      </c>
      <c r="AO63" s="153">
        <v>5</v>
      </c>
      <c r="AP63" s="170">
        <v>1</v>
      </c>
      <c r="AQ63" s="151"/>
      <c r="AR63" s="96">
        <f t="shared" si="26"/>
        <v>17</v>
      </c>
      <c r="AS63" s="96">
        <f t="shared" si="27"/>
        <v>42</v>
      </c>
    </row>
    <row r="64" spans="2:45" ht="15.75" customHeight="1">
      <c r="B64" s="168" t="s">
        <v>387</v>
      </c>
      <c r="C64" s="116" t="s">
        <v>376</v>
      </c>
      <c r="D64" s="120">
        <v>1</v>
      </c>
      <c r="E64" s="116" t="s">
        <v>377</v>
      </c>
      <c r="F64" s="119" t="s">
        <v>377</v>
      </c>
      <c r="G64" s="153">
        <v>8</v>
      </c>
      <c r="H64" s="153">
        <v>9</v>
      </c>
      <c r="I64" s="153">
        <v>8</v>
      </c>
      <c r="J64" s="153">
        <v>12</v>
      </c>
      <c r="K64" s="153">
        <v>5</v>
      </c>
      <c r="L64" s="153">
        <v>6</v>
      </c>
      <c r="M64" s="153">
        <v>5</v>
      </c>
      <c r="N64" s="153">
        <v>10</v>
      </c>
      <c r="O64" s="153">
        <v>9</v>
      </c>
      <c r="P64" s="153">
        <v>13</v>
      </c>
      <c r="Q64" s="153">
        <v>11</v>
      </c>
      <c r="R64" s="153">
        <v>12</v>
      </c>
      <c r="S64" s="169">
        <v>9</v>
      </c>
      <c r="T64" s="153">
        <v>9</v>
      </c>
      <c r="U64" s="153">
        <v>12</v>
      </c>
      <c r="V64" s="153">
        <v>7</v>
      </c>
      <c r="W64" s="153">
        <v>8</v>
      </c>
      <c r="X64" s="153">
        <v>7</v>
      </c>
      <c r="Y64" s="153">
        <v>9</v>
      </c>
      <c r="Z64" s="153">
        <v>5</v>
      </c>
      <c r="AA64" s="153">
        <v>3</v>
      </c>
      <c r="AB64" s="153">
        <v>10</v>
      </c>
      <c r="AC64" s="153">
        <v>10</v>
      </c>
      <c r="AD64" s="170">
        <v>9</v>
      </c>
      <c r="AE64" s="169">
        <v>6</v>
      </c>
      <c r="AF64" s="153">
        <v>6</v>
      </c>
      <c r="AG64" s="153">
        <v>11</v>
      </c>
      <c r="AH64" s="153">
        <v>7</v>
      </c>
      <c r="AI64" s="153">
        <v>13</v>
      </c>
      <c r="AJ64" s="153">
        <v>7</v>
      </c>
      <c r="AK64" s="153">
        <v>7</v>
      </c>
      <c r="AL64" s="153">
        <v>13</v>
      </c>
      <c r="AM64" s="153">
        <v>8</v>
      </c>
      <c r="AN64" s="153">
        <v>7</v>
      </c>
      <c r="AO64" s="153">
        <v>11</v>
      </c>
      <c r="AP64" s="170">
        <v>9</v>
      </c>
      <c r="AQ64" s="151"/>
      <c r="AR64" s="96">
        <f t="shared" si="26"/>
        <v>98</v>
      </c>
      <c r="AS64" s="96">
        <f t="shared" si="27"/>
        <v>105</v>
      </c>
    </row>
    <row r="65" spans="2:45" ht="15.75" customHeight="1">
      <c r="B65" s="168" t="s">
        <v>387</v>
      </c>
      <c r="C65" s="116" t="s">
        <v>378</v>
      </c>
      <c r="D65" s="120">
        <v>1</v>
      </c>
      <c r="E65" s="116" t="s">
        <v>377</v>
      </c>
      <c r="F65" s="119" t="s">
        <v>377</v>
      </c>
      <c r="G65" s="153">
        <v>6</v>
      </c>
      <c r="H65" s="153">
        <v>6</v>
      </c>
      <c r="I65" s="153">
        <v>9</v>
      </c>
      <c r="J65" s="153">
        <v>7</v>
      </c>
      <c r="K65" s="153">
        <v>7</v>
      </c>
      <c r="L65" s="153">
        <v>8</v>
      </c>
      <c r="M65" s="153">
        <v>10</v>
      </c>
      <c r="N65" s="153">
        <v>1</v>
      </c>
      <c r="O65" s="153">
        <v>5</v>
      </c>
      <c r="P65" s="153">
        <v>8</v>
      </c>
      <c r="Q65" s="153">
        <v>8</v>
      </c>
      <c r="R65" s="153">
        <v>10</v>
      </c>
      <c r="S65" s="169">
        <v>9</v>
      </c>
      <c r="T65" s="153">
        <v>9</v>
      </c>
      <c r="U65" s="153">
        <v>5</v>
      </c>
      <c r="V65" s="153">
        <v>8</v>
      </c>
      <c r="W65" s="153">
        <v>7</v>
      </c>
      <c r="X65" s="153">
        <v>7</v>
      </c>
      <c r="Y65" s="153">
        <v>6</v>
      </c>
      <c r="Z65" s="153">
        <v>6</v>
      </c>
      <c r="AA65" s="153">
        <v>1</v>
      </c>
      <c r="AB65" s="153">
        <v>9</v>
      </c>
      <c r="AC65" s="153">
        <v>8</v>
      </c>
      <c r="AD65" s="170">
        <v>11</v>
      </c>
      <c r="AE65" s="169">
        <v>3</v>
      </c>
      <c r="AF65" s="153">
        <v>9</v>
      </c>
      <c r="AG65" s="153">
        <v>8</v>
      </c>
      <c r="AH65" s="153">
        <v>7</v>
      </c>
      <c r="AI65" s="153">
        <v>10</v>
      </c>
      <c r="AJ65" s="153">
        <v>11</v>
      </c>
      <c r="AK65" s="153">
        <v>5</v>
      </c>
      <c r="AL65" s="153">
        <v>9</v>
      </c>
      <c r="AM65" s="153">
        <v>9</v>
      </c>
      <c r="AN65" s="153">
        <v>9</v>
      </c>
      <c r="AO65" s="153">
        <v>12</v>
      </c>
      <c r="AP65" s="170">
        <v>9</v>
      </c>
      <c r="AQ65" s="151"/>
      <c r="AR65" s="96">
        <f t="shared" si="26"/>
        <v>86</v>
      </c>
      <c r="AS65" s="96">
        <f t="shared" si="27"/>
        <v>101</v>
      </c>
    </row>
    <row r="66" spans="2:45" ht="15.75" customHeight="1">
      <c r="B66" s="168" t="s">
        <v>387</v>
      </c>
      <c r="C66" s="116" t="s">
        <v>452</v>
      </c>
      <c r="D66" s="120">
        <v>1</v>
      </c>
      <c r="E66" s="116" t="s">
        <v>377</v>
      </c>
      <c r="F66" s="119" t="s">
        <v>377</v>
      </c>
      <c r="G66" s="153">
        <v>0</v>
      </c>
      <c r="H66" s="153">
        <v>0</v>
      </c>
      <c r="I66" s="153">
        <v>0</v>
      </c>
      <c r="J66" s="153">
        <v>0</v>
      </c>
      <c r="K66" s="153">
        <v>0</v>
      </c>
      <c r="L66" s="153">
        <v>0</v>
      </c>
      <c r="M66" s="153">
        <v>0</v>
      </c>
      <c r="N66" s="153">
        <v>0</v>
      </c>
      <c r="O66" s="153">
        <v>0</v>
      </c>
      <c r="P66" s="153">
        <v>0</v>
      </c>
      <c r="Q66" s="153">
        <v>0</v>
      </c>
      <c r="R66" s="153">
        <v>0</v>
      </c>
      <c r="S66" s="169">
        <v>0</v>
      </c>
      <c r="T66" s="153">
        <v>0</v>
      </c>
      <c r="U66" s="153">
        <v>0</v>
      </c>
      <c r="V66" s="153">
        <v>0</v>
      </c>
      <c r="W66" s="153">
        <v>0</v>
      </c>
      <c r="X66" s="153">
        <v>0</v>
      </c>
      <c r="Y66" s="153">
        <v>0</v>
      </c>
      <c r="Z66" s="153">
        <v>0</v>
      </c>
      <c r="AA66" s="153">
        <v>0</v>
      </c>
      <c r="AB66" s="153">
        <v>0</v>
      </c>
      <c r="AC66" s="153">
        <v>0</v>
      </c>
      <c r="AD66" s="170">
        <v>0</v>
      </c>
      <c r="AE66" s="169">
        <v>0</v>
      </c>
      <c r="AF66" s="153">
        <v>0</v>
      </c>
      <c r="AG66" s="153">
        <v>0</v>
      </c>
      <c r="AH66" s="153">
        <v>0</v>
      </c>
      <c r="AI66" s="153">
        <v>0</v>
      </c>
      <c r="AJ66" s="153">
        <v>0</v>
      </c>
      <c r="AK66" s="153">
        <v>0</v>
      </c>
      <c r="AL66" s="153">
        <v>0</v>
      </c>
      <c r="AM66" s="153">
        <v>5</v>
      </c>
      <c r="AN66" s="153">
        <v>12</v>
      </c>
      <c r="AO66" s="153">
        <v>12</v>
      </c>
      <c r="AP66" s="170">
        <v>9</v>
      </c>
      <c r="AQ66" s="151"/>
      <c r="AR66" s="96">
        <f t="shared" si="26"/>
        <v>0</v>
      </c>
      <c r="AS66" s="96">
        <f t="shared" si="27"/>
        <v>38</v>
      </c>
    </row>
    <row r="67" spans="2:45" ht="15.75" customHeight="1">
      <c r="B67" s="168" t="s">
        <v>387</v>
      </c>
      <c r="C67" s="116" t="s">
        <v>379</v>
      </c>
      <c r="D67" s="120">
        <v>1</v>
      </c>
      <c r="E67" s="116" t="s">
        <v>377</v>
      </c>
      <c r="F67" s="119" t="s">
        <v>377</v>
      </c>
      <c r="G67" s="153">
        <v>7</v>
      </c>
      <c r="H67" s="153">
        <v>8</v>
      </c>
      <c r="I67" s="153">
        <v>5</v>
      </c>
      <c r="J67" s="153">
        <v>7</v>
      </c>
      <c r="K67" s="153">
        <v>1</v>
      </c>
      <c r="L67" s="153">
        <v>6</v>
      </c>
      <c r="M67" s="153">
        <v>5</v>
      </c>
      <c r="N67" s="153">
        <v>4</v>
      </c>
      <c r="O67" s="153">
        <v>5</v>
      </c>
      <c r="P67" s="153">
        <v>11</v>
      </c>
      <c r="Q67" s="153">
        <v>9</v>
      </c>
      <c r="R67" s="153">
        <v>6</v>
      </c>
      <c r="S67" s="169">
        <v>7</v>
      </c>
      <c r="T67" s="153">
        <v>7</v>
      </c>
      <c r="U67" s="153">
        <v>8</v>
      </c>
      <c r="V67" s="153">
        <v>9</v>
      </c>
      <c r="W67" s="153">
        <v>5</v>
      </c>
      <c r="X67" s="153">
        <v>7</v>
      </c>
      <c r="Y67" s="153">
        <v>5</v>
      </c>
      <c r="Z67" s="153">
        <v>7</v>
      </c>
      <c r="AA67" s="153">
        <v>4</v>
      </c>
      <c r="AB67" s="153">
        <v>8</v>
      </c>
      <c r="AC67" s="153">
        <v>10</v>
      </c>
      <c r="AD67" s="170">
        <v>6</v>
      </c>
      <c r="AE67" s="169">
        <v>6</v>
      </c>
      <c r="AF67" s="153">
        <v>4</v>
      </c>
      <c r="AG67" s="153">
        <v>6</v>
      </c>
      <c r="AH67" s="153">
        <v>5</v>
      </c>
      <c r="AI67" s="153">
        <v>7</v>
      </c>
      <c r="AJ67" s="153">
        <v>6</v>
      </c>
      <c r="AK67" s="153">
        <v>4</v>
      </c>
      <c r="AL67" s="153">
        <v>8</v>
      </c>
      <c r="AM67" s="153">
        <v>3</v>
      </c>
      <c r="AN67" s="153">
        <v>9</v>
      </c>
      <c r="AO67" s="153">
        <v>5</v>
      </c>
      <c r="AP67" s="170">
        <v>4</v>
      </c>
      <c r="AQ67" s="151"/>
      <c r="AR67" s="96">
        <f t="shared" si="26"/>
        <v>83</v>
      </c>
      <c r="AS67" s="96">
        <f t="shared" si="27"/>
        <v>67</v>
      </c>
    </row>
    <row r="68" spans="2:45" ht="15.75" customHeight="1">
      <c r="B68" s="168" t="s">
        <v>387</v>
      </c>
      <c r="C68" s="116" t="s">
        <v>380</v>
      </c>
      <c r="D68" s="120">
        <v>1</v>
      </c>
      <c r="E68" s="116" t="s">
        <v>377</v>
      </c>
      <c r="F68" s="119" t="s">
        <v>377</v>
      </c>
      <c r="G68" s="153">
        <v>12</v>
      </c>
      <c r="H68" s="153">
        <v>8</v>
      </c>
      <c r="I68" s="153">
        <v>12</v>
      </c>
      <c r="J68" s="153">
        <v>12</v>
      </c>
      <c r="K68" s="153">
        <v>11</v>
      </c>
      <c r="L68" s="153">
        <v>10</v>
      </c>
      <c r="M68" s="153">
        <v>12</v>
      </c>
      <c r="N68" s="153">
        <v>5</v>
      </c>
      <c r="O68" s="153">
        <v>9</v>
      </c>
      <c r="P68" s="153">
        <v>9</v>
      </c>
      <c r="Q68" s="153">
        <v>8</v>
      </c>
      <c r="R68" s="153">
        <v>9</v>
      </c>
      <c r="S68" s="169">
        <v>3</v>
      </c>
      <c r="T68" s="153">
        <v>6</v>
      </c>
      <c r="U68" s="153">
        <v>8</v>
      </c>
      <c r="V68" s="153">
        <v>9</v>
      </c>
      <c r="W68" s="153">
        <v>7</v>
      </c>
      <c r="X68" s="153">
        <v>5</v>
      </c>
      <c r="Y68" s="153">
        <v>6</v>
      </c>
      <c r="Z68" s="153">
        <v>7</v>
      </c>
      <c r="AA68" s="153">
        <v>3</v>
      </c>
      <c r="AB68" s="153">
        <v>14</v>
      </c>
      <c r="AC68" s="153">
        <v>8</v>
      </c>
      <c r="AD68" s="170">
        <v>7</v>
      </c>
      <c r="AE68" s="169">
        <v>7</v>
      </c>
      <c r="AF68" s="153">
        <v>4</v>
      </c>
      <c r="AG68" s="153">
        <v>9</v>
      </c>
      <c r="AH68" s="153">
        <v>7</v>
      </c>
      <c r="AI68" s="153">
        <v>7</v>
      </c>
      <c r="AJ68" s="153">
        <v>5</v>
      </c>
      <c r="AK68" s="153">
        <v>4</v>
      </c>
      <c r="AL68" s="153">
        <v>9</v>
      </c>
      <c r="AM68" s="153">
        <v>3</v>
      </c>
      <c r="AN68" s="153">
        <v>11</v>
      </c>
      <c r="AO68" s="153">
        <v>10</v>
      </c>
      <c r="AP68" s="170">
        <v>7</v>
      </c>
      <c r="AQ68" s="151"/>
      <c r="AR68" s="96">
        <f t="shared" si="26"/>
        <v>83</v>
      </c>
      <c r="AS68" s="96">
        <f t="shared" si="27"/>
        <v>83</v>
      </c>
    </row>
    <row r="69" spans="2:45" ht="15.75" customHeight="1">
      <c r="B69" s="168" t="s">
        <v>387</v>
      </c>
      <c r="C69" s="116" t="s">
        <v>381</v>
      </c>
      <c r="D69" s="120">
        <v>2</v>
      </c>
      <c r="E69" s="116" t="s">
        <v>377</v>
      </c>
      <c r="F69" s="119" t="s">
        <v>377</v>
      </c>
      <c r="G69" s="153">
        <v>0</v>
      </c>
      <c r="H69" s="153">
        <v>0</v>
      </c>
      <c r="I69" s="153">
        <v>0</v>
      </c>
      <c r="J69" s="153">
        <v>0</v>
      </c>
      <c r="K69" s="153">
        <v>0</v>
      </c>
      <c r="L69" s="153">
        <v>0</v>
      </c>
      <c r="M69" s="153">
        <v>0</v>
      </c>
      <c r="N69" s="153">
        <v>0</v>
      </c>
      <c r="O69" s="153">
        <v>2</v>
      </c>
      <c r="P69" s="153">
        <v>4</v>
      </c>
      <c r="Q69" s="153">
        <v>9</v>
      </c>
      <c r="R69" s="153">
        <v>5</v>
      </c>
      <c r="S69" s="169">
        <v>5</v>
      </c>
      <c r="T69" s="153">
        <v>4</v>
      </c>
      <c r="U69" s="153">
        <v>5</v>
      </c>
      <c r="V69" s="153">
        <v>5</v>
      </c>
      <c r="W69" s="153">
        <v>1</v>
      </c>
      <c r="X69" s="153">
        <v>4</v>
      </c>
      <c r="Y69" s="153">
        <v>2</v>
      </c>
      <c r="Z69" s="153">
        <v>1</v>
      </c>
      <c r="AA69" s="153">
        <v>1</v>
      </c>
      <c r="AB69" s="153">
        <v>8</v>
      </c>
      <c r="AC69" s="153">
        <v>7</v>
      </c>
      <c r="AD69" s="170">
        <v>5</v>
      </c>
      <c r="AE69" s="169">
        <v>2</v>
      </c>
      <c r="AF69" s="153">
        <v>4</v>
      </c>
      <c r="AG69" s="153">
        <v>6</v>
      </c>
      <c r="AH69" s="153">
        <v>8</v>
      </c>
      <c r="AI69" s="153">
        <v>8</v>
      </c>
      <c r="AJ69" s="153">
        <v>4</v>
      </c>
      <c r="AK69" s="153">
        <v>4</v>
      </c>
      <c r="AL69" s="153">
        <v>6</v>
      </c>
      <c r="AM69" s="153">
        <v>7</v>
      </c>
      <c r="AN69" s="153">
        <v>8</v>
      </c>
      <c r="AO69" s="153">
        <v>12</v>
      </c>
      <c r="AP69" s="170">
        <v>9</v>
      </c>
      <c r="AQ69" s="151"/>
      <c r="AR69" s="96">
        <f t="shared" si="26"/>
        <v>48</v>
      </c>
      <c r="AS69" s="96">
        <f t="shared" si="27"/>
        <v>78</v>
      </c>
    </row>
    <row r="70" spans="2:45" ht="15.75" customHeight="1">
      <c r="B70" s="168" t="s">
        <v>387</v>
      </c>
      <c r="C70" s="116" t="s">
        <v>382</v>
      </c>
      <c r="D70" s="120">
        <v>2</v>
      </c>
      <c r="E70" s="116" t="s">
        <v>377</v>
      </c>
      <c r="F70" s="119" t="s">
        <v>377</v>
      </c>
      <c r="G70" s="153">
        <v>16</v>
      </c>
      <c r="H70" s="153">
        <v>13</v>
      </c>
      <c r="I70" s="153">
        <v>22</v>
      </c>
      <c r="J70" s="153">
        <v>17</v>
      </c>
      <c r="K70" s="153">
        <v>14</v>
      </c>
      <c r="L70" s="153">
        <v>6</v>
      </c>
      <c r="M70" s="153">
        <v>20</v>
      </c>
      <c r="N70" s="153">
        <v>11</v>
      </c>
      <c r="O70" s="153">
        <v>16</v>
      </c>
      <c r="P70" s="153">
        <v>21</v>
      </c>
      <c r="Q70" s="153">
        <v>18</v>
      </c>
      <c r="R70" s="153">
        <v>24</v>
      </c>
      <c r="S70" s="169">
        <v>15</v>
      </c>
      <c r="T70" s="153">
        <v>19</v>
      </c>
      <c r="U70" s="153">
        <v>20</v>
      </c>
      <c r="V70" s="153">
        <v>21</v>
      </c>
      <c r="W70" s="153">
        <v>14</v>
      </c>
      <c r="X70" s="153">
        <v>10</v>
      </c>
      <c r="Y70" s="153">
        <v>9</v>
      </c>
      <c r="Z70" s="153">
        <v>9</v>
      </c>
      <c r="AA70" s="153">
        <v>15</v>
      </c>
      <c r="AB70" s="153">
        <v>28</v>
      </c>
      <c r="AC70" s="153">
        <v>25</v>
      </c>
      <c r="AD70" s="170">
        <v>14</v>
      </c>
      <c r="AE70" s="169">
        <v>9</v>
      </c>
      <c r="AF70" s="153">
        <v>14</v>
      </c>
      <c r="AG70" s="153">
        <v>17</v>
      </c>
      <c r="AH70" s="153">
        <v>13</v>
      </c>
      <c r="AI70" s="153">
        <v>18</v>
      </c>
      <c r="AJ70" s="153">
        <v>20</v>
      </c>
      <c r="AK70" s="153">
        <v>12</v>
      </c>
      <c r="AL70" s="153">
        <v>14</v>
      </c>
      <c r="AM70" s="153">
        <v>16</v>
      </c>
      <c r="AN70" s="153">
        <v>21</v>
      </c>
      <c r="AO70" s="153">
        <v>26</v>
      </c>
      <c r="AP70" s="170">
        <v>15</v>
      </c>
      <c r="AQ70" s="151"/>
      <c r="AR70" s="96">
        <f t="shared" si="26"/>
        <v>199</v>
      </c>
      <c r="AS70" s="96">
        <f t="shared" si="27"/>
        <v>195</v>
      </c>
    </row>
    <row r="71" spans="2:45" ht="15.75" customHeight="1">
      <c r="B71" s="168" t="s">
        <v>387</v>
      </c>
      <c r="C71" s="116" t="s">
        <v>383</v>
      </c>
      <c r="D71" s="120">
        <v>1</v>
      </c>
      <c r="E71" s="116" t="s">
        <v>377</v>
      </c>
      <c r="F71" s="119" t="s">
        <v>377</v>
      </c>
      <c r="G71" s="153">
        <v>0</v>
      </c>
      <c r="H71" s="153">
        <v>0</v>
      </c>
      <c r="I71" s="153">
        <v>0</v>
      </c>
      <c r="J71" s="153">
        <v>0</v>
      </c>
      <c r="K71" s="153">
        <v>0</v>
      </c>
      <c r="L71" s="153">
        <v>0</v>
      </c>
      <c r="M71" s="153">
        <v>0</v>
      </c>
      <c r="N71" s="153">
        <v>0</v>
      </c>
      <c r="O71" s="153">
        <v>0</v>
      </c>
      <c r="P71" s="153">
        <v>0</v>
      </c>
      <c r="Q71" s="153">
        <v>0</v>
      </c>
      <c r="R71" s="153">
        <v>0</v>
      </c>
      <c r="S71" s="169">
        <v>0</v>
      </c>
      <c r="T71" s="153">
        <v>0</v>
      </c>
      <c r="U71" s="153">
        <v>0</v>
      </c>
      <c r="V71" s="153">
        <v>0</v>
      </c>
      <c r="W71" s="153">
        <v>0</v>
      </c>
      <c r="X71" s="153">
        <v>0</v>
      </c>
      <c r="Y71" s="153">
        <v>0</v>
      </c>
      <c r="Z71" s="153">
        <v>0</v>
      </c>
      <c r="AA71" s="153">
        <v>0</v>
      </c>
      <c r="AB71" s="153">
        <v>0</v>
      </c>
      <c r="AC71" s="153">
        <v>0</v>
      </c>
      <c r="AD71" s="170">
        <v>0</v>
      </c>
      <c r="AE71" s="169">
        <v>1</v>
      </c>
      <c r="AF71" s="153">
        <v>1</v>
      </c>
      <c r="AG71" s="153">
        <v>3</v>
      </c>
      <c r="AH71" s="153">
        <v>5</v>
      </c>
      <c r="AI71" s="153">
        <v>4</v>
      </c>
      <c r="AJ71" s="153">
        <v>4</v>
      </c>
      <c r="AK71" s="153">
        <v>0</v>
      </c>
      <c r="AL71" s="153">
        <v>0</v>
      </c>
      <c r="AM71" s="153">
        <v>8</v>
      </c>
      <c r="AN71" s="153">
        <v>5</v>
      </c>
      <c r="AO71" s="153">
        <v>5</v>
      </c>
      <c r="AP71" s="170">
        <v>3</v>
      </c>
      <c r="AQ71" s="151"/>
      <c r="AR71" s="96">
        <f t="shared" si="26"/>
        <v>0</v>
      </c>
      <c r="AS71" s="96">
        <f t="shared" si="27"/>
        <v>39</v>
      </c>
    </row>
    <row r="72" spans="2:45" ht="15.75" customHeight="1">
      <c r="B72" s="168" t="s">
        <v>387</v>
      </c>
      <c r="C72" s="116" t="s">
        <v>384</v>
      </c>
      <c r="D72" s="120">
        <v>1</v>
      </c>
      <c r="E72" s="116" t="s">
        <v>385</v>
      </c>
      <c r="F72" s="119" t="s">
        <v>385</v>
      </c>
      <c r="G72" s="153">
        <v>9</v>
      </c>
      <c r="H72" s="153">
        <v>19</v>
      </c>
      <c r="I72" s="153">
        <v>23</v>
      </c>
      <c r="J72" s="153">
        <v>23</v>
      </c>
      <c r="K72" s="153">
        <v>20</v>
      </c>
      <c r="L72" s="153">
        <v>25</v>
      </c>
      <c r="M72" s="153">
        <v>27</v>
      </c>
      <c r="N72" s="153">
        <v>19</v>
      </c>
      <c r="O72" s="153">
        <v>31</v>
      </c>
      <c r="P72" s="153">
        <v>34</v>
      </c>
      <c r="Q72" s="153">
        <v>27</v>
      </c>
      <c r="R72" s="153">
        <v>25</v>
      </c>
      <c r="S72" s="169">
        <v>14</v>
      </c>
      <c r="T72" s="153">
        <v>16</v>
      </c>
      <c r="U72" s="153">
        <v>21</v>
      </c>
      <c r="V72" s="153">
        <v>20</v>
      </c>
      <c r="W72" s="153">
        <v>24</v>
      </c>
      <c r="X72" s="153">
        <v>22</v>
      </c>
      <c r="Y72" s="153">
        <v>20</v>
      </c>
      <c r="Z72" s="153">
        <v>23</v>
      </c>
      <c r="AA72" s="153">
        <v>25</v>
      </c>
      <c r="AB72" s="153">
        <v>28</v>
      </c>
      <c r="AC72" s="153">
        <v>25</v>
      </c>
      <c r="AD72" s="170">
        <v>21</v>
      </c>
      <c r="AE72" s="169">
        <v>12</v>
      </c>
      <c r="AF72" s="153">
        <v>11</v>
      </c>
      <c r="AG72" s="153">
        <v>18</v>
      </c>
      <c r="AH72" s="153">
        <v>19</v>
      </c>
      <c r="AI72" s="153">
        <v>28</v>
      </c>
      <c r="AJ72" s="153">
        <v>29</v>
      </c>
      <c r="AK72" s="153">
        <v>16</v>
      </c>
      <c r="AL72" s="153">
        <v>21</v>
      </c>
      <c r="AM72" s="153">
        <v>21</v>
      </c>
      <c r="AN72" s="153">
        <v>27</v>
      </c>
      <c r="AO72" s="153">
        <v>26</v>
      </c>
      <c r="AP72" s="170">
        <v>17</v>
      </c>
      <c r="AQ72" s="151"/>
      <c r="AR72" s="96">
        <f t="shared" si="26"/>
        <v>259</v>
      </c>
      <c r="AS72" s="96">
        <f t="shared" si="27"/>
        <v>245</v>
      </c>
    </row>
    <row r="73" spans="2:45" ht="15.75" customHeight="1">
      <c r="B73" s="171" t="s">
        <v>387</v>
      </c>
      <c r="C73" s="172" t="s">
        <v>386</v>
      </c>
      <c r="D73" s="173">
        <v>1</v>
      </c>
      <c r="E73" s="174" t="s">
        <v>348</v>
      </c>
      <c r="F73" s="175" t="s">
        <v>363</v>
      </c>
      <c r="G73" s="176">
        <v>0</v>
      </c>
      <c r="H73" s="176">
        <v>0</v>
      </c>
      <c r="I73" s="176">
        <v>0</v>
      </c>
      <c r="J73" s="176">
        <v>0</v>
      </c>
      <c r="K73" s="176">
        <v>0</v>
      </c>
      <c r="L73" s="176">
        <v>0</v>
      </c>
      <c r="M73" s="176">
        <v>0</v>
      </c>
      <c r="N73" s="176">
        <v>0</v>
      </c>
      <c r="O73" s="176">
        <v>0</v>
      </c>
      <c r="P73" s="176">
        <v>0</v>
      </c>
      <c r="Q73" s="176">
        <v>0</v>
      </c>
      <c r="R73" s="176">
        <v>0</v>
      </c>
      <c r="S73" s="177">
        <v>0</v>
      </c>
      <c r="T73" s="176">
        <v>0</v>
      </c>
      <c r="U73" s="176">
        <v>0</v>
      </c>
      <c r="V73" s="176">
        <v>0</v>
      </c>
      <c r="W73" s="176">
        <v>0</v>
      </c>
      <c r="X73" s="176">
        <v>0</v>
      </c>
      <c r="Y73" s="176">
        <v>0</v>
      </c>
      <c r="Z73" s="176">
        <v>0</v>
      </c>
      <c r="AA73" s="176">
        <v>0</v>
      </c>
      <c r="AB73" s="176">
        <v>0</v>
      </c>
      <c r="AC73" s="176">
        <v>0</v>
      </c>
      <c r="AD73" s="178">
        <v>0</v>
      </c>
      <c r="AE73" s="177">
        <v>0</v>
      </c>
      <c r="AF73" s="176">
        <v>0</v>
      </c>
      <c r="AG73" s="176">
        <v>0</v>
      </c>
      <c r="AH73" s="176">
        <v>6</v>
      </c>
      <c r="AI73" s="176">
        <v>14</v>
      </c>
      <c r="AJ73" s="176">
        <v>7</v>
      </c>
      <c r="AK73" s="176">
        <v>4</v>
      </c>
      <c r="AL73" s="176">
        <v>2</v>
      </c>
      <c r="AM73" s="176">
        <v>6</v>
      </c>
      <c r="AN73" s="176">
        <v>13</v>
      </c>
      <c r="AO73" s="176">
        <v>14</v>
      </c>
      <c r="AP73" s="178">
        <v>7</v>
      </c>
      <c r="AQ73" s="151"/>
      <c r="AR73" s="96">
        <f t="shared" si="26"/>
        <v>0</v>
      </c>
      <c r="AS73" s="96">
        <f t="shared" si="27"/>
        <v>73</v>
      </c>
    </row>
    <row r="74" spans="2:45" ht="15.75" customHeight="1">
      <c r="B74" s="168" t="s">
        <v>388</v>
      </c>
      <c r="C74" s="116" t="s">
        <v>347</v>
      </c>
      <c r="D74" s="120">
        <v>1</v>
      </c>
      <c r="E74" s="116" t="s">
        <v>348</v>
      </c>
      <c r="F74" s="119" t="s">
        <v>349</v>
      </c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69">
        <v>3</v>
      </c>
      <c r="T74" s="153">
        <v>2</v>
      </c>
      <c r="U74" s="153">
        <v>3</v>
      </c>
      <c r="V74" s="153">
        <v>7</v>
      </c>
      <c r="W74" s="153">
        <v>8</v>
      </c>
      <c r="X74" s="153">
        <v>5</v>
      </c>
      <c r="Y74" s="153">
        <v>4</v>
      </c>
      <c r="Z74" s="153">
        <v>4</v>
      </c>
      <c r="AA74" s="153">
        <v>3</v>
      </c>
      <c r="AB74" s="153">
        <v>5</v>
      </c>
      <c r="AC74" s="153">
        <v>9</v>
      </c>
      <c r="AD74" s="170">
        <v>5</v>
      </c>
      <c r="AE74" s="169">
        <v>4</v>
      </c>
      <c r="AF74" s="153">
        <v>1</v>
      </c>
      <c r="AG74" s="153">
        <v>6</v>
      </c>
      <c r="AH74" s="153">
        <v>3</v>
      </c>
      <c r="AI74" s="153">
        <v>4</v>
      </c>
      <c r="AJ74" s="153">
        <v>1</v>
      </c>
      <c r="AK74" s="153">
        <v>2</v>
      </c>
      <c r="AL74" s="153">
        <v>2</v>
      </c>
      <c r="AM74" s="153">
        <v>1</v>
      </c>
      <c r="AN74" s="153">
        <v>8</v>
      </c>
      <c r="AO74" s="153">
        <v>8</v>
      </c>
      <c r="AP74" s="170">
        <v>3</v>
      </c>
      <c r="AQ74" s="118"/>
      <c r="AR74" s="96">
        <f t="shared" si="26"/>
        <v>58</v>
      </c>
      <c r="AS74" s="96">
        <f t="shared" si="27"/>
        <v>43</v>
      </c>
    </row>
    <row r="75" spans="2:45" ht="15.75" customHeight="1">
      <c r="B75" s="168" t="s">
        <v>388</v>
      </c>
      <c r="C75" s="116" t="s">
        <v>350</v>
      </c>
      <c r="D75" s="120">
        <v>2</v>
      </c>
      <c r="E75" s="116" t="s">
        <v>348</v>
      </c>
      <c r="F75" s="119" t="s">
        <v>349</v>
      </c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69">
        <v>1</v>
      </c>
      <c r="T75" s="153">
        <v>4</v>
      </c>
      <c r="U75" s="153">
        <v>6</v>
      </c>
      <c r="V75" s="153">
        <v>7</v>
      </c>
      <c r="W75" s="153">
        <v>7</v>
      </c>
      <c r="X75" s="153">
        <v>5</v>
      </c>
      <c r="Y75" s="153">
        <v>6</v>
      </c>
      <c r="Z75" s="153">
        <v>5</v>
      </c>
      <c r="AA75" s="153">
        <v>10</v>
      </c>
      <c r="AB75" s="153">
        <v>9</v>
      </c>
      <c r="AC75" s="153">
        <v>7</v>
      </c>
      <c r="AD75" s="170">
        <v>7</v>
      </c>
      <c r="AE75" s="169">
        <v>6</v>
      </c>
      <c r="AF75" s="153">
        <v>2</v>
      </c>
      <c r="AG75" s="153">
        <v>2</v>
      </c>
      <c r="AH75" s="153">
        <v>4</v>
      </c>
      <c r="AI75" s="153">
        <v>4</v>
      </c>
      <c r="AJ75" s="153">
        <v>4</v>
      </c>
      <c r="AK75" s="153">
        <v>4</v>
      </c>
      <c r="AL75" s="153">
        <v>4</v>
      </c>
      <c r="AM75" s="153">
        <v>4</v>
      </c>
      <c r="AN75" s="153">
        <v>11</v>
      </c>
      <c r="AO75" s="153">
        <v>9</v>
      </c>
      <c r="AP75" s="170">
        <v>2</v>
      </c>
      <c r="AQ75" s="118"/>
      <c r="AR75" s="96">
        <f t="shared" si="26"/>
        <v>74</v>
      </c>
      <c r="AS75" s="96">
        <f t="shared" si="27"/>
        <v>56</v>
      </c>
    </row>
    <row r="76" spans="2:45" ht="15.75" customHeight="1">
      <c r="B76" s="168" t="s">
        <v>388</v>
      </c>
      <c r="C76" s="116" t="s">
        <v>351</v>
      </c>
      <c r="D76" s="120">
        <v>2</v>
      </c>
      <c r="E76" s="116" t="s">
        <v>348</v>
      </c>
      <c r="F76" s="119" t="s">
        <v>349</v>
      </c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69">
        <v>2</v>
      </c>
      <c r="T76" s="153">
        <v>5</v>
      </c>
      <c r="U76" s="153">
        <v>5</v>
      </c>
      <c r="V76" s="153">
        <v>9</v>
      </c>
      <c r="W76" s="153">
        <v>6</v>
      </c>
      <c r="X76" s="153">
        <v>13</v>
      </c>
      <c r="Y76" s="153">
        <v>7</v>
      </c>
      <c r="Z76" s="153">
        <v>2</v>
      </c>
      <c r="AA76" s="153">
        <v>4</v>
      </c>
      <c r="AB76" s="153">
        <v>13</v>
      </c>
      <c r="AC76" s="153">
        <v>9</v>
      </c>
      <c r="AD76" s="170">
        <v>7</v>
      </c>
      <c r="AE76" s="169">
        <v>4</v>
      </c>
      <c r="AF76" s="153">
        <v>2</v>
      </c>
      <c r="AG76" s="153">
        <v>3</v>
      </c>
      <c r="AH76" s="153">
        <v>5</v>
      </c>
      <c r="AI76" s="153">
        <v>14</v>
      </c>
      <c r="AJ76" s="153">
        <v>8</v>
      </c>
      <c r="AK76" s="153">
        <v>1</v>
      </c>
      <c r="AL76" s="153">
        <v>5</v>
      </c>
      <c r="AM76" s="153">
        <v>3</v>
      </c>
      <c r="AN76" s="153">
        <v>12</v>
      </c>
      <c r="AO76" s="153">
        <v>8</v>
      </c>
      <c r="AP76" s="170">
        <v>6</v>
      </c>
      <c r="AQ76" s="118"/>
      <c r="AR76" s="96">
        <f t="shared" si="26"/>
        <v>82</v>
      </c>
      <c r="AS76" s="96">
        <f t="shared" si="27"/>
        <v>71</v>
      </c>
    </row>
    <row r="77" spans="2:45" ht="15.75" customHeight="1">
      <c r="B77" s="168" t="s">
        <v>388</v>
      </c>
      <c r="C77" s="116" t="s">
        <v>352</v>
      </c>
      <c r="D77" s="120">
        <v>1</v>
      </c>
      <c r="E77" s="116" t="s">
        <v>348</v>
      </c>
      <c r="F77" s="119" t="s">
        <v>349</v>
      </c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69">
        <v>6</v>
      </c>
      <c r="T77" s="153">
        <v>7</v>
      </c>
      <c r="U77" s="153">
        <v>13</v>
      </c>
      <c r="V77" s="153">
        <v>6</v>
      </c>
      <c r="W77" s="153">
        <v>12</v>
      </c>
      <c r="X77" s="153">
        <v>14</v>
      </c>
      <c r="Y77" s="153">
        <v>5</v>
      </c>
      <c r="Z77" s="153">
        <v>11</v>
      </c>
      <c r="AA77" s="153">
        <v>7</v>
      </c>
      <c r="AB77" s="153">
        <v>12</v>
      </c>
      <c r="AC77" s="153">
        <v>12</v>
      </c>
      <c r="AD77" s="170">
        <v>7</v>
      </c>
      <c r="AE77" s="169">
        <v>9</v>
      </c>
      <c r="AF77" s="153">
        <v>8</v>
      </c>
      <c r="AG77" s="153">
        <v>14</v>
      </c>
      <c r="AH77" s="153">
        <v>8</v>
      </c>
      <c r="AI77" s="153">
        <v>13</v>
      </c>
      <c r="AJ77" s="153">
        <v>13</v>
      </c>
      <c r="AK77" s="153">
        <v>5</v>
      </c>
      <c r="AL77" s="153">
        <v>8</v>
      </c>
      <c r="AM77" s="153">
        <v>6</v>
      </c>
      <c r="AN77" s="153">
        <v>13</v>
      </c>
      <c r="AO77" s="153">
        <v>15</v>
      </c>
      <c r="AP77" s="170">
        <v>7</v>
      </c>
      <c r="AQ77" s="118"/>
      <c r="AR77" s="96">
        <f t="shared" si="26"/>
        <v>112</v>
      </c>
      <c r="AS77" s="96">
        <f t="shared" si="27"/>
        <v>119</v>
      </c>
    </row>
    <row r="78" spans="2:45" ht="15.75" customHeight="1">
      <c r="B78" s="168" t="s">
        <v>388</v>
      </c>
      <c r="C78" s="116" t="s">
        <v>353</v>
      </c>
      <c r="D78" s="120">
        <v>1</v>
      </c>
      <c r="E78" s="116" t="s">
        <v>348</v>
      </c>
      <c r="F78" s="119" t="s">
        <v>349</v>
      </c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69">
        <v>4</v>
      </c>
      <c r="T78" s="153">
        <v>4</v>
      </c>
      <c r="U78" s="153">
        <v>3</v>
      </c>
      <c r="V78" s="153">
        <v>6</v>
      </c>
      <c r="W78" s="153">
        <v>2</v>
      </c>
      <c r="X78" s="153">
        <v>3</v>
      </c>
      <c r="Y78" s="153">
        <v>4</v>
      </c>
      <c r="Z78" s="153">
        <v>2</v>
      </c>
      <c r="AA78" s="153">
        <v>3</v>
      </c>
      <c r="AB78" s="153">
        <v>7</v>
      </c>
      <c r="AC78" s="153">
        <v>6</v>
      </c>
      <c r="AD78" s="170">
        <v>4</v>
      </c>
      <c r="AE78" s="169">
        <v>2</v>
      </c>
      <c r="AF78" s="153">
        <v>2</v>
      </c>
      <c r="AG78" s="153">
        <v>1</v>
      </c>
      <c r="AH78" s="153">
        <v>6</v>
      </c>
      <c r="AI78" s="153">
        <v>4</v>
      </c>
      <c r="AJ78" s="153">
        <v>4</v>
      </c>
      <c r="AK78" s="153">
        <v>0</v>
      </c>
      <c r="AL78" s="153">
        <v>3</v>
      </c>
      <c r="AM78" s="153">
        <v>0</v>
      </c>
      <c r="AN78" s="153">
        <v>4</v>
      </c>
      <c r="AO78" s="153">
        <v>4</v>
      </c>
      <c r="AP78" s="170">
        <v>3</v>
      </c>
      <c r="AQ78" s="118"/>
      <c r="AR78" s="96">
        <f t="shared" si="26"/>
        <v>48</v>
      </c>
      <c r="AS78" s="96">
        <f t="shared" si="27"/>
        <v>33</v>
      </c>
    </row>
    <row r="79" spans="2:45" ht="15.75" customHeight="1">
      <c r="B79" s="168" t="s">
        <v>388</v>
      </c>
      <c r="C79" s="116" t="s">
        <v>354</v>
      </c>
      <c r="D79" s="120">
        <v>1</v>
      </c>
      <c r="E79" s="116" t="s">
        <v>348</v>
      </c>
      <c r="F79" s="119" t="s">
        <v>355</v>
      </c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69">
        <v>7</v>
      </c>
      <c r="T79" s="153">
        <v>6</v>
      </c>
      <c r="U79" s="153">
        <v>11</v>
      </c>
      <c r="V79" s="153">
        <v>9</v>
      </c>
      <c r="W79" s="153">
        <v>11</v>
      </c>
      <c r="X79" s="153">
        <v>18</v>
      </c>
      <c r="Y79" s="153">
        <v>15</v>
      </c>
      <c r="Z79" s="153">
        <v>11</v>
      </c>
      <c r="AA79" s="153">
        <v>11</v>
      </c>
      <c r="AB79" s="153">
        <v>14</v>
      </c>
      <c r="AC79" s="153">
        <v>12</v>
      </c>
      <c r="AD79" s="170">
        <v>4</v>
      </c>
      <c r="AE79" s="169">
        <v>6</v>
      </c>
      <c r="AF79" s="153">
        <v>9</v>
      </c>
      <c r="AG79" s="153">
        <v>7</v>
      </c>
      <c r="AH79" s="153">
        <v>9</v>
      </c>
      <c r="AI79" s="153">
        <v>14</v>
      </c>
      <c r="AJ79" s="153">
        <v>14</v>
      </c>
      <c r="AK79" s="153">
        <v>10</v>
      </c>
      <c r="AL79" s="153">
        <v>11</v>
      </c>
      <c r="AM79" s="153">
        <v>14</v>
      </c>
      <c r="AN79" s="153">
        <v>12</v>
      </c>
      <c r="AO79" s="153">
        <v>10</v>
      </c>
      <c r="AP79" s="170">
        <v>9</v>
      </c>
      <c r="AQ79" s="118"/>
      <c r="AR79" s="96">
        <f t="shared" si="26"/>
        <v>129</v>
      </c>
      <c r="AS79" s="96">
        <f t="shared" si="27"/>
        <v>125</v>
      </c>
    </row>
    <row r="80" spans="2:45" ht="15.75" customHeight="1">
      <c r="B80" s="168" t="s">
        <v>388</v>
      </c>
      <c r="C80" s="116" t="s">
        <v>356</v>
      </c>
      <c r="D80" s="120">
        <v>1</v>
      </c>
      <c r="E80" s="116" t="s">
        <v>348</v>
      </c>
      <c r="F80" s="119" t="s">
        <v>355</v>
      </c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69">
        <v>1</v>
      </c>
      <c r="T80" s="153">
        <v>2</v>
      </c>
      <c r="U80" s="153">
        <v>1</v>
      </c>
      <c r="V80" s="153">
        <v>4</v>
      </c>
      <c r="W80" s="153">
        <v>1</v>
      </c>
      <c r="X80" s="153">
        <v>2</v>
      </c>
      <c r="Y80" s="153">
        <v>3</v>
      </c>
      <c r="Z80" s="153">
        <v>6</v>
      </c>
      <c r="AA80" s="153">
        <v>4</v>
      </c>
      <c r="AB80" s="153">
        <v>11</v>
      </c>
      <c r="AC80" s="153">
        <v>8</v>
      </c>
      <c r="AD80" s="170">
        <v>3</v>
      </c>
      <c r="AE80" s="169">
        <v>3</v>
      </c>
      <c r="AF80" s="153">
        <v>5</v>
      </c>
      <c r="AG80" s="153">
        <v>7</v>
      </c>
      <c r="AH80" s="153">
        <v>5</v>
      </c>
      <c r="AI80" s="153">
        <v>2</v>
      </c>
      <c r="AJ80" s="153">
        <v>5</v>
      </c>
      <c r="AK80" s="153">
        <v>2</v>
      </c>
      <c r="AL80" s="153">
        <v>2</v>
      </c>
      <c r="AM80" s="153">
        <v>2</v>
      </c>
      <c r="AN80" s="153">
        <v>4</v>
      </c>
      <c r="AO80" s="153">
        <v>3</v>
      </c>
      <c r="AP80" s="170">
        <v>4</v>
      </c>
      <c r="AQ80" s="118"/>
      <c r="AR80" s="96">
        <f t="shared" si="26"/>
        <v>46</v>
      </c>
      <c r="AS80" s="96">
        <f t="shared" si="27"/>
        <v>44</v>
      </c>
    </row>
    <row r="81" spans="2:45" ht="15.75" customHeight="1">
      <c r="B81" s="168" t="s">
        <v>388</v>
      </c>
      <c r="C81" s="116" t="s">
        <v>357</v>
      </c>
      <c r="D81" s="120">
        <v>2</v>
      </c>
      <c r="E81" s="116" t="s">
        <v>348</v>
      </c>
      <c r="F81" s="119" t="s">
        <v>355</v>
      </c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69">
        <v>3</v>
      </c>
      <c r="T81" s="153">
        <v>2</v>
      </c>
      <c r="U81" s="153">
        <v>10</v>
      </c>
      <c r="V81" s="153">
        <v>10</v>
      </c>
      <c r="W81" s="153">
        <v>7</v>
      </c>
      <c r="X81" s="153">
        <v>8</v>
      </c>
      <c r="Y81" s="153">
        <v>3</v>
      </c>
      <c r="Z81" s="153">
        <v>8</v>
      </c>
      <c r="AA81" s="153">
        <v>6</v>
      </c>
      <c r="AB81" s="153">
        <v>18</v>
      </c>
      <c r="AC81" s="153">
        <v>20</v>
      </c>
      <c r="AD81" s="170">
        <v>7</v>
      </c>
      <c r="AE81" s="169">
        <v>4</v>
      </c>
      <c r="AF81" s="153">
        <v>5</v>
      </c>
      <c r="AG81" s="153">
        <v>8</v>
      </c>
      <c r="AH81" s="153">
        <v>5</v>
      </c>
      <c r="AI81" s="153">
        <v>10</v>
      </c>
      <c r="AJ81" s="153">
        <v>9</v>
      </c>
      <c r="AK81" s="153">
        <v>2</v>
      </c>
      <c r="AL81" s="153">
        <v>6</v>
      </c>
      <c r="AM81" s="153">
        <v>10</v>
      </c>
      <c r="AN81" s="153">
        <v>14</v>
      </c>
      <c r="AO81" s="153">
        <v>13</v>
      </c>
      <c r="AP81" s="170">
        <v>7</v>
      </c>
      <c r="AQ81" s="118"/>
      <c r="AR81" s="96">
        <f t="shared" si="26"/>
        <v>102</v>
      </c>
      <c r="AS81" s="96">
        <f t="shared" si="27"/>
        <v>93</v>
      </c>
    </row>
    <row r="82" spans="2:45" ht="15.75" customHeight="1">
      <c r="B82" s="168" t="s">
        <v>388</v>
      </c>
      <c r="C82" s="116" t="s">
        <v>358</v>
      </c>
      <c r="D82" s="120">
        <v>1</v>
      </c>
      <c r="E82" s="116" t="s">
        <v>348</v>
      </c>
      <c r="F82" s="119" t="s">
        <v>355</v>
      </c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69">
        <v>2</v>
      </c>
      <c r="T82" s="153">
        <v>1</v>
      </c>
      <c r="U82" s="153">
        <v>7</v>
      </c>
      <c r="V82" s="153">
        <v>11</v>
      </c>
      <c r="W82" s="153">
        <v>7</v>
      </c>
      <c r="X82" s="153">
        <v>5</v>
      </c>
      <c r="Y82" s="153">
        <v>4</v>
      </c>
      <c r="Z82" s="153">
        <v>10</v>
      </c>
      <c r="AA82" s="153">
        <v>9</v>
      </c>
      <c r="AB82" s="153">
        <v>9</v>
      </c>
      <c r="AC82" s="153">
        <v>14</v>
      </c>
      <c r="AD82" s="170">
        <v>9</v>
      </c>
      <c r="AE82" s="169">
        <v>3</v>
      </c>
      <c r="AF82" s="153">
        <v>7</v>
      </c>
      <c r="AG82" s="153">
        <v>5</v>
      </c>
      <c r="AH82" s="153">
        <v>7</v>
      </c>
      <c r="AI82" s="153">
        <v>13</v>
      </c>
      <c r="AJ82" s="153">
        <v>6</v>
      </c>
      <c r="AK82" s="153">
        <v>4</v>
      </c>
      <c r="AL82" s="153">
        <v>6</v>
      </c>
      <c r="AM82" s="153">
        <v>6</v>
      </c>
      <c r="AN82" s="153">
        <v>12</v>
      </c>
      <c r="AO82" s="153">
        <v>14</v>
      </c>
      <c r="AP82" s="170">
        <v>5</v>
      </c>
      <c r="AQ82" s="118"/>
      <c r="AR82" s="96">
        <f t="shared" si="26"/>
        <v>88</v>
      </c>
      <c r="AS82" s="96">
        <f t="shared" si="27"/>
        <v>88</v>
      </c>
    </row>
    <row r="83" spans="2:45" ht="15.75" customHeight="1">
      <c r="B83" s="168" t="s">
        <v>388</v>
      </c>
      <c r="C83" s="116" t="s">
        <v>359</v>
      </c>
      <c r="D83" s="120">
        <v>1</v>
      </c>
      <c r="E83" s="116" t="s">
        <v>348</v>
      </c>
      <c r="F83" s="119" t="s">
        <v>355</v>
      </c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69">
        <v>4</v>
      </c>
      <c r="T83" s="153">
        <v>7</v>
      </c>
      <c r="U83" s="153">
        <v>13</v>
      </c>
      <c r="V83" s="153">
        <v>18</v>
      </c>
      <c r="W83" s="153">
        <v>18</v>
      </c>
      <c r="X83" s="153">
        <v>15</v>
      </c>
      <c r="Y83" s="153">
        <v>10</v>
      </c>
      <c r="Z83" s="153">
        <v>12</v>
      </c>
      <c r="AA83" s="153">
        <v>13</v>
      </c>
      <c r="AB83" s="153">
        <v>16</v>
      </c>
      <c r="AC83" s="153">
        <v>19</v>
      </c>
      <c r="AD83" s="170">
        <v>11</v>
      </c>
      <c r="AE83" s="169">
        <v>4</v>
      </c>
      <c r="AF83" s="153">
        <v>8</v>
      </c>
      <c r="AG83" s="153">
        <v>12</v>
      </c>
      <c r="AH83" s="153">
        <v>14</v>
      </c>
      <c r="AI83" s="153">
        <v>14</v>
      </c>
      <c r="AJ83" s="153">
        <v>9</v>
      </c>
      <c r="AK83" s="153">
        <v>8</v>
      </c>
      <c r="AL83" s="153">
        <v>9</v>
      </c>
      <c r="AM83" s="153">
        <v>13</v>
      </c>
      <c r="AN83" s="153">
        <v>16</v>
      </c>
      <c r="AO83" s="153">
        <v>18</v>
      </c>
      <c r="AP83" s="170">
        <v>8</v>
      </c>
      <c r="AQ83" s="118"/>
      <c r="AR83" s="96">
        <f t="shared" si="26"/>
        <v>156</v>
      </c>
      <c r="AS83" s="96">
        <f t="shared" si="27"/>
        <v>133</v>
      </c>
    </row>
    <row r="84" spans="2:45" ht="15.75" customHeight="1">
      <c r="B84" s="168" t="s">
        <v>388</v>
      </c>
      <c r="C84" s="116" t="s">
        <v>360</v>
      </c>
      <c r="D84" s="120">
        <v>2</v>
      </c>
      <c r="E84" s="116" t="s">
        <v>348</v>
      </c>
      <c r="F84" s="119" t="s">
        <v>355</v>
      </c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69">
        <v>0</v>
      </c>
      <c r="T84" s="153">
        <v>0</v>
      </c>
      <c r="U84" s="153">
        <v>0</v>
      </c>
      <c r="V84" s="153">
        <v>0</v>
      </c>
      <c r="W84" s="153">
        <v>0</v>
      </c>
      <c r="X84" s="153">
        <v>0</v>
      </c>
      <c r="Y84" s="153">
        <v>0</v>
      </c>
      <c r="Z84" s="153">
        <v>0</v>
      </c>
      <c r="AA84" s="153">
        <v>0</v>
      </c>
      <c r="AB84" s="153">
        <v>0</v>
      </c>
      <c r="AC84" s="153">
        <v>0</v>
      </c>
      <c r="AD84" s="170">
        <v>0</v>
      </c>
      <c r="AE84" s="169">
        <v>0</v>
      </c>
      <c r="AF84" s="153">
        <v>0</v>
      </c>
      <c r="AG84" s="153">
        <v>4</v>
      </c>
      <c r="AH84" s="153">
        <v>5</v>
      </c>
      <c r="AI84" s="153">
        <v>4</v>
      </c>
      <c r="AJ84" s="153">
        <v>0</v>
      </c>
      <c r="AK84" s="153">
        <v>2</v>
      </c>
      <c r="AL84" s="153">
        <v>2</v>
      </c>
      <c r="AM84" s="153">
        <v>3</v>
      </c>
      <c r="AN84" s="153">
        <v>5</v>
      </c>
      <c r="AO84" s="153">
        <v>5</v>
      </c>
      <c r="AP84" s="170">
        <v>1</v>
      </c>
      <c r="AQ84" s="118"/>
      <c r="AR84" s="96">
        <f t="shared" si="26"/>
        <v>0</v>
      </c>
      <c r="AS84" s="96">
        <f t="shared" si="27"/>
        <v>31</v>
      </c>
    </row>
    <row r="85" spans="2:45" ht="15.75" customHeight="1">
      <c r="B85" s="168" t="s">
        <v>388</v>
      </c>
      <c r="C85" s="116" t="s">
        <v>361</v>
      </c>
      <c r="D85" s="120">
        <v>1</v>
      </c>
      <c r="E85" s="116" t="s">
        <v>348</v>
      </c>
      <c r="F85" s="119" t="s">
        <v>355</v>
      </c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69">
        <v>1</v>
      </c>
      <c r="T85" s="153">
        <v>1</v>
      </c>
      <c r="U85" s="153">
        <v>2</v>
      </c>
      <c r="V85" s="153">
        <v>2</v>
      </c>
      <c r="W85" s="153">
        <v>8</v>
      </c>
      <c r="X85" s="153">
        <v>8</v>
      </c>
      <c r="Y85" s="153">
        <v>1</v>
      </c>
      <c r="Z85" s="153">
        <v>2</v>
      </c>
      <c r="AA85" s="153">
        <v>6</v>
      </c>
      <c r="AB85" s="153">
        <v>9</v>
      </c>
      <c r="AC85" s="153">
        <v>8</v>
      </c>
      <c r="AD85" s="170">
        <v>7</v>
      </c>
      <c r="AE85" s="169">
        <v>0</v>
      </c>
      <c r="AF85" s="153">
        <v>2</v>
      </c>
      <c r="AG85" s="153">
        <v>4</v>
      </c>
      <c r="AH85" s="153">
        <v>6</v>
      </c>
      <c r="AI85" s="153">
        <v>13</v>
      </c>
      <c r="AJ85" s="153">
        <v>2</v>
      </c>
      <c r="AK85" s="153">
        <v>4</v>
      </c>
      <c r="AL85" s="153">
        <v>2</v>
      </c>
      <c r="AM85" s="153">
        <v>4</v>
      </c>
      <c r="AN85" s="153">
        <v>5</v>
      </c>
      <c r="AO85" s="153">
        <v>6</v>
      </c>
      <c r="AP85" s="170">
        <v>1</v>
      </c>
      <c r="AQ85" s="118"/>
      <c r="AR85" s="96">
        <f t="shared" si="26"/>
        <v>55</v>
      </c>
      <c r="AS85" s="96">
        <f t="shared" si="27"/>
        <v>49</v>
      </c>
    </row>
    <row r="86" spans="2:45" ht="15.75" customHeight="1">
      <c r="B86" s="168" t="s">
        <v>388</v>
      </c>
      <c r="C86" s="116" t="s">
        <v>362</v>
      </c>
      <c r="D86" s="120">
        <v>1</v>
      </c>
      <c r="E86" s="116" t="s">
        <v>348</v>
      </c>
      <c r="F86" s="119" t="s">
        <v>363</v>
      </c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69">
        <v>2</v>
      </c>
      <c r="T86" s="153">
        <v>4</v>
      </c>
      <c r="U86" s="153">
        <v>5</v>
      </c>
      <c r="V86" s="153">
        <v>10</v>
      </c>
      <c r="W86" s="153">
        <v>10</v>
      </c>
      <c r="X86" s="153">
        <v>7</v>
      </c>
      <c r="Y86" s="153">
        <v>4</v>
      </c>
      <c r="Z86" s="153">
        <v>7</v>
      </c>
      <c r="AA86" s="153">
        <v>6</v>
      </c>
      <c r="AB86" s="153">
        <v>8</v>
      </c>
      <c r="AC86" s="153">
        <v>9</v>
      </c>
      <c r="AD86" s="170">
        <v>5</v>
      </c>
      <c r="AE86" s="169">
        <v>7</v>
      </c>
      <c r="AF86" s="153">
        <v>5</v>
      </c>
      <c r="AG86" s="153">
        <v>7</v>
      </c>
      <c r="AH86" s="153">
        <v>5</v>
      </c>
      <c r="AI86" s="153">
        <v>7</v>
      </c>
      <c r="AJ86" s="153">
        <v>8</v>
      </c>
      <c r="AK86" s="153">
        <v>4</v>
      </c>
      <c r="AL86" s="153">
        <v>6</v>
      </c>
      <c r="AM86" s="153">
        <v>3</v>
      </c>
      <c r="AN86" s="153">
        <v>10</v>
      </c>
      <c r="AO86" s="153">
        <v>6</v>
      </c>
      <c r="AP86" s="170">
        <v>5</v>
      </c>
      <c r="AQ86" s="118"/>
      <c r="AR86" s="96">
        <f t="shared" si="26"/>
        <v>77</v>
      </c>
      <c r="AS86" s="96">
        <f t="shared" si="27"/>
        <v>73</v>
      </c>
    </row>
    <row r="87" spans="2:45" ht="15.75" customHeight="1">
      <c r="B87" s="168" t="s">
        <v>388</v>
      </c>
      <c r="C87" s="116" t="s">
        <v>364</v>
      </c>
      <c r="D87" s="120">
        <v>1</v>
      </c>
      <c r="E87" s="116" t="s">
        <v>348</v>
      </c>
      <c r="F87" s="119" t="s">
        <v>363</v>
      </c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69">
        <v>2</v>
      </c>
      <c r="T87" s="153">
        <v>4</v>
      </c>
      <c r="U87" s="153">
        <v>3</v>
      </c>
      <c r="V87" s="153">
        <v>8</v>
      </c>
      <c r="W87" s="153">
        <v>7</v>
      </c>
      <c r="X87" s="153">
        <v>5</v>
      </c>
      <c r="Y87" s="153">
        <v>5</v>
      </c>
      <c r="Z87" s="153">
        <v>4</v>
      </c>
      <c r="AA87" s="153">
        <v>8</v>
      </c>
      <c r="AB87" s="153">
        <v>9</v>
      </c>
      <c r="AC87" s="153">
        <v>12</v>
      </c>
      <c r="AD87" s="170">
        <v>4</v>
      </c>
      <c r="AE87" s="169">
        <v>5</v>
      </c>
      <c r="AF87" s="153">
        <v>2</v>
      </c>
      <c r="AG87" s="153">
        <v>4</v>
      </c>
      <c r="AH87" s="153">
        <v>5</v>
      </c>
      <c r="AI87" s="153">
        <v>6</v>
      </c>
      <c r="AJ87" s="153">
        <v>7</v>
      </c>
      <c r="AK87" s="153">
        <v>2</v>
      </c>
      <c r="AL87" s="153">
        <v>5</v>
      </c>
      <c r="AM87" s="153">
        <v>6</v>
      </c>
      <c r="AN87" s="153">
        <v>8</v>
      </c>
      <c r="AO87" s="153">
        <v>5</v>
      </c>
      <c r="AP87" s="170">
        <v>4</v>
      </c>
      <c r="AQ87" s="118"/>
      <c r="AR87" s="96">
        <f t="shared" si="26"/>
        <v>71</v>
      </c>
      <c r="AS87" s="96">
        <f t="shared" si="27"/>
        <v>59</v>
      </c>
    </row>
    <row r="88" spans="2:45" ht="15.75" customHeight="1">
      <c r="B88" s="168" t="s">
        <v>388</v>
      </c>
      <c r="C88" s="116" t="s">
        <v>365</v>
      </c>
      <c r="D88" s="120">
        <v>1</v>
      </c>
      <c r="E88" s="116" t="s">
        <v>348</v>
      </c>
      <c r="F88" s="119" t="s">
        <v>363</v>
      </c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69">
        <v>9</v>
      </c>
      <c r="T88" s="153">
        <v>6</v>
      </c>
      <c r="U88" s="153">
        <v>10</v>
      </c>
      <c r="V88" s="153">
        <v>10</v>
      </c>
      <c r="W88" s="153">
        <v>12</v>
      </c>
      <c r="X88" s="153">
        <v>11</v>
      </c>
      <c r="Y88" s="153">
        <v>6</v>
      </c>
      <c r="Z88" s="153">
        <v>13</v>
      </c>
      <c r="AA88" s="153">
        <v>8</v>
      </c>
      <c r="AB88" s="153">
        <v>14</v>
      </c>
      <c r="AC88" s="153">
        <v>15</v>
      </c>
      <c r="AD88" s="170">
        <v>13</v>
      </c>
      <c r="AE88" s="169">
        <v>4</v>
      </c>
      <c r="AF88" s="153">
        <v>9</v>
      </c>
      <c r="AG88" s="153">
        <v>11</v>
      </c>
      <c r="AH88" s="153">
        <v>10</v>
      </c>
      <c r="AI88" s="153">
        <v>12</v>
      </c>
      <c r="AJ88" s="153">
        <v>13</v>
      </c>
      <c r="AK88" s="153">
        <v>9</v>
      </c>
      <c r="AL88" s="153">
        <v>9</v>
      </c>
      <c r="AM88" s="153">
        <v>8</v>
      </c>
      <c r="AN88" s="153">
        <v>16</v>
      </c>
      <c r="AO88" s="153">
        <v>11</v>
      </c>
      <c r="AP88" s="170">
        <v>6</v>
      </c>
      <c r="AQ88" s="118"/>
      <c r="AR88" s="96">
        <f t="shared" si="26"/>
        <v>127</v>
      </c>
      <c r="AS88" s="96">
        <f t="shared" si="27"/>
        <v>118</v>
      </c>
    </row>
    <row r="89" spans="2:45" ht="15.75" customHeight="1">
      <c r="B89" s="168" t="s">
        <v>388</v>
      </c>
      <c r="C89" s="116" t="s">
        <v>366</v>
      </c>
      <c r="D89" s="120">
        <v>1</v>
      </c>
      <c r="E89" s="116" t="s">
        <v>348</v>
      </c>
      <c r="F89" s="119" t="s">
        <v>363</v>
      </c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69">
        <v>1</v>
      </c>
      <c r="T89" s="153">
        <v>3</v>
      </c>
      <c r="U89" s="153">
        <v>7</v>
      </c>
      <c r="V89" s="153">
        <v>4</v>
      </c>
      <c r="W89" s="153">
        <v>4</v>
      </c>
      <c r="X89" s="153">
        <v>10</v>
      </c>
      <c r="Y89" s="153">
        <v>3</v>
      </c>
      <c r="Z89" s="153">
        <v>6</v>
      </c>
      <c r="AA89" s="153">
        <v>5</v>
      </c>
      <c r="AB89" s="153">
        <v>8</v>
      </c>
      <c r="AC89" s="153">
        <v>9</v>
      </c>
      <c r="AD89" s="170">
        <v>3</v>
      </c>
      <c r="AE89" s="169">
        <v>3</v>
      </c>
      <c r="AF89" s="153">
        <v>4</v>
      </c>
      <c r="AG89" s="153">
        <v>4</v>
      </c>
      <c r="AH89" s="153">
        <v>6</v>
      </c>
      <c r="AI89" s="153">
        <v>3</v>
      </c>
      <c r="AJ89" s="153">
        <v>3</v>
      </c>
      <c r="AK89" s="153">
        <v>1</v>
      </c>
      <c r="AL89" s="153">
        <v>1</v>
      </c>
      <c r="AM89" s="153">
        <v>2</v>
      </c>
      <c r="AN89" s="153">
        <v>8</v>
      </c>
      <c r="AO89" s="153">
        <v>5</v>
      </c>
      <c r="AP89" s="170">
        <v>5</v>
      </c>
      <c r="AQ89" s="118"/>
      <c r="AR89" s="96">
        <f t="shared" si="26"/>
        <v>63</v>
      </c>
      <c r="AS89" s="96">
        <f t="shared" si="27"/>
        <v>45</v>
      </c>
    </row>
    <row r="90" spans="2:45" ht="15.75" customHeight="1">
      <c r="B90" s="168" t="s">
        <v>388</v>
      </c>
      <c r="C90" s="116" t="s">
        <v>367</v>
      </c>
      <c r="D90" s="120">
        <v>1</v>
      </c>
      <c r="E90" s="116" t="s">
        <v>348</v>
      </c>
      <c r="F90" s="119" t="s">
        <v>363</v>
      </c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69">
        <v>8</v>
      </c>
      <c r="T90" s="153">
        <v>3</v>
      </c>
      <c r="U90" s="153">
        <v>2</v>
      </c>
      <c r="V90" s="153">
        <v>7</v>
      </c>
      <c r="W90" s="153">
        <v>5</v>
      </c>
      <c r="X90" s="153">
        <v>4</v>
      </c>
      <c r="Y90" s="153">
        <v>3</v>
      </c>
      <c r="Z90" s="153">
        <v>5</v>
      </c>
      <c r="AA90" s="153">
        <v>5</v>
      </c>
      <c r="AB90" s="153">
        <v>12</v>
      </c>
      <c r="AC90" s="153">
        <v>7</v>
      </c>
      <c r="AD90" s="170">
        <v>8</v>
      </c>
      <c r="AE90" s="169">
        <v>7</v>
      </c>
      <c r="AF90" s="153">
        <v>1</v>
      </c>
      <c r="AG90" s="153">
        <v>6</v>
      </c>
      <c r="AH90" s="153">
        <v>6</v>
      </c>
      <c r="AI90" s="153">
        <v>7</v>
      </c>
      <c r="AJ90" s="153">
        <v>3</v>
      </c>
      <c r="AK90" s="153">
        <v>0</v>
      </c>
      <c r="AL90" s="153">
        <v>3</v>
      </c>
      <c r="AM90" s="153">
        <v>1</v>
      </c>
      <c r="AN90" s="153">
        <v>6</v>
      </c>
      <c r="AO90" s="153">
        <v>3</v>
      </c>
      <c r="AP90" s="170">
        <v>1</v>
      </c>
      <c r="AQ90" s="118"/>
      <c r="AR90" s="96">
        <f t="shared" si="26"/>
        <v>69</v>
      </c>
      <c r="AS90" s="96">
        <f t="shared" si="27"/>
        <v>44</v>
      </c>
    </row>
    <row r="91" spans="2:45" ht="15.75" customHeight="1">
      <c r="B91" s="168" t="s">
        <v>388</v>
      </c>
      <c r="C91" s="116" t="s">
        <v>368</v>
      </c>
      <c r="D91" s="120">
        <v>2</v>
      </c>
      <c r="E91" s="116" t="s">
        <v>369</v>
      </c>
      <c r="F91" s="119" t="s">
        <v>369</v>
      </c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69">
        <v>3</v>
      </c>
      <c r="T91" s="153">
        <v>7</v>
      </c>
      <c r="U91" s="153">
        <v>20</v>
      </c>
      <c r="V91" s="153">
        <v>21</v>
      </c>
      <c r="W91" s="153">
        <v>13</v>
      </c>
      <c r="X91" s="153">
        <v>9</v>
      </c>
      <c r="Y91" s="153">
        <v>4</v>
      </c>
      <c r="Z91" s="153">
        <v>5</v>
      </c>
      <c r="AA91" s="153">
        <v>6</v>
      </c>
      <c r="AB91" s="153">
        <v>28</v>
      </c>
      <c r="AC91" s="153">
        <v>28</v>
      </c>
      <c r="AD91" s="170">
        <v>11</v>
      </c>
      <c r="AE91" s="169">
        <v>5</v>
      </c>
      <c r="AF91" s="153">
        <v>1</v>
      </c>
      <c r="AG91" s="153">
        <v>15</v>
      </c>
      <c r="AH91" s="153">
        <v>10</v>
      </c>
      <c r="AI91" s="153">
        <v>13</v>
      </c>
      <c r="AJ91" s="153">
        <v>5</v>
      </c>
      <c r="AK91" s="153">
        <v>6</v>
      </c>
      <c r="AL91" s="153">
        <v>4</v>
      </c>
      <c r="AM91" s="153">
        <v>11</v>
      </c>
      <c r="AN91" s="153">
        <v>17</v>
      </c>
      <c r="AO91" s="153">
        <v>22</v>
      </c>
      <c r="AP91" s="170">
        <v>10</v>
      </c>
      <c r="AQ91" s="118"/>
      <c r="AR91" s="96">
        <f t="shared" si="26"/>
        <v>155</v>
      </c>
      <c r="AS91" s="96">
        <f t="shared" si="27"/>
        <v>119</v>
      </c>
    </row>
    <row r="92" spans="2:45" ht="15.75" customHeight="1">
      <c r="B92" s="168" t="s">
        <v>388</v>
      </c>
      <c r="C92" s="116" t="s">
        <v>451</v>
      </c>
      <c r="D92" s="120">
        <v>1</v>
      </c>
      <c r="E92" s="116" t="s">
        <v>369</v>
      </c>
      <c r="F92" s="119" t="s">
        <v>369</v>
      </c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69">
        <v>6</v>
      </c>
      <c r="T92" s="153">
        <v>3</v>
      </c>
      <c r="U92" s="153">
        <v>12</v>
      </c>
      <c r="V92" s="153">
        <v>15</v>
      </c>
      <c r="W92" s="153">
        <v>11</v>
      </c>
      <c r="X92" s="153">
        <v>11</v>
      </c>
      <c r="Y92" s="153">
        <v>11</v>
      </c>
      <c r="Z92" s="153">
        <v>6</v>
      </c>
      <c r="AA92" s="153">
        <v>7</v>
      </c>
      <c r="AB92" s="153">
        <v>19</v>
      </c>
      <c r="AC92" s="153">
        <v>19</v>
      </c>
      <c r="AD92" s="170">
        <v>8</v>
      </c>
      <c r="AE92" s="169">
        <v>6</v>
      </c>
      <c r="AF92" s="153">
        <v>1</v>
      </c>
      <c r="AG92" s="153">
        <v>13</v>
      </c>
      <c r="AH92" s="153">
        <v>12</v>
      </c>
      <c r="AI92" s="153">
        <v>11</v>
      </c>
      <c r="AJ92" s="153">
        <v>5</v>
      </c>
      <c r="AK92" s="153">
        <v>4</v>
      </c>
      <c r="AL92" s="153">
        <v>5</v>
      </c>
      <c r="AM92" s="153">
        <v>4</v>
      </c>
      <c r="AN92" s="153">
        <v>9</v>
      </c>
      <c r="AO92" s="153">
        <v>12</v>
      </c>
      <c r="AP92" s="170">
        <v>3</v>
      </c>
      <c r="AQ92" s="118"/>
      <c r="AR92" s="96">
        <f t="shared" si="26"/>
        <v>128</v>
      </c>
      <c r="AS92" s="96">
        <f t="shared" si="27"/>
        <v>85</v>
      </c>
    </row>
    <row r="93" spans="2:45" ht="15.75" customHeight="1">
      <c r="B93" s="168" t="s">
        <v>388</v>
      </c>
      <c r="C93" s="116" t="s">
        <v>371</v>
      </c>
      <c r="D93" s="120">
        <v>2</v>
      </c>
      <c r="E93" s="116" t="s">
        <v>369</v>
      </c>
      <c r="F93" s="119" t="s">
        <v>369</v>
      </c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69">
        <v>0</v>
      </c>
      <c r="T93" s="153">
        <v>0</v>
      </c>
      <c r="U93" s="153">
        <v>0</v>
      </c>
      <c r="V93" s="153">
        <v>0</v>
      </c>
      <c r="W93" s="153">
        <v>0</v>
      </c>
      <c r="X93" s="153">
        <v>0</v>
      </c>
      <c r="Y93" s="153">
        <v>0</v>
      </c>
      <c r="Z93" s="153">
        <v>0</v>
      </c>
      <c r="AA93" s="153">
        <v>0</v>
      </c>
      <c r="AB93" s="153">
        <v>0</v>
      </c>
      <c r="AC93" s="153">
        <v>0</v>
      </c>
      <c r="AD93" s="170">
        <v>0</v>
      </c>
      <c r="AE93" s="169">
        <v>0</v>
      </c>
      <c r="AF93" s="153">
        <v>0</v>
      </c>
      <c r="AG93" s="153">
        <v>0</v>
      </c>
      <c r="AH93" s="153">
        <v>0</v>
      </c>
      <c r="AI93" s="153">
        <v>0</v>
      </c>
      <c r="AJ93" s="153">
        <v>0</v>
      </c>
      <c r="AK93" s="153">
        <v>0</v>
      </c>
      <c r="AL93" s="153">
        <v>0</v>
      </c>
      <c r="AM93" s="153">
        <v>0</v>
      </c>
      <c r="AN93" s="153">
        <v>0</v>
      </c>
      <c r="AO93" s="153">
        <v>0</v>
      </c>
      <c r="AP93" s="170">
        <v>0</v>
      </c>
      <c r="AQ93" s="118"/>
      <c r="AR93" s="96">
        <f t="shared" si="26"/>
        <v>0</v>
      </c>
      <c r="AS93" s="96">
        <f t="shared" si="27"/>
        <v>0</v>
      </c>
    </row>
    <row r="94" spans="2:45" ht="15.75" customHeight="1">
      <c r="B94" s="168" t="s">
        <v>388</v>
      </c>
      <c r="C94" s="116" t="s">
        <v>372</v>
      </c>
      <c r="D94" s="120">
        <v>1</v>
      </c>
      <c r="E94" s="116" t="s">
        <v>369</v>
      </c>
      <c r="F94" s="119" t="s">
        <v>369</v>
      </c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69">
        <v>2</v>
      </c>
      <c r="T94" s="153">
        <v>4</v>
      </c>
      <c r="U94" s="153">
        <v>6</v>
      </c>
      <c r="V94" s="153">
        <v>7</v>
      </c>
      <c r="W94" s="153">
        <v>7</v>
      </c>
      <c r="X94" s="153">
        <v>2</v>
      </c>
      <c r="Y94" s="153">
        <v>0</v>
      </c>
      <c r="Z94" s="153">
        <v>1</v>
      </c>
      <c r="AA94" s="153">
        <v>2</v>
      </c>
      <c r="AB94" s="153">
        <v>12</v>
      </c>
      <c r="AC94" s="153">
        <v>12</v>
      </c>
      <c r="AD94" s="170">
        <v>5</v>
      </c>
      <c r="AE94" s="169">
        <v>6</v>
      </c>
      <c r="AF94" s="153">
        <v>2</v>
      </c>
      <c r="AG94" s="153">
        <v>2</v>
      </c>
      <c r="AH94" s="153">
        <v>1</v>
      </c>
      <c r="AI94" s="153">
        <v>5</v>
      </c>
      <c r="AJ94" s="153">
        <v>1</v>
      </c>
      <c r="AK94" s="153">
        <v>1</v>
      </c>
      <c r="AL94" s="153">
        <v>1</v>
      </c>
      <c r="AM94" s="153">
        <v>3</v>
      </c>
      <c r="AN94" s="153">
        <v>7</v>
      </c>
      <c r="AO94" s="153">
        <v>3</v>
      </c>
      <c r="AP94" s="170">
        <v>4</v>
      </c>
      <c r="AQ94" s="118"/>
      <c r="AR94" s="96">
        <f t="shared" si="26"/>
        <v>60</v>
      </c>
      <c r="AS94" s="96">
        <f t="shared" si="27"/>
        <v>36</v>
      </c>
    </row>
    <row r="95" spans="2:45" ht="15.75" customHeight="1">
      <c r="B95" s="168" t="s">
        <v>388</v>
      </c>
      <c r="C95" s="116" t="s">
        <v>373</v>
      </c>
      <c r="D95" s="120">
        <v>1</v>
      </c>
      <c r="E95" s="116" t="s">
        <v>369</v>
      </c>
      <c r="F95" s="119" t="s">
        <v>369</v>
      </c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69">
        <v>2</v>
      </c>
      <c r="T95" s="153">
        <v>1</v>
      </c>
      <c r="U95" s="153">
        <v>5</v>
      </c>
      <c r="V95" s="153">
        <v>12</v>
      </c>
      <c r="W95" s="153">
        <v>12</v>
      </c>
      <c r="X95" s="153">
        <v>10</v>
      </c>
      <c r="Y95" s="153">
        <v>6</v>
      </c>
      <c r="Z95" s="153">
        <v>2</v>
      </c>
      <c r="AA95" s="153">
        <v>14</v>
      </c>
      <c r="AB95" s="153">
        <v>17</v>
      </c>
      <c r="AC95" s="153">
        <v>18</v>
      </c>
      <c r="AD95" s="170">
        <v>8</v>
      </c>
      <c r="AE95" s="169">
        <v>2</v>
      </c>
      <c r="AF95" s="153">
        <v>2</v>
      </c>
      <c r="AG95" s="153">
        <v>12</v>
      </c>
      <c r="AH95" s="153">
        <v>7</v>
      </c>
      <c r="AI95" s="153">
        <v>6</v>
      </c>
      <c r="AJ95" s="153">
        <v>2</v>
      </c>
      <c r="AK95" s="153">
        <v>2</v>
      </c>
      <c r="AL95" s="153">
        <v>1</v>
      </c>
      <c r="AM95" s="153">
        <v>4</v>
      </c>
      <c r="AN95" s="153">
        <v>13</v>
      </c>
      <c r="AO95" s="153">
        <v>9</v>
      </c>
      <c r="AP95" s="170">
        <v>6</v>
      </c>
      <c r="AQ95" s="118"/>
      <c r="AR95" s="96">
        <f t="shared" si="26"/>
        <v>107</v>
      </c>
      <c r="AS95" s="96">
        <f t="shared" si="27"/>
        <v>66</v>
      </c>
    </row>
    <row r="96" spans="2:45" ht="15.75" customHeight="1">
      <c r="B96" s="168" t="s">
        <v>388</v>
      </c>
      <c r="C96" s="116" t="s">
        <v>374</v>
      </c>
      <c r="D96" s="120">
        <v>2</v>
      </c>
      <c r="E96" s="116" t="s">
        <v>369</v>
      </c>
      <c r="F96" s="119" t="s">
        <v>369</v>
      </c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69">
        <v>6</v>
      </c>
      <c r="T96" s="153">
        <v>5</v>
      </c>
      <c r="U96" s="153">
        <v>19</v>
      </c>
      <c r="V96" s="153">
        <v>10</v>
      </c>
      <c r="W96" s="153">
        <v>5</v>
      </c>
      <c r="X96" s="153">
        <v>6</v>
      </c>
      <c r="Y96" s="153">
        <v>6</v>
      </c>
      <c r="Z96" s="153">
        <v>4</v>
      </c>
      <c r="AA96" s="153">
        <v>10</v>
      </c>
      <c r="AB96" s="153">
        <v>21</v>
      </c>
      <c r="AC96" s="153">
        <v>24</v>
      </c>
      <c r="AD96" s="170">
        <v>13</v>
      </c>
      <c r="AE96" s="169">
        <v>1</v>
      </c>
      <c r="AF96" s="153">
        <v>3</v>
      </c>
      <c r="AG96" s="153">
        <v>6</v>
      </c>
      <c r="AH96" s="153">
        <v>7</v>
      </c>
      <c r="AI96" s="153">
        <v>6</v>
      </c>
      <c r="AJ96" s="153">
        <v>6</v>
      </c>
      <c r="AK96" s="153">
        <v>0</v>
      </c>
      <c r="AL96" s="153">
        <v>3</v>
      </c>
      <c r="AM96" s="153">
        <v>4</v>
      </c>
      <c r="AN96" s="153">
        <v>11</v>
      </c>
      <c r="AO96" s="153">
        <v>13</v>
      </c>
      <c r="AP96" s="170">
        <v>9</v>
      </c>
      <c r="AQ96" s="118"/>
      <c r="AR96" s="96">
        <f t="shared" si="26"/>
        <v>129</v>
      </c>
      <c r="AS96" s="96">
        <f t="shared" si="27"/>
        <v>69</v>
      </c>
    </row>
    <row r="97" spans="2:45" ht="15.75" customHeight="1">
      <c r="B97" s="168" t="s">
        <v>388</v>
      </c>
      <c r="C97" s="116" t="s">
        <v>375</v>
      </c>
      <c r="D97" s="120">
        <v>1</v>
      </c>
      <c r="E97" s="116" t="s">
        <v>369</v>
      </c>
      <c r="F97" s="119" t="s">
        <v>369</v>
      </c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69">
        <v>0</v>
      </c>
      <c r="T97" s="153">
        <v>0</v>
      </c>
      <c r="U97" s="153">
        <v>0</v>
      </c>
      <c r="V97" s="153">
        <v>0</v>
      </c>
      <c r="W97" s="153">
        <v>0</v>
      </c>
      <c r="X97" s="153">
        <v>0</v>
      </c>
      <c r="Y97" s="153">
        <v>0</v>
      </c>
      <c r="Z97" s="153">
        <v>0</v>
      </c>
      <c r="AA97" s="153">
        <v>0</v>
      </c>
      <c r="AB97" s="153">
        <v>2</v>
      </c>
      <c r="AC97" s="153">
        <v>5</v>
      </c>
      <c r="AD97" s="170">
        <v>1</v>
      </c>
      <c r="AE97" s="169">
        <v>3</v>
      </c>
      <c r="AF97" s="153">
        <v>1</v>
      </c>
      <c r="AG97" s="153">
        <v>8</v>
      </c>
      <c r="AH97" s="153">
        <v>3</v>
      </c>
      <c r="AI97" s="153">
        <v>5</v>
      </c>
      <c r="AJ97" s="153">
        <v>3</v>
      </c>
      <c r="AK97" s="153">
        <v>1</v>
      </c>
      <c r="AL97" s="153">
        <v>2</v>
      </c>
      <c r="AM97" s="153">
        <v>2</v>
      </c>
      <c r="AN97" s="153">
        <v>2</v>
      </c>
      <c r="AO97" s="153">
        <v>3</v>
      </c>
      <c r="AP97" s="170">
        <v>1</v>
      </c>
      <c r="AQ97" s="118"/>
      <c r="AR97" s="96">
        <f t="shared" si="26"/>
        <v>8</v>
      </c>
      <c r="AS97" s="96">
        <f t="shared" si="27"/>
        <v>34</v>
      </c>
    </row>
    <row r="98" spans="2:45" ht="15.75" customHeight="1">
      <c r="B98" s="168" t="s">
        <v>388</v>
      </c>
      <c r="C98" s="116" t="s">
        <v>376</v>
      </c>
      <c r="D98" s="120">
        <v>1</v>
      </c>
      <c r="E98" s="116" t="s">
        <v>377</v>
      </c>
      <c r="F98" s="119" t="s">
        <v>377</v>
      </c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69">
        <v>7</v>
      </c>
      <c r="T98" s="153">
        <v>9</v>
      </c>
      <c r="U98" s="153">
        <v>11</v>
      </c>
      <c r="V98" s="153">
        <v>7</v>
      </c>
      <c r="W98" s="153">
        <v>8</v>
      </c>
      <c r="X98" s="153">
        <v>7</v>
      </c>
      <c r="Y98" s="153">
        <v>9</v>
      </c>
      <c r="Z98" s="153">
        <v>5</v>
      </c>
      <c r="AA98" s="153">
        <v>3</v>
      </c>
      <c r="AB98" s="153">
        <v>10</v>
      </c>
      <c r="AC98" s="153">
        <v>10</v>
      </c>
      <c r="AD98" s="170">
        <v>9</v>
      </c>
      <c r="AE98" s="169">
        <v>6</v>
      </c>
      <c r="AF98" s="153">
        <v>6</v>
      </c>
      <c r="AG98" s="153">
        <v>10</v>
      </c>
      <c r="AH98" s="153">
        <v>7</v>
      </c>
      <c r="AI98" s="153">
        <v>11</v>
      </c>
      <c r="AJ98" s="153">
        <v>7</v>
      </c>
      <c r="AK98" s="153">
        <v>4</v>
      </c>
      <c r="AL98" s="153">
        <v>8</v>
      </c>
      <c r="AM98" s="153">
        <v>5</v>
      </c>
      <c r="AN98" s="153">
        <v>7</v>
      </c>
      <c r="AO98" s="153">
        <v>11</v>
      </c>
      <c r="AP98" s="170">
        <v>6</v>
      </c>
      <c r="AQ98" s="118"/>
      <c r="AR98" s="96">
        <f t="shared" si="26"/>
        <v>95</v>
      </c>
      <c r="AS98" s="96">
        <f t="shared" si="27"/>
        <v>88</v>
      </c>
    </row>
    <row r="99" spans="2:45" ht="15.75" customHeight="1">
      <c r="B99" s="168" t="s">
        <v>388</v>
      </c>
      <c r="C99" s="116" t="s">
        <v>378</v>
      </c>
      <c r="D99" s="120">
        <v>1</v>
      </c>
      <c r="E99" s="116" t="s">
        <v>377</v>
      </c>
      <c r="F99" s="119" t="s">
        <v>377</v>
      </c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69">
        <v>7</v>
      </c>
      <c r="T99" s="153">
        <v>9</v>
      </c>
      <c r="U99" s="153">
        <v>5</v>
      </c>
      <c r="V99" s="153">
        <v>5</v>
      </c>
      <c r="W99" s="153">
        <v>6</v>
      </c>
      <c r="X99" s="153">
        <v>7</v>
      </c>
      <c r="Y99" s="153">
        <v>6</v>
      </c>
      <c r="Z99" s="153">
        <v>5</v>
      </c>
      <c r="AA99" s="153">
        <v>1</v>
      </c>
      <c r="AB99" s="153">
        <v>7</v>
      </c>
      <c r="AC99" s="153">
        <v>8</v>
      </c>
      <c r="AD99" s="170">
        <v>9</v>
      </c>
      <c r="AE99" s="169">
        <v>3</v>
      </c>
      <c r="AF99" s="153">
        <v>9</v>
      </c>
      <c r="AG99" s="153">
        <v>7</v>
      </c>
      <c r="AH99" s="153">
        <v>6</v>
      </c>
      <c r="AI99" s="153">
        <v>7</v>
      </c>
      <c r="AJ99" s="153">
        <v>9</v>
      </c>
      <c r="AK99" s="153">
        <v>4</v>
      </c>
      <c r="AL99" s="153">
        <v>5</v>
      </c>
      <c r="AM99" s="153">
        <v>7</v>
      </c>
      <c r="AN99" s="153">
        <v>7</v>
      </c>
      <c r="AO99" s="153">
        <v>8</v>
      </c>
      <c r="AP99" s="170">
        <v>3</v>
      </c>
      <c r="AQ99" s="118"/>
      <c r="AR99" s="96">
        <f t="shared" si="26"/>
        <v>75</v>
      </c>
      <c r="AS99" s="96">
        <f t="shared" si="27"/>
        <v>75</v>
      </c>
    </row>
    <row r="100" spans="2:45" ht="15.75" customHeight="1">
      <c r="B100" s="168" t="s">
        <v>388</v>
      </c>
      <c r="C100" s="116" t="s">
        <v>452</v>
      </c>
      <c r="D100" s="120">
        <v>1</v>
      </c>
      <c r="E100" s="116" t="s">
        <v>377</v>
      </c>
      <c r="F100" s="119" t="s">
        <v>377</v>
      </c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69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70"/>
      <c r="AE100" s="169">
        <v>0</v>
      </c>
      <c r="AF100" s="153">
        <v>0</v>
      </c>
      <c r="AG100" s="153">
        <v>0</v>
      </c>
      <c r="AH100" s="153">
        <v>0</v>
      </c>
      <c r="AI100" s="153">
        <v>0</v>
      </c>
      <c r="AJ100" s="153">
        <v>0</v>
      </c>
      <c r="AK100" s="153">
        <v>0</v>
      </c>
      <c r="AL100" s="153">
        <v>0</v>
      </c>
      <c r="AM100" s="153">
        <v>0</v>
      </c>
      <c r="AN100" s="153">
        <v>0</v>
      </c>
      <c r="AO100" s="153">
        <v>0</v>
      </c>
      <c r="AP100" s="170">
        <v>0</v>
      </c>
      <c r="AQ100" s="118"/>
      <c r="AR100" s="96">
        <f t="shared" si="26"/>
        <v>0</v>
      </c>
      <c r="AS100" s="96">
        <f t="shared" si="27"/>
        <v>0</v>
      </c>
    </row>
    <row r="101" spans="2:45" ht="15.75" customHeight="1">
      <c r="B101" s="168" t="s">
        <v>388</v>
      </c>
      <c r="C101" s="116" t="s">
        <v>379</v>
      </c>
      <c r="D101" s="120">
        <v>1</v>
      </c>
      <c r="E101" s="116" t="s">
        <v>377</v>
      </c>
      <c r="F101" s="119" t="s">
        <v>377</v>
      </c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69">
        <v>7</v>
      </c>
      <c r="T101" s="153">
        <v>7</v>
      </c>
      <c r="U101" s="153">
        <v>6</v>
      </c>
      <c r="V101" s="153">
        <v>9</v>
      </c>
      <c r="W101" s="153">
        <v>5</v>
      </c>
      <c r="X101" s="153">
        <v>7</v>
      </c>
      <c r="Y101" s="153">
        <v>5</v>
      </c>
      <c r="Z101" s="153">
        <v>6</v>
      </c>
      <c r="AA101" s="153">
        <v>4</v>
      </c>
      <c r="AB101" s="153">
        <v>8</v>
      </c>
      <c r="AC101" s="153">
        <v>9</v>
      </c>
      <c r="AD101" s="170">
        <v>6</v>
      </c>
      <c r="AE101" s="169">
        <v>4</v>
      </c>
      <c r="AF101" s="153">
        <v>3</v>
      </c>
      <c r="AG101" s="153">
        <v>5</v>
      </c>
      <c r="AH101" s="153">
        <v>5</v>
      </c>
      <c r="AI101" s="153">
        <v>7</v>
      </c>
      <c r="AJ101" s="153">
        <v>1</v>
      </c>
      <c r="AK101" s="153">
        <v>2</v>
      </c>
      <c r="AL101" s="153">
        <v>7</v>
      </c>
      <c r="AM101" s="153">
        <v>2</v>
      </c>
      <c r="AN101" s="153">
        <v>7</v>
      </c>
      <c r="AO101" s="153">
        <v>3</v>
      </c>
      <c r="AP101" s="170">
        <v>2</v>
      </c>
      <c r="AQ101" s="118"/>
      <c r="AR101" s="96">
        <f t="shared" si="26"/>
        <v>79</v>
      </c>
      <c r="AS101" s="96">
        <f t="shared" si="27"/>
        <v>48</v>
      </c>
    </row>
    <row r="102" spans="2:45" ht="15.75" customHeight="1">
      <c r="B102" s="168" t="s">
        <v>388</v>
      </c>
      <c r="C102" s="116" t="s">
        <v>380</v>
      </c>
      <c r="D102" s="120">
        <v>1</v>
      </c>
      <c r="E102" s="116" t="s">
        <v>377</v>
      </c>
      <c r="F102" s="119" t="s">
        <v>377</v>
      </c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69">
        <v>3</v>
      </c>
      <c r="T102" s="153">
        <v>6</v>
      </c>
      <c r="U102" s="153">
        <v>7</v>
      </c>
      <c r="V102" s="153">
        <v>7</v>
      </c>
      <c r="W102" s="153">
        <v>5</v>
      </c>
      <c r="X102" s="153">
        <v>4</v>
      </c>
      <c r="Y102" s="153">
        <v>6</v>
      </c>
      <c r="Z102" s="153">
        <v>7</v>
      </c>
      <c r="AA102" s="153">
        <v>2</v>
      </c>
      <c r="AB102" s="153">
        <v>13</v>
      </c>
      <c r="AC102" s="153">
        <v>8</v>
      </c>
      <c r="AD102" s="170">
        <v>7</v>
      </c>
      <c r="AE102" s="169">
        <v>6</v>
      </c>
      <c r="AF102" s="153">
        <v>4</v>
      </c>
      <c r="AG102" s="153">
        <v>7</v>
      </c>
      <c r="AH102" s="153">
        <v>6</v>
      </c>
      <c r="AI102" s="153">
        <v>6</v>
      </c>
      <c r="AJ102" s="153">
        <v>5</v>
      </c>
      <c r="AK102" s="153">
        <v>4</v>
      </c>
      <c r="AL102" s="153">
        <v>5</v>
      </c>
      <c r="AM102" s="153">
        <v>1</v>
      </c>
      <c r="AN102" s="153">
        <v>10</v>
      </c>
      <c r="AO102" s="153">
        <v>9</v>
      </c>
      <c r="AP102" s="170">
        <v>6</v>
      </c>
      <c r="AQ102" s="118"/>
      <c r="AR102" s="96">
        <f t="shared" si="26"/>
        <v>75</v>
      </c>
      <c r="AS102" s="96">
        <f t="shared" si="27"/>
        <v>69</v>
      </c>
    </row>
    <row r="103" spans="2:45" ht="15.75" customHeight="1">
      <c r="B103" s="168" t="s">
        <v>388</v>
      </c>
      <c r="C103" s="116" t="s">
        <v>381</v>
      </c>
      <c r="D103" s="120">
        <v>2</v>
      </c>
      <c r="E103" s="116" t="s">
        <v>377</v>
      </c>
      <c r="F103" s="119" t="s">
        <v>377</v>
      </c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69">
        <v>0</v>
      </c>
      <c r="T103" s="153">
        <v>0</v>
      </c>
      <c r="U103" s="153">
        <v>0</v>
      </c>
      <c r="V103" s="153">
        <v>1</v>
      </c>
      <c r="W103" s="153">
        <v>0</v>
      </c>
      <c r="X103" s="153">
        <v>2</v>
      </c>
      <c r="Y103" s="153">
        <v>1</v>
      </c>
      <c r="Z103" s="153">
        <v>0</v>
      </c>
      <c r="AA103" s="153">
        <v>1</v>
      </c>
      <c r="AB103" s="153">
        <v>6</v>
      </c>
      <c r="AC103" s="153">
        <v>7</v>
      </c>
      <c r="AD103" s="170">
        <v>5</v>
      </c>
      <c r="AE103" s="169">
        <v>2</v>
      </c>
      <c r="AF103" s="153">
        <v>4</v>
      </c>
      <c r="AG103" s="153">
        <v>6</v>
      </c>
      <c r="AH103" s="153">
        <v>8</v>
      </c>
      <c r="AI103" s="153">
        <v>7</v>
      </c>
      <c r="AJ103" s="153">
        <v>3</v>
      </c>
      <c r="AK103" s="153">
        <v>4</v>
      </c>
      <c r="AL103" s="153">
        <v>4</v>
      </c>
      <c r="AM103" s="153">
        <v>5</v>
      </c>
      <c r="AN103" s="153">
        <v>8</v>
      </c>
      <c r="AO103" s="153">
        <v>11</v>
      </c>
      <c r="AP103" s="170">
        <v>8</v>
      </c>
      <c r="AQ103" s="118"/>
      <c r="AR103" s="96">
        <f t="shared" si="26"/>
        <v>23</v>
      </c>
      <c r="AS103" s="96">
        <f t="shared" si="27"/>
        <v>70</v>
      </c>
    </row>
    <row r="104" spans="2:45" ht="15.75" customHeight="1">
      <c r="B104" s="168" t="s">
        <v>388</v>
      </c>
      <c r="C104" s="116" t="s">
        <v>382</v>
      </c>
      <c r="D104" s="120">
        <v>2</v>
      </c>
      <c r="E104" s="116" t="s">
        <v>377</v>
      </c>
      <c r="F104" s="119" t="s">
        <v>377</v>
      </c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69">
        <v>15</v>
      </c>
      <c r="T104" s="153">
        <v>19</v>
      </c>
      <c r="U104" s="153">
        <v>20</v>
      </c>
      <c r="V104" s="153">
        <v>20</v>
      </c>
      <c r="W104" s="153">
        <v>12</v>
      </c>
      <c r="X104" s="153">
        <v>10</v>
      </c>
      <c r="Y104" s="153">
        <v>8</v>
      </c>
      <c r="Z104" s="153">
        <v>9</v>
      </c>
      <c r="AA104" s="153">
        <v>15</v>
      </c>
      <c r="AB104" s="153">
        <v>27</v>
      </c>
      <c r="AC104" s="153">
        <v>25</v>
      </c>
      <c r="AD104" s="170">
        <v>14</v>
      </c>
      <c r="AE104" s="169">
        <v>9</v>
      </c>
      <c r="AF104" s="153">
        <v>14</v>
      </c>
      <c r="AG104" s="153">
        <v>17</v>
      </c>
      <c r="AH104" s="153">
        <v>13</v>
      </c>
      <c r="AI104" s="153">
        <v>17</v>
      </c>
      <c r="AJ104" s="153">
        <v>20</v>
      </c>
      <c r="AK104" s="153">
        <v>11</v>
      </c>
      <c r="AL104" s="153">
        <v>11</v>
      </c>
      <c r="AM104" s="153">
        <v>12</v>
      </c>
      <c r="AN104" s="153">
        <v>19</v>
      </c>
      <c r="AO104" s="153">
        <v>24</v>
      </c>
      <c r="AP104" s="170">
        <v>12</v>
      </c>
      <c r="AQ104" s="118"/>
      <c r="AR104" s="96">
        <f t="shared" ref="AR104:AR167" si="28">SUM(S104:AD104)</f>
        <v>194</v>
      </c>
      <c r="AS104" s="96">
        <f t="shared" si="27"/>
        <v>179</v>
      </c>
    </row>
    <row r="105" spans="2:45" ht="15.75" customHeight="1">
      <c r="B105" s="168" t="s">
        <v>388</v>
      </c>
      <c r="C105" s="116" t="s">
        <v>383</v>
      </c>
      <c r="D105" s="120">
        <v>1</v>
      </c>
      <c r="E105" s="116" t="s">
        <v>377</v>
      </c>
      <c r="F105" s="119" t="s">
        <v>377</v>
      </c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69">
        <v>0</v>
      </c>
      <c r="T105" s="153">
        <v>0</v>
      </c>
      <c r="U105" s="153">
        <v>0</v>
      </c>
      <c r="V105" s="153">
        <v>0</v>
      </c>
      <c r="W105" s="153">
        <v>0</v>
      </c>
      <c r="X105" s="153">
        <v>0</v>
      </c>
      <c r="Y105" s="153">
        <v>0</v>
      </c>
      <c r="Z105" s="153">
        <v>0</v>
      </c>
      <c r="AA105" s="153">
        <v>0</v>
      </c>
      <c r="AB105" s="153">
        <v>0</v>
      </c>
      <c r="AC105" s="153">
        <v>0</v>
      </c>
      <c r="AD105" s="170">
        <v>0</v>
      </c>
      <c r="AE105" s="169">
        <v>0</v>
      </c>
      <c r="AF105" s="153">
        <v>0</v>
      </c>
      <c r="AG105" s="153">
        <v>0</v>
      </c>
      <c r="AH105" s="153">
        <v>0</v>
      </c>
      <c r="AI105" s="153">
        <v>2</v>
      </c>
      <c r="AJ105" s="153">
        <v>0</v>
      </c>
      <c r="AK105" s="153">
        <v>0</v>
      </c>
      <c r="AL105" s="153">
        <v>0</v>
      </c>
      <c r="AM105" s="153">
        <v>2</v>
      </c>
      <c r="AN105" s="153">
        <v>2</v>
      </c>
      <c r="AO105" s="153">
        <v>0</v>
      </c>
      <c r="AP105" s="170">
        <v>2</v>
      </c>
      <c r="AQ105" s="118"/>
      <c r="AR105" s="96">
        <f t="shared" si="28"/>
        <v>0</v>
      </c>
      <c r="AS105" s="96">
        <f t="shared" ref="AS105:AS168" si="29">SUM(AE105:AP105)</f>
        <v>8</v>
      </c>
    </row>
    <row r="106" spans="2:45" ht="15.75" customHeight="1">
      <c r="B106" s="168" t="s">
        <v>388</v>
      </c>
      <c r="C106" s="116" t="s">
        <v>384</v>
      </c>
      <c r="D106" s="120">
        <v>1</v>
      </c>
      <c r="E106" s="116" t="s">
        <v>385</v>
      </c>
      <c r="F106" s="119" t="s">
        <v>385</v>
      </c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69">
        <v>14</v>
      </c>
      <c r="T106" s="153">
        <v>15</v>
      </c>
      <c r="U106" s="153">
        <v>21</v>
      </c>
      <c r="V106" s="153">
        <v>20</v>
      </c>
      <c r="W106" s="153">
        <v>23</v>
      </c>
      <c r="X106" s="153">
        <v>22</v>
      </c>
      <c r="Y106" s="153">
        <v>20</v>
      </c>
      <c r="Z106" s="153">
        <v>23</v>
      </c>
      <c r="AA106" s="153">
        <v>25</v>
      </c>
      <c r="AB106" s="153">
        <v>27</v>
      </c>
      <c r="AC106" s="153">
        <v>25</v>
      </c>
      <c r="AD106" s="170">
        <v>19</v>
      </c>
      <c r="AE106" s="169">
        <v>12</v>
      </c>
      <c r="AF106" s="153">
        <v>11</v>
      </c>
      <c r="AG106" s="153">
        <v>17</v>
      </c>
      <c r="AH106" s="153">
        <v>18</v>
      </c>
      <c r="AI106" s="153">
        <v>28</v>
      </c>
      <c r="AJ106" s="153">
        <v>27</v>
      </c>
      <c r="AK106" s="153">
        <v>15</v>
      </c>
      <c r="AL106" s="153">
        <v>21</v>
      </c>
      <c r="AM106" s="153">
        <v>21</v>
      </c>
      <c r="AN106" s="153">
        <v>21</v>
      </c>
      <c r="AO106" s="153">
        <v>23</v>
      </c>
      <c r="AP106" s="170">
        <v>15</v>
      </c>
      <c r="AQ106" s="118"/>
      <c r="AR106" s="96">
        <f t="shared" si="28"/>
        <v>254</v>
      </c>
      <c r="AS106" s="96">
        <f t="shared" si="29"/>
        <v>229</v>
      </c>
    </row>
    <row r="107" spans="2:45" ht="15.75" customHeight="1">
      <c r="B107" s="171" t="s">
        <v>388</v>
      </c>
      <c r="C107" s="172" t="s">
        <v>386</v>
      </c>
      <c r="D107" s="173">
        <v>1</v>
      </c>
      <c r="E107" s="174" t="s">
        <v>348</v>
      </c>
      <c r="F107" s="175" t="s">
        <v>363</v>
      </c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7">
        <v>0</v>
      </c>
      <c r="T107" s="176">
        <v>0</v>
      </c>
      <c r="U107" s="176">
        <v>0</v>
      </c>
      <c r="V107" s="176">
        <v>0</v>
      </c>
      <c r="W107" s="176">
        <v>0</v>
      </c>
      <c r="X107" s="176">
        <v>0</v>
      </c>
      <c r="Y107" s="176">
        <v>0</v>
      </c>
      <c r="Z107" s="176">
        <v>0</v>
      </c>
      <c r="AA107" s="176">
        <v>0</v>
      </c>
      <c r="AB107" s="176">
        <v>0</v>
      </c>
      <c r="AC107" s="176">
        <v>0</v>
      </c>
      <c r="AD107" s="178">
        <v>0</v>
      </c>
      <c r="AE107" s="177">
        <v>0</v>
      </c>
      <c r="AF107" s="176">
        <v>0</v>
      </c>
      <c r="AG107" s="176">
        <v>0</v>
      </c>
      <c r="AH107" s="176">
        <v>0</v>
      </c>
      <c r="AI107" s="176">
        <v>0</v>
      </c>
      <c r="AJ107" s="176">
        <v>1</v>
      </c>
      <c r="AK107" s="176">
        <v>0</v>
      </c>
      <c r="AL107" s="176">
        <v>0</v>
      </c>
      <c r="AM107" s="176">
        <v>2</v>
      </c>
      <c r="AN107" s="176">
        <v>0</v>
      </c>
      <c r="AO107" s="176">
        <v>1</v>
      </c>
      <c r="AP107" s="178">
        <v>0</v>
      </c>
      <c r="AQ107" s="118"/>
      <c r="AR107" s="96">
        <f t="shared" si="28"/>
        <v>0</v>
      </c>
      <c r="AS107" s="96">
        <f t="shared" si="29"/>
        <v>4</v>
      </c>
    </row>
    <row r="108" spans="2:45" ht="15.75" customHeight="1">
      <c r="B108" s="168" t="s">
        <v>249</v>
      </c>
      <c r="C108" s="116" t="s">
        <v>347</v>
      </c>
      <c r="D108" s="120">
        <v>1</v>
      </c>
      <c r="E108" s="116" t="s">
        <v>348</v>
      </c>
      <c r="F108" s="119" t="s">
        <v>349</v>
      </c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69">
        <v>3</v>
      </c>
      <c r="T108" s="153">
        <v>2</v>
      </c>
      <c r="U108" s="153">
        <v>3</v>
      </c>
      <c r="V108" s="153">
        <v>6</v>
      </c>
      <c r="W108" s="153">
        <v>7</v>
      </c>
      <c r="X108" s="153">
        <v>5</v>
      </c>
      <c r="Y108" s="153">
        <v>4</v>
      </c>
      <c r="Z108" s="153">
        <v>1</v>
      </c>
      <c r="AA108" s="153">
        <v>2</v>
      </c>
      <c r="AB108" s="153">
        <v>5</v>
      </c>
      <c r="AC108" s="153">
        <v>8</v>
      </c>
      <c r="AD108" s="170">
        <v>3</v>
      </c>
      <c r="AE108" s="169">
        <v>4</v>
      </c>
      <c r="AF108" s="153">
        <v>0</v>
      </c>
      <c r="AG108" s="153">
        <v>6</v>
      </c>
      <c r="AH108" s="153">
        <v>3</v>
      </c>
      <c r="AI108" s="153">
        <v>3</v>
      </c>
      <c r="AJ108" s="153">
        <v>1</v>
      </c>
      <c r="AK108" s="153">
        <v>2</v>
      </c>
      <c r="AL108" s="153">
        <v>2</v>
      </c>
      <c r="AM108" s="153">
        <v>1</v>
      </c>
      <c r="AN108" s="153">
        <v>7</v>
      </c>
      <c r="AO108" s="153">
        <v>6</v>
      </c>
      <c r="AP108" s="153">
        <v>3</v>
      </c>
      <c r="AQ108" s="118"/>
      <c r="AR108" s="96">
        <f t="shared" si="28"/>
        <v>49</v>
      </c>
      <c r="AS108" s="96">
        <f t="shared" si="29"/>
        <v>38</v>
      </c>
    </row>
    <row r="109" spans="2:45" ht="15.75" customHeight="1">
      <c r="B109" s="168" t="s">
        <v>249</v>
      </c>
      <c r="C109" s="116" t="s">
        <v>350</v>
      </c>
      <c r="D109" s="120">
        <v>2</v>
      </c>
      <c r="E109" s="116" t="s">
        <v>348</v>
      </c>
      <c r="F109" s="119" t="s">
        <v>349</v>
      </c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69">
        <v>0</v>
      </c>
      <c r="T109" s="153">
        <v>3</v>
      </c>
      <c r="U109" s="153">
        <v>5</v>
      </c>
      <c r="V109" s="153">
        <v>5</v>
      </c>
      <c r="W109" s="153">
        <v>2</v>
      </c>
      <c r="X109" s="153">
        <v>4</v>
      </c>
      <c r="Y109" s="153">
        <v>4</v>
      </c>
      <c r="Z109" s="153">
        <v>2</v>
      </c>
      <c r="AA109" s="153">
        <v>6</v>
      </c>
      <c r="AB109" s="153">
        <v>5</v>
      </c>
      <c r="AC109" s="153">
        <v>4</v>
      </c>
      <c r="AD109" s="170">
        <v>3</v>
      </c>
      <c r="AE109" s="169">
        <v>4</v>
      </c>
      <c r="AF109" s="153">
        <v>0</v>
      </c>
      <c r="AG109" s="153">
        <v>1</v>
      </c>
      <c r="AH109" s="153">
        <v>3</v>
      </c>
      <c r="AI109" s="153">
        <v>3</v>
      </c>
      <c r="AJ109" s="153">
        <v>3</v>
      </c>
      <c r="AK109" s="153">
        <v>2</v>
      </c>
      <c r="AL109" s="153">
        <v>4</v>
      </c>
      <c r="AM109" s="153">
        <v>3</v>
      </c>
      <c r="AN109" s="153">
        <v>9</v>
      </c>
      <c r="AO109" s="153">
        <v>8</v>
      </c>
      <c r="AP109" s="153">
        <v>2</v>
      </c>
      <c r="AQ109" s="118"/>
      <c r="AR109" s="96">
        <f t="shared" si="28"/>
        <v>43</v>
      </c>
      <c r="AS109" s="96">
        <f t="shared" si="29"/>
        <v>42</v>
      </c>
    </row>
    <row r="110" spans="2:45" ht="15.75" customHeight="1">
      <c r="B110" s="168" t="s">
        <v>249</v>
      </c>
      <c r="C110" s="116" t="s">
        <v>351</v>
      </c>
      <c r="D110" s="120">
        <v>2</v>
      </c>
      <c r="E110" s="116" t="s">
        <v>348</v>
      </c>
      <c r="F110" s="119" t="s">
        <v>349</v>
      </c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69">
        <v>2</v>
      </c>
      <c r="T110" s="153">
        <v>4</v>
      </c>
      <c r="U110" s="153">
        <v>5</v>
      </c>
      <c r="V110" s="153">
        <v>7</v>
      </c>
      <c r="W110" s="153">
        <v>5</v>
      </c>
      <c r="X110" s="153">
        <v>13</v>
      </c>
      <c r="Y110" s="153">
        <v>5</v>
      </c>
      <c r="Z110" s="153">
        <v>2</v>
      </c>
      <c r="AA110" s="153">
        <v>3</v>
      </c>
      <c r="AB110" s="153">
        <v>11</v>
      </c>
      <c r="AC110" s="153">
        <v>8</v>
      </c>
      <c r="AD110" s="170">
        <v>6</v>
      </c>
      <c r="AE110" s="169">
        <v>3</v>
      </c>
      <c r="AF110" s="153">
        <v>2</v>
      </c>
      <c r="AG110" s="153">
        <v>3</v>
      </c>
      <c r="AH110" s="153">
        <v>4</v>
      </c>
      <c r="AI110" s="153">
        <v>9</v>
      </c>
      <c r="AJ110" s="153">
        <v>8</v>
      </c>
      <c r="AK110" s="153">
        <v>1</v>
      </c>
      <c r="AL110" s="153">
        <v>5</v>
      </c>
      <c r="AM110" s="153">
        <v>2</v>
      </c>
      <c r="AN110" s="153">
        <v>12</v>
      </c>
      <c r="AO110" s="153">
        <v>6</v>
      </c>
      <c r="AP110" s="153">
        <v>6</v>
      </c>
      <c r="AQ110" s="118"/>
      <c r="AR110" s="96">
        <f t="shared" si="28"/>
        <v>71</v>
      </c>
      <c r="AS110" s="96">
        <f t="shared" si="29"/>
        <v>61</v>
      </c>
    </row>
    <row r="111" spans="2:45" ht="15.75" customHeight="1">
      <c r="B111" s="168" t="s">
        <v>249</v>
      </c>
      <c r="C111" s="116" t="s">
        <v>352</v>
      </c>
      <c r="D111" s="120">
        <v>1</v>
      </c>
      <c r="E111" s="116" t="s">
        <v>348</v>
      </c>
      <c r="F111" s="119" t="s">
        <v>349</v>
      </c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69">
        <v>5</v>
      </c>
      <c r="T111" s="153">
        <v>6</v>
      </c>
      <c r="U111" s="153">
        <v>10</v>
      </c>
      <c r="V111" s="153">
        <v>6</v>
      </c>
      <c r="W111" s="153">
        <v>10</v>
      </c>
      <c r="X111" s="153">
        <v>13</v>
      </c>
      <c r="Y111" s="153">
        <v>4</v>
      </c>
      <c r="Z111" s="153">
        <v>8</v>
      </c>
      <c r="AA111" s="153">
        <v>6</v>
      </c>
      <c r="AB111" s="153">
        <v>12</v>
      </c>
      <c r="AC111" s="153">
        <v>12</v>
      </c>
      <c r="AD111" s="170">
        <v>7</v>
      </c>
      <c r="AE111" s="169">
        <v>9</v>
      </c>
      <c r="AF111" s="153">
        <v>8</v>
      </c>
      <c r="AG111" s="153">
        <v>11</v>
      </c>
      <c r="AH111" s="153">
        <v>8</v>
      </c>
      <c r="AI111" s="153">
        <v>11</v>
      </c>
      <c r="AJ111" s="153">
        <v>10</v>
      </c>
      <c r="AK111" s="153">
        <v>5</v>
      </c>
      <c r="AL111" s="153">
        <v>7</v>
      </c>
      <c r="AM111" s="153">
        <v>6</v>
      </c>
      <c r="AN111" s="153">
        <v>13</v>
      </c>
      <c r="AO111" s="153">
        <v>13</v>
      </c>
      <c r="AP111" s="153">
        <v>6</v>
      </c>
      <c r="AQ111" s="118"/>
      <c r="AR111" s="96">
        <f t="shared" si="28"/>
        <v>99</v>
      </c>
      <c r="AS111" s="96">
        <f t="shared" si="29"/>
        <v>107</v>
      </c>
    </row>
    <row r="112" spans="2:45" ht="15.75" customHeight="1">
      <c r="B112" s="168" t="s">
        <v>249</v>
      </c>
      <c r="C112" s="116" t="s">
        <v>353</v>
      </c>
      <c r="D112" s="120">
        <v>1</v>
      </c>
      <c r="E112" s="116" t="s">
        <v>348</v>
      </c>
      <c r="F112" s="119" t="s">
        <v>349</v>
      </c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69">
        <v>3</v>
      </c>
      <c r="T112" s="153">
        <v>3</v>
      </c>
      <c r="U112" s="153">
        <v>2</v>
      </c>
      <c r="V112" s="153">
        <v>5</v>
      </c>
      <c r="W112" s="153">
        <v>2</v>
      </c>
      <c r="X112" s="153">
        <v>3</v>
      </c>
      <c r="Y112" s="153">
        <v>2</v>
      </c>
      <c r="Z112" s="153">
        <v>2</v>
      </c>
      <c r="AA112" s="153">
        <v>2</v>
      </c>
      <c r="AB112" s="153">
        <v>5</v>
      </c>
      <c r="AC112" s="153">
        <v>4</v>
      </c>
      <c r="AD112" s="170">
        <v>0</v>
      </c>
      <c r="AE112" s="169">
        <v>1</v>
      </c>
      <c r="AF112" s="153">
        <v>2</v>
      </c>
      <c r="AG112" s="153">
        <v>1</v>
      </c>
      <c r="AH112" s="153">
        <v>4</v>
      </c>
      <c r="AI112" s="153">
        <v>3</v>
      </c>
      <c r="AJ112" s="153">
        <v>4</v>
      </c>
      <c r="AK112" s="153">
        <v>0</v>
      </c>
      <c r="AL112" s="153">
        <v>2</v>
      </c>
      <c r="AM112" s="153">
        <v>0</v>
      </c>
      <c r="AN112" s="153">
        <v>3</v>
      </c>
      <c r="AO112" s="153">
        <v>3</v>
      </c>
      <c r="AP112" s="153">
        <v>2</v>
      </c>
      <c r="AQ112" s="118"/>
      <c r="AR112" s="96">
        <f t="shared" si="28"/>
        <v>33</v>
      </c>
      <c r="AS112" s="96">
        <f t="shared" si="29"/>
        <v>25</v>
      </c>
    </row>
    <row r="113" spans="2:45" ht="15.75" customHeight="1">
      <c r="B113" s="168" t="s">
        <v>249</v>
      </c>
      <c r="C113" s="116" t="s">
        <v>354</v>
      </c>
      <c r="D113" s="120">
        <v>1</v>
      </c>
      <c r="E113" s="116" t="s">
        <v>348</v>
      </c>
      <c r="F113" s="119" t="s">
        <v>355</v>
      </c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69">
        <v>6</v>
      </c>
      <c r="T113" s="153">
        <v>6</v>
      </c>
      <c r="U113" s="153">
        <v>11</v>
      </c>
      <c r="V113" s="153">
        <v>7</v>
      </c>
      <c r="W113" s="153">
        <v>11</v>
      </c>
      <c r="X113" s="153">
        <v>15</v>
      </c>
      <c r="Y113" s="153">
        <v>16</v>
      </c>
      <c r="Z113" s="153">
        <v>9</v>
      </c>
      <c r="AA113" s="153">
        <v>10</v>
      </c>
      <c r="AB113" s="153">
        <v>13</v>
      </c>
      <c r="AC113" s="153">
        <v>10</v>
      </c>
      <c r="AD113" s="170">
        <v>3</v>
      </c>
      <c r="AE113" s="169">
        <v>6</v>
      </c>
      <c r="AF113" s="153">
        <v>9</v>
      </c>
      <c r="AG113" s="153">
        <v>7</v>
      </c>
      <c r="AH113" s="153">
        <v>7</v>
      </c>
      <c r="AI113" s="153">
        <v>10</v>
      </c>
      <c r="AJ113" s="153">
        <v>14</v>
      </c>
      <c r="AK113" s="153">
        <v>10</v>
      </c>
      <c r="AL113" s="153">
        <v>11</v>
      </c>
      <c r="AM113" s="153">
        <v>11</v>
      </c>
      <c r="AN113" s="153">
        <v>11</v>
      </c>
      <c r="AO113" s="153">
        <v>9</v>
      </c>
      <c r="AP113" s="153">
        <v>7</v>
      </c>
      <c r="AQ113" s="118"/>
      <c r="AR113" s="96">
        <f t="shared" si="28"/>
        <v>117</v>
      </c>
      <c r="AS113" s="96">
        <f t="shared" si="29"/>
        <v>112</v>
      </c>
    </row>
    <row r="114" spans="2:45" ht="15.75" customHeight="1">
      <c r="B114" s="168" t="s">
        <v>249</v>
      </c>
      <c r="C114" s="116" t="s">
        <v>356</v>
      </c>
      <c r="D114" s="120">
        <v>1</v>
      </c>
      <c r="E114" s="116" t="s">
        <v>348</v>
      </c>
      <c r="F114" s="119" t="s">
        <v>355</v>
      </c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69">
        <v>1</v>
      </c>
      <c r="T114" s="153">
        <v>1</v>
      </c>
      <c r="U114" s="153">
        <v>0</v>
      </c>
      <c r="V114" s="153">
        <v>3</v>
      </c>
      <c r="W114" s="153">
        <v>1</v>
      </c>
      <c r="X114" s="153">
        <v>2</v>
      </c>
      <c r="Y114" s="153">
        <v>2</v>
      </c>
      <c r="Z114" s="153">
        <v>4</v>
      </c>
      <c r="AA114" s="153">
        <v>3</v>
      </c>
      <c r="AB114" s="153">
        <v>10</v>
      </c>
      <c r="AC114" s="153">
        <v>8</v>
      </c>
      <c r="AD114" s="170">
        <v>2</v>
      </c>
      <c r="AE114" s="169">
        <v>3</v>
      </c>
      <c r="AF114" s="153">
        <v>5</v>
      </c>
      <c r="AG114" s="153">
        <v>6</v>
      </c>
      <c r="AH114" s="153">
        <v>4</v>
      </c>
      <c r="AI114" s="153">
        <v>1</v>
      </c>
      <c r="AJ114" s="153">
        <v>5</v>
      </c>
      <c r="AK114" s="153">
        <v>2</v>
      </c>
      <c r="AL114" s="153">
        <v>2</v>
      </c>
      <c r="AM114" s="153">
        <v>2</v>
      </c>
      <c r="AN114" s="153">
        <v>3</v>
      </c>
      <c r="AO114" s="153">
        <v>2</v>
      </c>
      <c r="AP114" s="153">
        <v>4</v>
      </c>
      <c r="AQ114" s="118"/>
      <c r="AR114" s="96">
        <f t="shared" si="28"/>
        <v>37</v>
      </c>
      <c r="AS114" s="96">
        <f t="shared" si="29"/>
        <v>39</v>
      </c>
    </row>
    <row r="115" spans="2:45" ht="15.75" customHeight="1">
      <c r="B115" s="168" t="s">
        <v>249</v>
      </c>
      <c r="C115" s="116" t="s">
        <v>357</v>
      </c>
      <c r="D115" s="120">
        <v>2</v>
      </c>
      <c r="E115" s="116" t="s">
        <v>348</v>
      </c>
      <c r="F115" s="119" t="s">
        <v>355</v>
      </c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69">
        <v>2</v>
      </c>
      <c r="T115" s="153">
        <v>2</v>
      </c>
      <c r="U115" s="153">
        <v>9</v>
      </c>
      <c r="V115" s="153">
        <v>10</v>
      </c>
      <c r="W115" s="153">
        <v>5</v>
      </c>
      <c r="X115" s="153">
        <v>8</v>
      </c>
      <c r="Y115" s="153">
        <v>3</v>
      </c>
      <c r="Z115" s="153">
        <v>6</v>
      </c>
      <c r="AA115" s="153">
        <v>6</v>
      </c>
      <c r="AB115" s="153">
        <v>13</v>
      </c>
      <c r="AC115" s="153">
        <v>16</v>
      </c>
      <c r="AD115" s="170">
        <v>6</v>
      </c>
      <c r="AE115" s="169">
        <v>4</v>
      </c>
      <c r="AF115" s="153">
        <v>3</v>
      </c>
      <c r="AG115" s="153">
        <v>7</v>
      </c>
      <c r="AH115" s="153">
        <v>4</v>
      </c>
      <c r="AI115" s="153">
        <v>10</v>
      </c>
      <c r="AJ115" s="153">
        <v>9</v>
      </c>
      <c r="AK115" s="153">
        <v>2</v>
      </c>
      <c r="AL115" s="153">
        <v>6</v>
      </c>
      <c r="AM115" s="153">
        <v>9</v>
      </c>
      <c r="AN115" s="153">
        <v>11</v>
      </c>
      <c r="AO115" s="153">
        <v>11</v>
      </c>
      <c r="AP115" s="153">
        <v>6</v>
      </c>
      <c r="AQ115" s="118"/>
      <c r="AR115" s="96">
        <f t="shared" si="28"/>
        <v>86</v>
      </c>
      <c r="AS115" s="96">
        <f t="shared" si="29"/>
        <v>82</v>
      </c>
    </row>
    <row r="116" spans="2:45" ht="15.75" customHeight="1">
      <c r="B116" s="168" t="s">
        <v>249</v>
      </c>
      <c r="C116" s="116" t="s">
        <v>358</v>
      </c>
      <c r="D116" s="120">
        <v>1</v>
      </c>
      <c r="E116" s="116" t="s">
        <v>348</v>
      </c>
      <c r="F116" s="119" t="s">
        <v>355</v>
      </c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69">
        <v>2</v>
      </c>
      <c r="T116" s="153">
        <v>1</v>
      </c>
      <c r="U116" s="153">
        <v>7</v>
      </c>
      <c r="V116" s="153">
        <v>11</v>
      </c>
      <c r="W116" s="153">
        <v>6</v>
      </c>
      <c r="X116" s="153">
        <v>5</v>
      </c>
      <c r="Y116" s="153">
        <v>3</v>
      </c>
      <c r="Z116" s="153">
        <v>8</v>
      </c>
      <c r="AA116" s="153">
        <v>9</v>
      </c>
      <c r="AB116" s="153">
        <v>8</v>
      </c>
      <c r="AC116" s="153">
        <v>12</v>
      </c>
      <c r="AD116" s="170">
        <v>7</v>
      </c>
      <c r="AE116" s="169">
        <v>3</v>
      </c>
      <c r="AF116" s="153">
        <v>5</v>
      </c>
      <c r="AG116" s="153">
        <v>5</v>
      </c>
      <c r="AH116" s="153">
        <v>7</v>
      </c>
      <c r="AI116" s="153">
        <v>13</v>
      </c>
      <c r="AJ116" s="153">
        <v>6</v>
      </c>
      <c r="AK116" s="153">
        <v>4</v>
      </c>
      <c r="AL116" s="153">
        <v>6</v>
      </c>
      <c r="AM116" s="153">
        <v>6</v>
      </c>
      <c r="AN116" s="153">
        <v>12</v>
      </c>
      <c r="AO116" s="153">
        <v>14</v>
      </c>
      <c r="AP116" s="153">
        <v>5</v>
      </c>
      <c r="AQ116" s="118"/>
      <c r="AR116" s="96">
        <f t="shared" si="28"/>
        <v>79</v>
      </c>
      <c r="AS116" s="96">
        <f t="shared" si="29"/>
        <v>86</v>
      </c>
    </row>
    <row r="117" spans="2:45" ht="15.75" customHeight="1">
      <c r="B117" s="168" t="s">
        <v>249</v>
      </c>
      <c r="C117" s="116" t="s">
        <v>359</v>
      </c>
      <c r="D117" s="120">
        <v>1</v>
      </c>
      <c r="E117" s="116" t="s">
        <v>348</v>
      </c>
      <c r="F117" s="119" t="s">
        <v>355</v>
      </c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69">
        <v>4</v>
      </c>
      <c r="T117" s="153">
        <v>5</v>
      </c>
      <c r="U117" s="153">
        <v>13</v>
      </c>
      <c r="V117" s="153">
        <v>16</v>
      </c>
      <c r="W117" s="153">
        <v>13</v>
      </c>
      <c r="X117" s="153">
        <v>15</v>
      </c>
      <c r="Y117" s="153">
        <v>9</v>
      </c>
      <c r="Z117" s="153">
        <v>11</v>
      </c>
      <c r="AA117" s="153">
        <v>11</v>
      </c>
      <c r="AB117" s="153">
        <v>15</v>
      </c>
      <c r="AC117" s="153">
        <v>16</v>
      </c>
      <c r="AD117" s="170">
        <v>11</v>
      </c>
      <c r="AE117" s="169">
        <v>4</v>
      </c>
      <c r="AF117" s="153">
        <v>6</v>
      </c>
      <c r="AG117" s="153">
        <v>12</v>
      </c>
      <c r="AH117" s="153">
        <v>12</v>
      </c>
      <c r="AI117" s="153">
        <v>13</v>
      </c>
      <c r="AJ117" s="153">
        <v>9</v>
      </c>
      <c r="AK117" s="153">
        <v>7</v>
      </c>
      <c r="AL117" s="153">
        <v>6</v>
      </c>
      <c r="AM117" s="153">
        <v>11</v>
      </c>
      <c r="AN117" s="153">
        <v>15</v>
      </c>
      <c r="AO117" s="153">
        <v>15</v>
      </c>
      <c r="AP117" s="153">
        <v>6</v>
      </c>
      <c r="AQ117" s="118"/>
      <c r="AR117" s="96">
        <f t="shared" si="28"/>
        <v>139</v>
      </c>
      <c r="AS117" s="96">
        <f t="shared" si="29"/>
        <v>116</v>
      </c>
    </row>
    <row r="118" spans="2:45" ht="15.75" customHeight="1">
      <c r="B118" s="168" t="s">
        <v>249</v>
      </c>
      <c r="C118" s="116" t="s">
        <v>360</v>
      </c>
      <c r="D118" s="120">
        <v>2</v>
      </c>
      <c r="E118" s="116" t="s">
        <v>348</v>
      </c>
      <c r="F118" s="119" t="s">
        <v>355</v>
      </c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69">
        <v>0</v>
      </c>
      <c r="T118" s="153">
        <v>0</v>
      </c>
      <c r="U118" s="153">
        <v>0</v>
      </c>
      <c r="V118" s="153">
        <v>0</v>
      </c>
      <c r="W118" s="153">
        <v>0</v>
      </c>
      <c r="X118" s="153">
        <v>0</v>
      </c>
      <c r="Y118" s="153">
        <v>0</v>
      </c>
      <c r="Z118" s="153">
        <v>0</v>
      </c>
      <c r="AA118" s="153">
        <v>0</v>
      </c>
      <c r="AB118" s="153">
        <v>0</v>
      </c>
      <c r="AC118" s="153">
        <v>0</v>
      </c>
      <c r="AD118" s="170">
        <v>0</v>
      </c>
      <c r="AE118" s="169">
        <v>0</v>
      </c>
      <c r="AF118" s="153">
        <v>0</v>
      </c>
      <c r="AG118" s="153">
        <v>3</v>
      </c>
      <c r="AH118" s="153">
        <v>5</v>
      </c>
      <c r="AI118" s="153">
        <v>4</v>
      </c>
      <c r="AJ118" s="153">
        <v>0</v>
      </c>
      <c r="AK118" s="153">
        <v>2</v>
      </c>
      <c r="AL118" s="153">
        <v>2</v>
      </c>
      <c r="AM118" s="153">
        <v>3</v>
      </c>
      <c r="AN118" s="153">
        <v>5</v>
      </c>
      <c r="AO118" s="153">
        <v>5</v>
      </c>
      <c r="AP118" s="153">
        <v>1</v>
      </c>
      <c r="AQ118" s="118"/>
      <c r="AR118" s="96">
        <f t="shared" si="28"/>
        <v>0</v>
      </c>
      <c r="AS118" s="96">
        <f t="shared" si="29"/>
        <v>30</v>
      </c>
    </row>
    <row r="119" spans="2:45" ht="15.75" customHeight="1">
      <c r="B119" s="168" t="s">
        <v>249</v>
      </c>
      <c r="C119" s="116" t="s">
        <v>361</v>
      </c>
      <c r="D119" s="120">
        <v>1</v>
      </c>
      <c r="E119" s="116" t="s">
        <v>348</v>
      </c>
      <c r="F119" s="119" t="s">
        <v>355</v>
      </c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69">
        <v>1</v>
      </c>
      <c r="T119" s="153">
        <v>1</v>
      </c>
      <c r="U119" s="153">
        <v>2</v>
      </c>
      <c r="V119" s="153">
        <v>2</v>
      </c>
      <c r="W119" s="153">
        <v>8</v>
      </c>
      <c r="X119" s="153">
        <v>6</v>
      </c>
      <c r="Y119" s="153">
        <v>0</v>
      </c>
      <c r="Z119" s="153">
        <v>1</v>
      </c>
      <c r="AA119" s="153">
        <v>4</v>
      </c>
      <c r="AB119" s="153">
        <v>8</v>
      </c>
      <c r="AC119" s="153">
        <v>7</v>
      </c>
      <c r="AD119" s="170">
        <v>6</v>
      </c>
      <c r="AE119" s="169">
        <v>0</v>
      </c>
      <c r="AF119" s="153">
        <v>1</v>
      </c>
      <c r="AG119" s="153">
        <v>3</v>
      </c>
      <c r="AH119" s="153">
        <v>6</v>
      </c>
      <c r="AI119" s="153">
        <v>8</v>
      </c>
      <c r="AJ119" s="153">
        <v>2</v>
      </c>
      <c r="AK119" s="153">
        <v>4</v>
      </c>
      <c r="AL119" s="153">
        <v>0</v>
      </c>
      <c r="AM119" s="153">
        <v>4</v>
      </c>
      <c r="AN119" s="153">
        <v>4</v>
      </c>
      <c r="AO119" s="153">
        <v>6</v>
      </c>
      <c r="AP119" s="153">
        <v>0</v>
      </c>
      <c r="AQ119" s="118"/>
      <c r="AR119" s="96">
        <f t="shared" si="28"/>
        <v>46</v>
      </c>
      <c r="AS119" s="96">
        <f t="shared" si="29"/>
        <v>38</v>
      </c>
    </row>
    <row r="120" spans="2:45" ht="15.75" customHeight="1">
      <c r="B120" s="168" t="s">
        <v>249</v>
      </c>
      <c r="C120" s="116" t="s">
        <v>362</v>
      </c>
      <c r="D120" s="120">
        <v>1</v>
      </c>
      <c r="E120" s="116" t="s">
        <v>348</v>
      </c>
      <c r="F120" s="119" t="s">
        <v>363</v>
      </c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69">
        <v>2</v>
      </c>
      <c r="T120" s="153">
        <v>4</v>
      </c>
      <c r="U120" s="153">
        <v>5</v>
      </c>
      <c r="V120" s="153">
        <v>8</v>
      </c>
      <c r="W120" s="153">
        <v>9</v>
      </c>
      <c r="X120" s="153">
        <v>5</v>
      </c>
      <c r="Y120" s="153">
        <v>2</v>
      </c>
      <c r="Z120" s="153">
        <v>5</v>
      </c>
      <c r="AA120" s="153">
        <v>5</v>
      </c>
      <c r="AB120" s="153">
        <v>6</v>
      </c>
      <c r="AC120" s="153">
        <v>7</v>
      </c>
      <c r="AD120" s="170">
        <v>4</v>
      </c>
      <c r="AE120" s="169">
        <v>7</v>
      </c>
      <c r="AF120" s="153">
        <v>4</v>
      </c>
      <c r="AG120" s="153">
        <v>6</v>
      </c>
      <c r="AH120" s="153">
        <v>5</v>
      </c>
      <c r="AI120" s="153">
        <v>5</v>
      </c>
      <c r="AJ120" s="153">
        <v>7</v>
      </c>
      <c r="AK120" s="153">
        <v>3</v>
      </c>
      <c r="AL120" s="153">
        <v>4</v>
      </c>
      <c r="AM120" s="153">
        <v>3</v>
      </c>
      <c r="AN120" s="153">
        <v>10</v>
      </c>
      <c r="AO120" s="153">
        <v>6</v>
      </c>
      <c r="AP120" s="153">
        <v>5</v>
      </c>
      <c r="AQ120" s="118"/>
      <c r="AR120" s="96">
        <f t="shared" si="28"/>
        <v>62</v>
      </c>
      <c r="AS120" s="96">
        <f t="shared" si="29"/>
        <v>65</v>
      </c>
    </row>
    <row r="121" spans="2:45" ht="15.75" customHeight="1">
      <c r="B121" s="168" t="s">
        <v>249</v>
      </c>
      <c r="C121" s="116" t="s">
        <v>364</v>
      </c>
      <c r="D121" s="120">
        <v>1</v>
      </c>
      <c r="E121" s="116" t="s">
        <v>348</v>
      </c>
      <c r="F121" s="119" t="s">
        <v>363</v>
      </c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69">
        <v>2</v>
      </c>
      <c r="T121" s="153">
        <v>3</v>
      </c>
      <c r="U121" s="153">
        <v>3</v>
      </c>
      <c r="V121" s="153">
        <v>6</v>
      </c>
      <c r="W121" s="153">
        <v>6</v>
      </c>
      <c r="X121" s="153">
        <v>3</v>
      </c>
      <c r="Y121" s="153">
        <v>4</v>
      </c>
      <c r="Z121" s="153">
        <v>4</v>
      </c>
      <c r="AA121" s="153">
        <v>8</v>
      </c>
      <c r="AB121" s="153">
        <v>5</v>
      </c>
      <c r="AC121" s="153">
        <v>9</v>
      </c>
      <c r="AD121" s="170">
        <v>2</v>
      </c>
      <c r="AE121" s="169">
        <v>4</v>
      </c>
      <c r="AF121" s="153">
        <v>1</v>
      </c>
      <c r="AG121" s="153">
        <v>3</v>
      </c>
      <c r="AH121" s="153">
        <v>5</v>
      </c>
      <c r="AI121" s="153">
        <v>5</v>
      </c>
      <c r="AJ121" s="153">
        <v>6</v>
      </c>
      <c r="AK121" s="153">
        <v>2</v>
      </c>
      <c r="AL121" s="153">
        <v>4</v>
      </c>
      <c r="AM121" s="153">
        <v>6</v>
      </c>
      <c r="AN121" s="153">
        <v>6</v>
      </c>
      <c r="AO121" s="153">
        <v>3</v>
      </c>
      <c r="AP121" s="153">
        <v>4</v>
      </c>
      <c r="AQ121" s="118"/>
      <c r="AR121" s="96">
        <f t="shared" si="28"/>
        <v>55</v>
      </c>
      <c r="AS121" s="96">
        <f t="shared" si="29"/>
        <v>49</v>
      </c>
    </row>
    <row r="122" spans="2:45" ht="15.75" customHeight="1">
      <c r="B122" s="168" t="s">
        <v>249</v>
      </c>
      <c r="C122" s="116" t="s">
        <v>365</v>
      </c>
      <c r="D122" s="120">
        <v>1</v>
      </c>
      <c r="E122" s="116" t="s">
        <v>348</v>
      </c>
      <c r="F122" s="119" t="s">
        <v>363</v>
      </c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69">
        <v>9</v>
      </c>
      <c r="T122" s="153">
        <v>6</v>
      </c>
      <c r="U122" s="153">
        <v>9</v>
      </c>
      <c r="V122" s="153">
        <v>9</v>
      </c>
      <c r="W122" s="153">
        <v>11</v>
      </c>
      <c r="X122" s="153">
        <v>9</v>
      </c>
      <c r="Y122" s="153">
        <v>5</v>
      </c>
      <c r="Z122" s="153">
        <v>12</v>
      </c>
      <c r="AA122" s="153">
        <v>8</v>
      </c>
      <c r="AB122" s="153">
        <v>13</v>
      </c>
      <c r="AC122" s="153">
        <v>12</v>
      </c>
      <c r="AD122" s="170">
        <v>13</v>
      </c>
      <c r="AE122" s="169">
        <v>4</v>
      </c>
      <c r="AF122" s="153">
        <v>9</v>
      </c>
      <c r="AG122" s="153">
        <v>10</v>
      </c>
      <c r="AH122" s="153">
        <v>9</v>
      </c>
      <c r="AI122" s="153">
        <v>11</v>
      </c>
      <c r="AJ122" s="153">
        <v>12</v>
      </c>
      <c r="AK122" s="153">
        <v>9</v>
      </c>
      <c r="AL122" s="153">
        <v>7</v>
      </c>
      <c r="AM122" s="153">
        <v>8</v>
      </c>
      <c r="AN122" s="153">
        <v>16</v>
      </c>
      <c r="AO122" s="153">
        <v>8</v>
      </c>
      <c r="AP122" s="153">
        <v>5</v>
      </c>
      <c r="AQ122" s="118"/>
      <c r="AR122" s="96">
        <f t="shared" si="28"/>
        <v>116</v>
      </c>
      <c r="AS122" s="96">
        <f t="shared" si="29"/>
        <v>108</v>
      </c>
    </row>
    <row r="123" spans="2:45" ht="15.75" customHeight="1">
      <c r="B123" s="168" t="s">
        <v>249</v>
      </c>
      <c r="C123" s="116" t="s">
        <v>366</v>
      </c>
      <c r="D123" s="120">
        <v>1</v>
      </c>
      <c r="E123" s="116" t="s">
        <v>348</v>
      </c>
      <c r="F123" s="119" t="s">
        <v>363</v>
      </c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69">
        <v>1</v>
      </c>
      <c r="T123" s="153">
        <v>2</v>
      </c>
      <c r="U123" s="153">
        <v>6</v>
      </c>
      <c r="V123" s="153">
        <v>3</v>
      </c>
      <c r="W123" s="153">
        <v>3</v>
      </c>
      <c r="X123" s="153">
        <v>5</v>
      </c>
      <c r="Y123" s="153">
        <v>3</v>
      </c>
      <c r="Z123" s="153">
        <v>5</v>
      </c>
      <c r="AA123" s="153">
        <v>4</v>
      </c>
      <c r="AB123" s="153">
        <v>8</v>
      </c>
      <c r="AC123" s="153">
        <v>7</v>
      </c>
      <c r="AD123" s="170">
        <v>2</v>
      </c>
      <c r="AE123" s="169">
        <v>1</v>
      </c>
      <c r="AF123" s="153">
        <v>3</v>
      </c>
      <c r="AG123" s="153">
        <v>3</v>
      </c>
      <c r="AH123" s="153">
        <v>4</v>
      </c>
      <c r="AI123" s="153">
        <v>3</v>
      </c>
      <c r="AJ123" s="153">
        <v>3</v>
      </c>
      <c r="AK123" s="153">
        <v>1</v>
      </c>
      <c r="AL123" s="153">
        <v>1</v>
      </c>
      <c r="AM123" s="153">
        <v>2</v>
      </c>
      <c r="AN123" s="153">
        <v>8</v>
      </c>
      <c r="AO123" s="153">
        <v>5</v>
      </c>
      <c r="AP123" s="153">
        <v>3</v>
      </c>
      <c r="AQ123" s="118"/>
      <c r="AR123" s="96">
        <f t="shared" si="28"/>
        <v>49</v>
      </c>
      <c r="AS123" s="96">
        <f t="shared" si="29"/>
        <v>37</v>
      </c>
    </row>
    <row r="124" spans="2:45" ht="15.75" customHeight="1">
      <c r="B124" s="168" t="s">
        <v>249</v>
      </c>
      <c r="C124" s="116" t="s">
        <v>367</v>
      </c>
      <c r="D124" s="120">
        <v>1</v>
      </c>
      <c r="E124" s="116" t="s">
        <v>348</v>
      </c>
      <c r="F124" s="119" t="s">
        <v>363</v>
      </c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69">
        <v>8</v>
      </c>
      <c r="T124" s="153">
        <v>3</v>
      </c>
      <c r="U124" s="153">
        <v>2</v>
      </c>
      <c r="V124" s="153">
        <v>7</v>
      </c>
      <c r="W124" s="153">
        <v>5</v>
      </c>
      <c r="X124" s="153">
        <v>4</v>
      </c>
      <c r="Y124" s="153">
        <v>2</v>
      </c>
      <c r="Z124" s="153">
        <v>5</v>
      </c>
      <c r="AA124" s="153">
        <v>4</v>
      </c>
      <c r="AB124" s="153">
        <v>10</v>
      </c>
      <c r="AC124" s="153">
        <v>4</v>
      </c>
      <c r="AD124" s="170">
        <v>6</v>
      </c>
      <c r="AE124" s="169">
        <v>5</v>
      </c>
      <c r="AF124" s="153">
        <v>0</v>
      </c>
      <c r="AG124" s="153">
        <v>4</v>
      </c>
      <c r="AH124" s="153">
        <v>4</v>
      </c>
      <c r="AI124" s="153">
        <v>6</v>
      </c>
      <c r="AJ124" s="153">
        <v>2</v>
      </c>
      <c r="AK124" s="153">
        <v>0</v>
      </c>
      <c r="AL124" s="153">
        <v>3</v>
      </c>
      <c r="AM124" s="153">
        <v>1</v>
      </c>
      <c r="AN124" s="153">
        <v>6</v>
      </c>
      <c r="AO124" s="153">
        <v>1</v>
      </c>
      <c r="AP124" s="153">
        <v>1</v>
      </c>
      <c r="AQ124" s="118"/>
      <c r="AR124" s="96">
        <f t="shared" si="28"/>
        <v>60</v>
      </c>
      <c r="AS124" s="96">
        <f t="shared" si="29"/>
        <v>33</v>
      </c>
    </row>
    <row r="125" spans="2:45" ht="15.75" customHeight="1">
      <c r="B125" s="168" t="s">
        <v>249</v>
      </c>
      <c r="C125" s="116" t="s">
        <v>368</v>
      </c>
      <c r="D125" s="120">
        <v>2</v>
      </c>
      <c r="E125" s="116" t="s">
        <v>369</v>
      </c>
      <c r="F125" s="119" t="s">
        <v>369</v>
      </c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69">
        <v>3</v>
      </c>
      <c r="T125" s="153">
        <v>7</v>
      </c>
      <c r="U125" s="153">
        <v>20</v>
      </c>
      <c r="V125" s="153">
        <v>20</v>
      </c>
      <c r="W125" s="153">
        <v>13</v>
      </c>
      <c r="X125" s="153">
        <v>9</v>
      </c>
      <c r="Y125" s="153">
        <v>5</v>
      </c>
      <c r="Z125" s="153">
        <v>5</v>
      </c>
      <c r="AA125" s="153">
        <v>8</v>
      </c>
      <c r="AB125" s="153">
        <v>26</v>
      </c>
      <c r="AC125" s="153">
        <v>27</v>
      </c>
      <c r="AD125" s="170">
        <v>11</v>
      </c>
      <c r="AE125" s="169">
        <v>4</v>
      </c>
      <c r="AF125" s="153">
        <v>1</v>
      </c>
      <c r="AG125" s="153">
        <v>13</v>
      </c>
      <c r="AH125" s="153">
        <v>10</v>
      </c>
      <c r="AI125" s="153">
        <v>12</v>
      </c>
      <c r="AJ125" s="153">
        <v>5</v>
      </c>
      <c r="AK125" s="153">
        <v>6</v>
      </c>
      <c r="AL125" s="153">
        <v>4</v>
      </c>
      <c r="AM125" s="153">
        <v>8</v>
      </c>
      <c r="AN125" s="153">
        <v>17</v>
      </c>
      <c r="AO125" s="153">
        <v>18</v>
      </c>
      <c r="AP125" s="153">
        <v>0</v>
      </c>
      <c r="AQ125" s="118"/>
      <c r="AR125" s="96">
        <f t="shared" si="28"/>
        <v>154</v>
      </c>
      <c r="AS125" s="96">
        <f t="shared" si="29"/>
        <v>98</v>
      </c>
    </row>
    <row r="126" spans="2:45" ht="15.75" customHeight="1">
      <c r="B126" s="168" t="s">
        <v>249</v>
      </c>
      <c r="C126" s="116" t="s">
        <v>451</v>
      </c>
      <c r="D126" s="120">
        <v>1</v>
      </c>
      <c r="E126" s="116" t="s">
        <v>369</v>
      </c>
      <c r="F126" s="119" t="s">
        <v>369</v>
      </c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69">
        <v>6</v>
      </c>
      <c r="T126" s="153">
        <v>3</v>
      </c>
      <c r="U126" s="153">
        <v>12</v>
      </c>
      <c r="V126" s="153">
        <v>15</v>
      </c>
      <c r="W126" s="153">
        <v>11</v>
      </c>
      <c r="X126" s="153">
        <v>11</v>
      </c>
      <c r="Y126" s="153">
        <v>11</v>
      </c>
      <c r="Z126" s="153">
        <v>6</v>
      </c>
      <c r="AA126" s="153">
        <v>7</v>
      </c>
      <c r="AB126" s="153">
        <v>19</v>
      </c>
      <c r="AC126" s="153">
        <v>18</v>
      </c>
      <c r="AD126" s="170">
        <v>7</v>
      </c>
      <c r="AE126" s="169">
        <v>5</v>
      </c>
      <c r="AF126" s="153">
        <v>1</v>
      </c>
      <c r="AG126" s="153">
        <v>13</v>
      </c>
      <c r="AH126" s="153">
        <v>11</v>
      </c>
      <c r="AI126" s="153">
        <v>10</v>
      </c>
      <c r="AJ126" s="153">
        <v>5</v>
      </c>
      <c r="AK126" s="153">
        <v>4</v>
      </c>
      <c r="AL126" s="153">
        <v>5</v>
      </c>
      <c r="AM126" s="153">
        <v>4</v>
      </c>
      <c r="AN126" s="153">
        <v>9</v>
      </c>
      <c r="AO126" s="153">
        <v>11</v>
      </c>
      <c r="AP126" s="153">
        <v>3</v>
      </c>
      <c r="AQ126" s="118"/>
      <c r="AR126" s="96">
        <f t="shared" si="28"/>
        <v>126</v>
      </c>
      <c r="AS126" s="96">
        <f t="shared" si="29"/>
        <v>81</v>
      </c>
    </row>
    <row r="127" spans="2:45" ht="15.75" customHeight="1">
      <c r="B127" s="168" t="s">
        <v>249</v>
      </c>
      <c r="C127" s="116" t="s">
        <v>371</v>
      </c>
      <c r="D127" s="120">
        <v>2</v>
      </c>
      <c r="E127" s="116" t="s">
        <v>369</v>
      </c>
      <c r="F127" s="119" t="s">
        <v>369</v>
      </c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69">
        <v>0</v>
      </c>
      <c r="T127" s="153">
        <v>0</v>
      </c>
      <c r="U127" s="153">
        <v>0</v>
      </c>
      <c r="V127" s="153">
        <v>0</v>
      </c>
      <c r="W127" s="153">
        <v>0</v>
      </c>
      <c r="X127" s="153">
        <v>0</v>
      </c>
      <c r="Y127" s="153">
        <v>0</v>
      </c>
      <c r="Z127" s="153">
        <v>0</v>
      </c>
      <c r="AA127" s="153">
        <v>0</v>
      </c>
      <c r="AB127" s="153">
        <v>0</v>
      </c>
      <c r="AC127" s="153">
        <v>0</v>
      </c>
      <c r="AD127" s="170">
        <v>0</v>
      </c>
      <c r="AE127" s="169">
        <v>0</v>
      </c>
      <c r="AF127" s="153">
        <v>0</v>
      </c>
      <c r="AG127" s="153">
        <v>0</v>
      </c>
      <c r="AH127" s="153">
        <v>0</v>
      </c>
      <c r="AI127" s="153">
        <v>0</v>
      </c>
      <c r="AJ127" s="153">
        <v>0</v>
      </c>
      <c r="AK127" s="153">
        <v>0</v>
      </c>
      <c r="AL127" s="153">
        <v>0</v>
      </c>
      <c r="AM127" s="153">
        <v>0</v>
      </c>
      <c r="AN127" s="153">
        <v>0</v>
      </c>
      <c r="AO127" s="153">
        <v>0</v>
      </c>
      <c r="AP127" s="153">
        <v>0</v>
      </c>
      <c r="AQ127" s="118"/>
      <c r="AR127" s="96">
        <f t="shared" si="28"/>
        <v>0</v>
      </c>
      <c r="AS127" s="96">
        <f t="shared" si="29"/>
        <v>0</v>
      </c>
    </row>
    <row r="128" spans="2:45" ht="15.75" customHeight="1">
      <c r="B128" s="168" t="s">
        <v>249</v>
      </c>
      <c r="C128" s="116" t="s">
        <v>372</v>
      </c>
      <c r="D128" s="120">
        <v>1</v>
      </c>
      <c r="E128" s="116" t="s">
        <v>369</v>
      </c>
      <c r="F128" s="119" t="s">
        <v>369</v>
      </c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69">
        <v>1</v>
      </c>
      <c r="T128" s="153">
        <v>4</v>
      </c>
      <c r="U128" s="153">
        <v>6</v>
      </c>
      <c r="V128" s="153">
        <v>7</v>
      </c>
      <c r="W128" s="153">
        <v>7</v>
      </c>
      <c r="X128" s="153">
        <v>2</v>
      </c>
      <c r="Y128" s="153">
        <v>0</v>
      </c>
      <c r="Z128" s="153">
        <v>1</v>
      </c>
      <c r="AA128" s="153">
        <v>2</v>
      </c>
      <c r="AB128" s="153">
        <v>12</v>
      </c>
      <c r="AC128" s="153">
        <v>10</v>
      </c>
      <c r="AD128" s="170">
        <v>5</v>
      </c>
      <c r="AE128" s="169">
        <v>5</v>
      </c>
      <c r="AF128" s="153">
        <v>2</v>
      </c>
      <c r="AG128" s="153">
        <v>2</v>
      </c>
      <c r="AH128" s="153">
        <v>1</v>
      </c>
      <c r="AI128" s="153">
        <v>5</v>
      </c>
      <c r="AJ128" s="153">
        <v>1</v>
      </c>
      <c r="AK128" s="153">
        <v>1</v>
      </c>
      <c r="AL128" s="153">
        <v>1</v>
      </c>
      <c r="AM128" s="153">
        <v>3</v>
      </c>
      <c r="AN128" s="153">
        <v>6</v>
      </c>
      <c r="AO128" s="153">
        <v>3</v>
      </c>
      <c r="AP128" s="153">
        <v>3</v>
      </c>
      <c r="AQ128" s="118"/>
      <c r="AR128" s="96">
        <f t="shared" si="28"/>
        <v>57</v>
      </c>
      <c r="AS128" s="96">
        <f t="shared" si="29"/>
        <v>33</v>
      </c>
    </row>
    <row r="129" spans="2:45" ht="15.75" customHeight="1">
      <c r="B129" s="168" t="s">
        <v>249</v>
      </c>
      <c r="C129" s="116" t="s">
        <v>373</v>
      </c>
      <c r="D129" s="120">
        <v>1</v>
      </c>
      <c r="E129" s="116" t="s">
        <v>369</v>
      </c>
      <c r="F129" s="119" t="s">
        <v>369</v>
      </c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69">
        <v>2</v>
      </c>
      <c r="T129" s="153">
        <v>1</v>
      </c>
      <c r="U129" s="153">
        <v>5</v>
      </c>
      <c r="V129" s="153">
        <v>12</v>
      </c>
      <c r="W129" s="153">
        <v>12</v>
      </c>
      <c r="X129" s="153">
        <v>10</v>
      </c>
      <c r="Y129" s="153">
        <v>4</v>
      </c>
      <c r="Z129" s="153">
        <v>0</v>
      </c>
      <c r="AA129" s="153">
        <v>11</v>
      </c>
      <c r="AB129" s="153">
        <v>16</v>
      </c>
      <c r="AC129" s="153">
        <v>17</v>
      </c>
      <c r="AD129" s="170">
        <v>8</v>
      </c>
      <c r="AE129" s="169">
        <v>2</v>
      </c>
      <c r="AF129" s="153">
        <v>2</v>
      </c>
      <c r="AG129" s="153">
        <v>12</v>
      </c>
      <c r="AH129" s="153">
        <v>7</v>
      </c>
      <c r="AI129" s="153">
        <v>6</v>
      </c>
      <c r="AJ129" s="153">
        <v>2</v>
      </c>
      <c r="AK129" s="153">
        <v>2</v>
      </c>
      <c r="AL129" s="153">
        <v>1</v>
      </c>
      <c r="AM129" s="153">
        <v>4</v>
      </c>
      <c r="AN129" s="153">
        <v>13</v>
      </c>
      <c r="AO129" s="153">
        <v>8</v>
      </c>
      <c r="AP129" s="153">
        <v>5</v>
      </c>
      <c r="AQ129" s="118"/>
      <c r="AR129" s="96">
        <f t="shared" si="28"/>
        <v>98</v>
      </c>
      <c r="AS129" s="96">
        <f t="shared" si="29"/>
        <v>64</v>
      </c>
    </row>
    <row r="130" spans="2:45" ht="15.75" customHeight="1">
      <c r="B130" s="168" t="s">
        <v>249</v>
      </c>
      <c r="C130" s="116" t="s">
        <v>374</v>
      </c>
      <c r="D130" s="120">
        <v>2</v>
      </c>
      <c r="E130" s="116" t="s">
        <v>369</v>
      </c>
      <c r="F130" s="119" t="s">
        <v>369</v>
      </c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69">
        <v>6</v>
      </c>
      <c r="T130" s="153">
        <v>5</v>
      </c>
      <c r="U130" s="153">
        <v>18</v>
      </c>
      <c r="V130" s="153">
        <v>10</v>
      </c>
      <c r="W130" s="153">
        <v>5</v>
      </c>
      <c r="X130" s="153">
        <v>6</v>
      </c>
      <c r="Y130" s="153">
        <v>4</v>
      </c>
      <c r="Z130" s="153">
        <v>4</v>
      </c>
      <c r="AA130" s="153">
        <v>9</v>
      </c>
      <c r="AB130" s="153">
        <v>19</v>
      </c>
      <c r="AC130" s="153">
        <v>24</v>
      </c>
      <c r="AD130" s="170">
        <v>12</v>
      </c>
      <c r="AE130" s="169">
        <v>1</v>
      </c>
      <c r="AF130" s="153">
        <v>3</v>
      </c>
      <c r="AG130" s="153">
        <v>5</v>
      </c>
      <c r="AH130" s="153">
        <v>7</v>
      </c>
      <c r="AI130" s="153">
        <v>6</v>
      </c>
      <c r="AJ130" s="153">
        <v>6</v>
      </c>
      <c r="AK130" s="153">
        <v>0</v>
      </c>
      <c r="AL130" s="153">
        <v>3</v>
      </c>
      <c r="AM130" s="153">
        <v>4</v>
      </c>
      <c r="AN130" s="153">
        <v>10</v>
      </c>
      <c r="AO130" s="153">
        <v>13</v>
      </c>
      <c r="AP130" s="153">
        <v>9</v>
      </c>
      <c r="AQ130" s="118"/>
      <c r="AR130" s="96">
        <f t="shared" si="28"/>
        <v>122</v>
      </c>
      <c r="AS130" s="96">
        <f t="shared" si="29"/>
        <v>67</v>
      </c>
    </row>
    <row r="131" spans="2:45" ht="15.75" customHeight="1">
      <c r="B131" s="168" t="s">
        <v>249</v>
      </c>
      <c r="C131" s="116" t="s">
        <v>375</v>
      </c>
      <c r="D131" s="120">
        <v>1</v>
      </c>
      <c r="E131" s="116" t="s">
        <v>369</v>
      </c>
      <c r="F131" s="119" t="s">
        <v>369</v>
      </c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69">
        <v>0</v>
      </c>
      <c r="T131" s="153">
        <v>0</v>
      </c>
      <c r="U131" s="153">
        <v>0</v>
      </c>
      <c r="V131" s="153">
        <v>0</v>
      </c>
      <c r="W131" s="153">
        <v>0</v>
      </c>
      <c r="X131" s="153">
        <v>0</v>
      </c>
      <c r="Y131" s="153">
        <v>0</v>
      </c>
      <c r="Z131" s="153">
        <v>0</v>
      </c>
      <c r="AA131" s="153">
        <v>0</v>
      </c>
      <c r="AB131" s="153">
        <v>2</v>
      </c>
      <c r="AC131" s="153">
        <v>5</v>
      </c>
      <c r="AD131" s="170">
        <v>0</v>
      </c>
      <c r="AE131" s="169">
        <v>2</v>
      </c>
      <c r="AF131" s="153">
        <v>1</v>
      </c>
      <c r="AG131" s="153">
        <v>7</v>
      </c>
      <c r="AH131" s="153">
        <v>2</v>
      </c>
      <c r="AI131" s="153">
        <v>3</v>
      </c>
      <c r="AJ131" s="153">
        <v>2</v>
      </c>
      <c r="AK131" s="153">
        <v>0</v>
      </c>
      <c r="AL131" s="153">
        <v>2</v>
      </c>
      <c r="AM131" s="153">
        <v>2</v>
      </c>
      <c r="AN131" s="153">
        <v>1</v>
      </c>
      <c r="AO131" s="153">
        <v>1</v>
      </c>
      <c r="AP131" s="153">
        <v>1</v>
      </c>
      <c r="AQ131" s="118"/>
      <c r="AR131" s="96">
        <f t="shared" si="28"/>
        <v>7</v>
      </c>
      <c r="AS131" s="96">
        <f t="shared" si="29"/>
        <v>24</v>
      </c>
    </row>
    <row r="132" spans="2:45" ht="15.75" customHeight="1">
      <c r="B132" s="168" t="s">
        <v>249</v>
      </c>
      <c r="C132" s="116" t="s">
        <v>376</v>
      </c>
      <c r="D132" s="120">
        <v>1</v>
      </c>
      <c r="E132" s="116" t="s">
        <v>377</v>
      </c>
      <c r="F132" s="119" t="s">
        <v>377</v>
      </c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69">
        <v>6</v>
      </c>
      <c r="T132" s="153">
        <v>9</v>
      </c>
      <c r="U132" s="153">
        <v>10</v>
      </c>
      <c r="V132" s="153">
        <v>5</v>
      </c>
      <c r="W132" s="153">
        <v>6</v>
      </c>
      <c r="X132" s="153">
        <v>5</v>
      </c>
      <c r="Y132" s="153">
        <v>9</v>
      </c>
      <c r="Z132" s="153">
        <v>4</v>
      </c>
      <c r="AA132" s="153">
        <v>3</v>
      </c>
      <c r="AB132" s="153">
        <v>9</v>
      </c>
      <c r="AC132" s="153">
        <v>10</v>
      </c>
      <c r="AD132" s="170">
        <v>8</v>
      </c>
      <c r="AE132" s="169">
        <v>6</v>
      </c>
      <c r="AF132" s="153">
        <v>6</v>
      </c>
      <c r="AG132" s="153">
        <v>10</v>
      </c>
      <c r="AH132" s="153">
        <v>7</v>
      </c>
      <c r="AI132" s="153">
        <v>10</v>
      </c>
      <c r="AJ132" s="153">
        <v>6</v>
      </c>
      <c r="AK132" s="153">
        <v>4</v>
      </c>
      <c r="AL132" s="153">
        <v>7</v>
      </c>
      <c r="AM132" s="153">
        <v>4</v>
      </c>
      <c r="AN132" s="153">
        <v>6</v>
      </c>
      <c r="AO132" s="153">
        <v>11</v>
      </c>
      <c r="AP132" s="153">
        <v>5</v>
      </c>
      <c r="AQ132" s="118"/>
      <c r="AR132" s="96">
        <f t="shared" si="28"/>
        <v>84</v>
      </c>
      <c r="AS132" s="96">
        <f t="shared" si="29"/>
        <v>82</v>
      </c>
    </row>
    <row r="133" spans="2:45" ht="15.75" customHeight="1">
      <c r="B133" s="168" t="s">
        <v>249</v>
      </c>
      <c r="C133" s="116" t="s">
        <v>378</v>
      </c>
      <c r="D133" s="120">
        <v>1</v>
      </c>
      <c r="E133" s="116" t="s">
        <v>377</v>
      </c>
      <c r="F133" s="119" t="s">
        <v>377</v>
      </c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69">
        <v>6</v>
      </c>
      <c r="T133" s="153">
        <v>9</v>
      </c>
      <c r="U133" s="153">
        <v>5</v>
      </c>
      <c r="V133" s="153">
        <v>5</v>
      </c>
      <c r="W133" s="153">
        <v>6</v>
      </c>
      <c r="X133" s="153">
        <v>5</v>
      </c>
      <c r="Y133" s="153">
        <v>5</v>
      </c>
      <c r="Z133" s="153">
        <v>6</v>
      </c>
      <c r="AA133" s="153">
        <v>1</v>
      </c>
      <c r="AB133" s="153">
        <v>6</v>
      </c>
      <c r="AC133" s="153">
        <v>5</v>
      </c>
      <c r="AD133" s="170">
        <v>8</v>
      </c>
      <c r="AE133" s="169">
        <v>2</v>
      </c>
      <c r="AF133" s="153">
        <v>7</v>
      </c>
      <c r="AG133" s="153">
        <v>5</v>
      </c>
      <c r="AH133" s="153">
        <v>4</v>
      </c>
      <c r="AI133" s="153">
        <v>6</v>
      </c>
      <c r="AJ133" s="153">
        <v>7</v>
      </c>
      <c r="AK133" s="153">
        <v>4</v>
      </c>
      <c r="AL133" s="153">
        <v>3</v>
      </c>
      <c r="AM133" s="153">
        <v>5</v>
      </c>
      <c r="AN133" s="153">
        <v>6</v>
      </c>
      <c r="AO133" s="153">
        <v>6</v>
      </c>
      <c r="AP133" s="153">
        <v>3</v>
      </c>
      <c r="AQ133" s="118"/>
      <c r="AR133" s="96">
        <f t="shared" si="28"/>
        <v>67</v>
      </c>
      <c r="AS133" s="96">
        <f t="shared" si="29"/>
        <v>58</v>
      </c>
    </row>
    <row r="134" spans="2:45" ht="15.75" customHeight="1">
      <c r="B134" s="168" t="s">
        <v>249</v>
      </c>
      <c r="C134" s="116" t="s">
        <v>452</v>
      </c>
      <c r="D134" s="120">
        <v>1</v>
      </c>
      <c r="E134" s="116" t="s">
        <v>377</v>
      </c>
      <c r="F134" s="119" t="s">
        <v>377</v>
      </c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69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70"/>
      <c r="AE134" s="169">
        <v>0</v>
      </c>
      <c r="AF134" s="153">
        <v>0</v>
      </c>
      <c r="AG134" s="153">
        <v>0</v>
      </c>
      <c r="AH134" s="153">
        <v>0</v>
      </c>
      <c r="AI134" s="153">
        <v>0</v>
      </c>
      <c r="AJ134" s="153">
        <v>0</v>
      </c>
      <c r="AK134" s="153">
        <v>0</v>
      </c>
      <c r="AL134" s="153">
        <v>0</v>
      </c>
      <c r="AM134" s="153">
        <v>0</v>
      </c>
      <c r="AN134" s="153">
        <v>0</v>
      </c>
      <c r="AO134" s="153">
        <v>0</v>
      </c>
      <c r="AP134" s="153">
        <v>0</v>
      </c>
      <c r="AQ134" s="118"/>
      <c r="AR134" s="96">
        <f t="shared" si="28"/>
        <v>0</v>
      </c>
      <c r="AS134" s="96">
        <f t="shared" si="29"/>
        <v>0</v>
      </c>
    </row>
    <row r="135" spans="2:45" ht="15.75" customHeight="1">
      <c r="B135" s="168" t="s">
        <v>249</v>
      </c>
      <c r="C135" s="116" t="s">
        <v>379</v>
      </c>
      <c r="D135" s="120">
        <v>1</v>
      </c>
      <c r="E135" s="116" t="s">
        <v>377</v>
      </c>
      <c r="F135" s="119" t="s">
        <v>377</v>
      </c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69">
        <v>6</v>
      </c>
      <c r="T135" s="153">
        <v>6</v>
      </c>
      <c r="U135" s="153">
        <v>4</v>
      </c>
      <c r="V135" s="153">
        <v>8</v>
      </c>
      <c r="W135" s="153">
        <v>5</v>
      </c>
      <c r="X135" s="153">
        <v>6</v>
      </c>
      <c r="Y135" s="153">
        <v>5</v>
      </c>
      <c r="Z135" s="153">
        <v>6</v>
      </c>
      <c r="AA135" s="153">
        <v>2</v>
      </c>
      <c r="AB135" s="153">
        <v>5</v>
      </c>
      <c r="AC135" s="153">
        <v>9</v>
      </c>
      <c r="AD135" s="170">
        <v>5</v>
      </c>
      <c r="AE135" s="169">
        <v>4</v>
      </c>
      <c r="AF135" s="153">
        <v>3</v>
      </c>
      <c r="AG135" s="153">
        <v>5</v>
      </c>
      <c r="AH135" s="153">
        <v>4</v>
      </c>
      <c r="AI135" s="153">
        <v>4</v>
      </c>
      <c r="AJ135" s="153">
        <v>1</v>
      </c>
      <c r="AK135" s="153">
        <v>1</v>
      </c>
      <c r="AL135" s="153">
        <v>6</v>
      </c>
      <c r="AM135" s="153">
        <v>2</v>
      </c>
      <c r="AN135" s="153">
        <v>6</v>
      </c>
      <c r="AO135" s="153">
        <v>2</v>
      </c>
      <c r="AP135" s="153">
        <v>1</v>
      </c>
      <c r="AQ135" s="118"/>
      <c r="AR135" s="96">
        <f t="shared" si="28"/>
        <v>67</v>
      </c>
      <c r="AS135" s="96">
        <f t="shared" si="29"/>
        <v>39</v>
      </c>
    </row>
    <row r="136" spans="2:45" ht="15.75" customHeight="1">
      <c r="B136" s="168" t="s">
        <v>249</v>
      </c>
      <c r="C136" s="116" t="s">
        <v>380</v>
      </c>
      <c r="D136" s="120">
        <v>1</v>
      </c>
      <c r="E136" s="116" t="s">
        <v>377</v>
      </c>
      <c r="F136" s="119" t="s">
        <v>377</v>
      </c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69">
        <v>3</v>
      </c>
      <c r="T136" s="153">
        <v>6</v>
      </c>
      <c r="U136" s="153">
        <v>7</v>
      </c>
      <c r="V136" s="153">
        <v>7</v>
      </c>
      <c r="W136" s="153">
        <v>5</v>
      </c>
      <c r="X136" s="153">
        <v>4</v>
      </c>
      <c r="Y136" s="153">
        <v>6</v>
      </c>
      <c r="Z136" s="153">
        <v>5</v>
      </c>
      <c r="AA136" s="153">
        <v>2</v>
      </c>
      <c r="AB136" s="153">
        <v>13</v>
      </c>
      <c r="AC136" s="153">
        <v>7</v>
      </c>
      <c r="AD136" s="170">
        <v>7</v>
      </c>
      <c r="AE136" s="169">
        <v>5</v>
      </c>
      <c r="AF136" s="153">
        <v>4</v>
      </c>
      <c r="AG136" s="153">
        <v>5</v>
      </c>
      <c r="AH136" s="153">
        <v>6</v>
      </c>
      <c r="AI136" s="153">
        <v>6</v>
      </c>
      <c r="AJ136" s="153">
        <v>4</v>
      </c>
      <c r="AK136" s="153">
        <v>3</v>
      </c>
      <c r="AL136" s="153">
        <v>5</v>
      </c>
      <c r="AM136" s="153">
        <v>1</v>
      </c>
      <c r="AN136" s="153">
        <v>10</v>
      </c>
      <c r="AO136" s="153">
        <v>9</v>
      </c>
      <c r="AP136" s="153">
        <v>5</v>
      </c>
      <c r="AQ136" s="118"/>
      <c r="AR136" s="96">
        <f t="shared" si="28"/>
        <v>72</v>
      </c>
      <c r="AS136" s="96">
        <f t="shared" si="29"/>
        <v>63</v>
      </c>
    </row>
    <row r="137" spans="2:45" ht="15.75" customHeight="1">
      <c r="B137" s="168" t="s">
        <v>249</v>
      </c>
      <c r="C137" s="116" t="s">
        <v>381</v>
      </c>
      <c r="D137" s="120">
        <v>2</v>
      </c>
      <c r="E137" s="116" t="s">
        <v>377</v>
      </c>
      <c r="F137" s="119" t="s">
        <v>377</v>
      </c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69">
        <v>0</v>
      </c>
      <c r="T137" s="153">
        <v>0</v>
      </c>
      <c r="U137" s="153">
        <v>0</v>
      </c>
      <c r="V137" s="153">
        <v>0</v>
      </c>
      <c r="W137" s="153">
        <v>0</v>
      </c>
      <c r="X137" s="153">
        <v>1</v>
      </c>
      <c r="Y137" s="153">
        <v>1</v>
      </c>
      <c r="Z137" s="153">
        <v>0</v>
      </c>
      <c r="AA137" s="153">
        <v>1</v>
      </c>
      <c r="AB137" s="153">
        <v>5</v>
      </c>
      <c r="AC137" s="153">
        <v>6</v>
      </c>
      <c r="AD137" s="170">
        <v>4</v>
      </c>
      <c r="AE137" s="169">
        <v>2</v>
      </c>
      <c r="AF137" s="153">
        <v>3</v>
      </c>
      <c r="AG137" s="153">
        <v>6</v>
      </c>
      <c r="AH137" s="153">
        <v>7</v>
      </c>
      <c r="AI137" s="153">
        <v>7</v>
      </c>
      <c r="AJ137" s="153">
        <v>3</v>
      </c>
      <c r="AK137" s="153">
        <v>3</v>
      </c>
      <c r="AL137" s="153">
        <v>4</v>
      </c>
      <c r="AM137" s="153">
        <v>5</v>
      </c>
      <c r="AN137" s="153">
        <v>8</v>
      </c>
      <c r="AO137" s="153">
        <v>10</v>
      </c>
      <c r="AP137" s="153">
        <v>4</v>
      </c>
      <c r="AQ137" s="118"/>
      <c r="AR137" s="96">
        <f t="shared" si="28"/>
        <v>18</v>
      </c>
      <c r="AS137" s="96">
        <f t="shared" si="29"/>
        <v>62</v>
      </c>
    </row>
    <row r="138" spans="2:45" ht="15.75" customHeight="1">
      <c r="B138" s="168" t="s">
        <v>249</v>
      </c>
      <c r="C138" s="116" t="s">
        <v>382</v>
      </c>
      <c r="D138" s="120">
        <v>2</v>
      </c>
      <c r="E138" s="116" t="s">
        <v>377</v>
      </c>
      <c r="F138" s="119" t="s">
        <v>377</v>
      </c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69">
        <v>13</v>
      </c>
      <c r="T138" s="153">
        <v>18</v>
      </c>
      <c r="U138" s="153">
        <v>18</v>
      </c>
      <c r="V138" s="153">
        <v>21</v>
      </c>
      <c r="W138" s="153">
        <v>11</v>
      </c>
      <c r="X138" s="153">
        <v>11</v>
      </c>
      <c r="Y138" s="153">
        <v>8</v>
      </c>
      <c r="Z138" s="153">
        <v>7</v>
      </c>
      <c r="AA138" s="153">
        <v>14</v>
      </c>
      <c r="AB138" s="153">
        <v>22</v>
      </c>
      <c r="AC138" s="153">
        <v>23</v>
      </c>
      <c r="AD138" s="170">
        <v>13</v>
      </c>
      <c r="AE138" s="169">
        <v>8</v>
      </c>
      <c r="AF138" s="153">
        <v>10</v>
      </c>
      <c r="AG138" s="153">
        <v>17</v>
      </c>
      <c r="AH138" s="153">
        <v>11</v>
      </c>
      <c r="AI138" s="153">
        <v>14</v>
      </c>
      <c r="AJ138" s="153">
        <v>18</v>
      </c>
      <c r="AK138" s="153">
        <v>7</v>
      </c>
      <c r="AL138" s="153">
        <v>9</v>
      </c>
      <c r="AM138" s="153">
        <v>10</v>
      </c>
      <c r="AN138" s="153">
        <v>19</v>
      </c>
      <c r="AO138" s="153">
        <v>23</v>
      </c>
      <c r="AP138" s="153">
        <v>12</v>
      </c>
      <c r="AQ138" s="118"/>
      <c r="AR138" s="96">
        <f t="shared" si="28"/>
        <v>179</v>
      </c>
      <c r="AS138" s="96">
        <f t="shared" si="29"/>
        <v>158</v>
      </c>
    </row>
    <row r="139" spans="2:45" ht="15.75" customHeight="1">
      <c r="B139" s="168" t="s">
        <v>249</v>
      </c>
      <c r="C139" s="116" t="s">
        <v>383</v>
      </c>
      <c r="D139" s="120">
        <v>1</v>
      </c>
      <c r="E139" s="116" t="s">
        <v>377</v>
      </c>
      <c r="F139" s="119" t="s">
        <v>377</v>
      </c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69">
        <v>0</v>
      </c>
      <c r="T139" s="153">
        <v>0</v>
      </c>
      <c r="U139" s="153">
        <v>0</v>
      </c>
      <c r="V139" s="153">
        <v>0</v>
      </c>
      <c r="W139" s="153">
        <v>0</v>
      </c>
      <c r="X139" s="153">
        <v>0</v>
      </c>
      <c r="Y139" s="153">
        <v>0</v>
      </c>
      <c r="Z139" s="153">
        <v>0</v>
      </c>
      <c r="AA139" s="153">
        <v>0</v>
      </c>
      <c r="AB139" s="153">
        <v>0</v>
      </c>
      <c r="AC139" s="153">
        <v>0</v>
      </c>
      <c r="AD139" s="170">
        <v>0</v>
      </c>
      <c r="AE139" s="169">
        <v>0</v>
      </c>
      <c r="AF139" s="153">
        <v>0</v>
      </c>
      <c r="AG139" s="153">
        <v>0</v>
      </c>
      <c r="AH139" s="153">
        <v>0</v>
      </c>
      <c r="AI139" s="153">
        <v>2</v>
      </c>
      <c r="AJ139" s="153">
        <v>0</v>
      </c>
      <c r="AK139" s="153">
        <v>0</v>
      </c>
      <c r="AL139" s="153">
        <v>0</v>
      </c>
      <c r="AM139" s="153">
        <v>2</v>
      </c>
      <c r="AN139" s="153">
        <v>1</v>
      </c>
      <c r="AO139" s="153">
        <v>0</v>
      </c>
      <c r="AP139" s="153">
        <v>2</v>
      </c>
      <c r="AQ139" s="118"/>
      <c r="AR139" s="96">
        <f t="shared" si="28"/>
        <v>0</v>
      </c>
      <c r="AS139" s="96">
        <f t="shared" si="29"/>
        <v>7</v>
      </c>
    </row>
    <row r="140" spans="2:45" ht="15.75" customHeight="1">
      <c r="B140" s="168" t="s">
        <v>249</v>
      </c>
      <c r="C140" s="116" t="s">
        <v>384</v>
      </c>
      <c r="D140" s="120">
        <v>1</v>
      </c>
      <c r="E140" s="116" t="s">
        <v>385</v>
      </c>
      <c r="F140" s="119" t="s">
        <v>385</v>
      </c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69">
        <v>12</v>
      </c>
      <c r="T140" s="153">
        <v>11</v>
      </c>
      <c r="U140" s="153">
        <v>13</v>
      </c>
      <c r="V140" s="153">
        <v>12</v>
      </c>
      <c r="W140" s="153">
        <v>18</v>
      </c>
      <c r="X140" s="153">
        <v>15</v>
      </c>
      <c r="Y140" s="153">
        <v>16</v>
      </c>
      <c r="Z140" s="153">
        <v>14</v>
      </c>
      <c r="AA140" s="153">
        <v>21</v>
      </c>
      <c r="AB140" s="153">
        <v>22</v>
      </c>
      <c r="AC140" s="153">
        <v>17</v>
      </c>
      <c r="AD140" s="170">
        <v>13</v>
      </c>
      <c r="AE140" s="169">
        <v>8</v>
      </c>
      <c r="AF140" s="153">
        <v>9</v>
      </c>
      <c r="AG140" s="153">
        <v>15</v>
      </c>
      <c r="AH140" s="153">
        <v>16</v>
      </c>
      <c r="AI140" s="153">
        <v>22</v>
      </c>
      <c r="AJ140" s="153">
        <v>24</v>
      </c>
      <c r="AK140" s="153">
        <v>13</v>
      </c>
      <c r="AL140" s="153">
        <v>13</v>
      </c>
      <c r="AM140" s="153">
        <v>17</v>
      </c>
      <c r="AN140" s="153">
        <v>20</v>
      </c>
      <c r="AO140" s="153">
        <v>19</v>
      </c>
      <c r="AP140" s="153">
        <v>12</v>
      </c>
      <c r="AQ140" s="118"/>
      <c r="AR140" s="96">
        <f t="shared" si="28"/>
        <v>184</v>
      </c>
      <c r="AS140" s="96">
        <f t="shared" si="29"/>
        <v>188</v>
      </c>
    </row>
    <row r="141" spans="2:45" ht="15.75" customHeight="1">
      <c r="B141" s="171" t="s">
        <v>249</v>
      </c>
      <c r="C141" s="172" t="s">
        <v>386</v>
      </c>
      <c r="D141" s="173">
        <v>1</v>
      </c>
      <c r="E141" s="174" t="s">
        <v>348</v>
      </c>
      <c r="F141" s="175" t="s">
        <v>363</v>
      </c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7">
        <v>0</v>
      </c>
      <c r="T141" s="176">
        <v>0</v>
      </c>
      <c r="U141" s="176">
        <v>0</v>
      </c>
      <c r="V141" s="176">
        <v>0</v>
      </c>
      <c r="W141" s="176">
        <v>0</v>
      </c>
      <c r="X141" s="176">
        <v>0</v>
      </c>
      <c r="Y141" s="176">
        <v>0</v>
      </c>
      <c r="Z141" s="176">
        <v>0</v>
      </c>
      <c r="AA141" s="176">
        <v>0</v>
      </c>
      <c r="AB141" s="176">
        <v>0</v>
      </c>
      <c r="AC141" s="176">
        <v>0</v>
      </c>
      <c r="AD141" s="178">
        <v>0</v>
      </c>
      <c r="AE141" s="177">
        <v>0</v>
      </c>
      <c r="AF141" s="176">
        <v>0</v>
      </c>
      <c r="AG141" s="176">
        <v>0</v>
      </c>
      <c r="AH141" s="176">
        <v>0</v>
      </c>
      <c r="AI141" s="176">
        <v>0</v>
      </c>
      <c r="AJ141" s="176">
        <v>1</v>
      </c>
      <c r="AK141" s="176">
        <v>0</v>
      </c>
      <c r="AL141" s="176">
        <v>0</v>
      </c>
      <c r="AM141" s="176">
        <v>1</v>
      </c>
      <c r="AN141" s="176">
        <v>0</v>
      </c>
      <c r="AO141" s="176">
        <v>1</v>
      </c>
      <c r="AP141" s="176">
        <v>0</v>
      </c>
      <c r="AQ141" s="118"/>
      <c r="AR141" s="96">
        <f t="shared" si="28"/>
        <v>0</v>
      </c>
      <c r="AS141" s="96">
        <f t="shared" si="29"/>
        <v>3</v>
      </c>
    </row>
    <row r="142" spans="2:45" ht="15.75" customHeight="1">
      <c r="B142" s="168" t="s">
        <v>250</v>
      </c>
      <c r="C142" s="116" t="s">
        <v>347</v>
      </c>
      <c r="D142" s="120">
        <v>1</v>
      </c>
      <c r="E142" s="116" t="s">
        <v>348</v>
      </c>
      <c r="F142" s="119" t="s">
        <v>349</v>
      </c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69">
        <v>3</v>
      </c>
      <c r="T142" s="153">
        <v>1</v>
      </c>
      <c r="U142" s="153">
        <v>3</v>
      </c>
      <c r="V142" s="153">
        <v>5</v>
      </c>
      <c r="W142" s="153">
        <v>3</v>
      </c>
      <c r="X142" s="153">
        <v>2</v>
      </c>
      <c r="Y142" s="153">
        <v>3</v>
      </c>
      <c r="Z142" s="153">
        <v>2</v>
      </c>
      <c r="AA142" s="153">
        <v>0</v>
      </c>
      <c r="AB142" s="153">
        <v>3</v>
      </c>
      <c r="AC142" s="153">
        <v>4</v>
      </c>
      <c r="AD142" s="170">
        <v>0</v>
      </c>
      <c r="AE142" s="169">
        <v>3</v>
      </c>
      <c r="AF142" s="153">
        <v>1</v>
      </c>
      <c r="AG142" s="153">
        <v>4</v>
      </c>
      <c r="AH142" s="153">
        <v>3</v>
      </c>
      <c r="AI142" s="153">
        <v>4</v>
      </c>
      <c r="AJ142" s="153">
        <v>1</v>
      </c>
      <c r="AK142" s="153">
        <v>2</v>
      </c>
      <c r="AL142" s="153">
        <v>0</v>
      </c>
      <c r="AM142" s="153">
        <v>1</v>
      </c>
      <c r="AN142" s="153">
        <v>8</v>
      </c>
      <c r="AO142" s="153">
        <v>5</v>
      </c>
      <c r="AP142" s="153">
        <v>3</v>
      </c>
      <c r="AQ142" s="118"/>
      <c r="AR142" s="96">
        <f t="shared" si="28"/>
        <v>29</v>
      </c>
      <c r="AS142" s="96">
        <f t="shared" si="29"/>
        <v>35</v>
      </c>
    </row>
    <row r="143" spans="2:45" ht="15.75" customHeight="1">
      <c r="B143" s="168" t="s">
        <v>250</v>
      </c>
      <c r="C143" s="116" t="s">
        <v>350</v>
      </c>
      <c r="D143" s="120">
        <v>2</v>
      </c>
      <c r="E143" s="116" t="s">
        <v>348</v>
      </c>
      <c r="F143" s="119" t="s">
        <v>349</v>
      </c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69">
        <v>0</v>
      </c>
      <c r="T143" s="153">
        <v>1</v>
      </c>
      <c r="U143" s="153">
        <v>4</v>
      </c>
      <c r="V143" s="153">
        <v>1</v>
      </c>
      <c r="W143" s="153">
        <v>2</v>
      </c>
      <c r="X143" s="153">
        <v>3</v>
      </c>
      <c r="Y143" s="153">
        <v>4</v>
      </c>
      <c r="Z143" s="153">
        <v>1</v>
      </c>
      <c r="AA143" s="153">
        <v>5</v>
      </c>
      <c r="AB143" s="153">
        <v>5</v>
      </c>
      <c r="AC143" s="153">
        <v>3</v>
      </c>
      <c r="AD143" s="170">
        <v>3</v>
      </c>
      <c r="AE143" s="169">
        <v>0</v>
      </c>
      <c r="AF143" s="153">
        <v>0</v>
      </c>
      <c r="AG143" s="153">
        <v>1</v>
      </c>
      <c r="AH143" s="153">
        <v>2</v>
      </c>
      <c r="AI143" s="153">
        <v>4</v>
      </c>
      <c r="AJ143" s="153">
        <v>2</v>
      </c>
      <c r="AK143" s="153">
        <v>0</v>
      </c>
      <c r="AL143" s="153">
        <v>4</v>
      </c>
      <c r="AM143" s="153">
        <v>3</v>
      </c>
      <c r="AN143" s="153">
        <v>7</v>
      </c>
      <c r="AO143" s="153">
        <v>7</v>
      </c>
      <c r="AP143" s="153">
        <v>1</v>
      </c>
      <c r="AQ143" s="118"/>
      <c r="AR143" s="96">
        <f t="shared" si="28"/>
        <v>32</v>
      </c>
      <c r="AS143" s="96">
        <f t="shared" si="29"/>
        <v>31</v>
      </c>
    </row>
    <row r="144" spans="2:45" ht="15.75" customHeight="1">
      <c r="B144" s="168" t="s">
        <v>250</v>
      </c>
      <c r="C144" s="116" t="s">
        <v>351</v>
      </c>
      <c r="D144" s="120">
        <v>2</v>
      </c>
      <c r="E144" s="116" t="s">
        <v>348</v>
      </c>
      <c r="F144" s="119" t="s">
        <v>349</v>
      </c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69">
        <v>1</v>
      </c>
      <c r="T144" s="153">
        <v>4</v>
      </c>
      <c r="U144" s="153">
        <v>4</v>
      </c>
      <c r="V144" s="153">
        <v>5</v>
      </c>
      <c r="W144" s="153">
        <v>5</v>
      </c>
      <c r="X144" s="153">
        <v>11</v>
      </c>
      <c r="Y144" s="153">
        <v>6</v>
      </c>
      <c r="Z144" s="153">
        <v>2</v>
      </c>
      <c r="AA144" s="153">
        <v>2</v>
      </c>
      <c r="AB144" s="153">
        <v>10</v>
      </c>
      <c r="AC144" s="153">
        <v>4</v>
      </c>
      <c r="AD144" s="170">
        <v>3</v>
      </c>
      <c r="AE144" s="169">
        <v>4</v>
      </c>
      <c r="AF144" s="153">
        <v>1</v>
      </c>
      <c r="AG144" s="153">
        <v>3</v>
      </c>
      <c r="AH144" s="153">
        <v>5</v>
      </c>
      <c r="AI144" s="153">
        <v>8</v>
      </c>
      <c r="AJ144" s="153">
        <v>6</v>
      </c>
      <c r="AK144" s="153">
        <v>1</v>
      </c>
      <c r="AL144" s="153">
        <v>5</v>
      </c>
      <c r="AM144" s="153">
        <v>3</v>
      </c>
      <c r="AN144" s="153">
        <v>6</v>
      </c>
      <c r="AO144" s="153">
        <v>5</v>
      </c>
      <c r="AP144" s="153">
        <v>5</v>
      </c>
      <c r="AQ144" s="118"/>
      <c r="AR144" s="96">
        <f t="shared" si="28"/>
        <v>57</v>
      </c>
      <c r="AS144" s="96">
        <f t="shared" si="29"/>
        <v>52</v>
      </c>
    </row>
    <row r="145" spans="2:45" ht="15.75" customHeight="1">
      <c r="B145" s="168" t="s">
        <v>250</v>
      </c>
      <c r="C145" s="116" t="s">
        <v>352</v>
      </c>
      <c r="D145" s="120">
        <v>1</v>
      </c>
      <c r="E145" s="116" t="s">
        <v>348</v>
      </c>
      <c r="F145" s="119" t="s">
        <v>349</v>
      </c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69">
        <v>3</v>
      </c>
      <c r="T145" s="153">
        <v>4</v>
      </c>
      <c r="U145" s="153">
        <v>11</v>
      </c>
      <c r="V145" s="153">
        <v>4</v>
      </c>
      <c r="W145" s="153">
        <v>9</v>
      </c>
      <c r="X145" s="153">
        <v>7</v>
      </c>
      <c r="Y145" s="153">
        <v>5</v>
      </c>
      <c r="Z145" s="153">
        <v>7</v>
      </c>
      <c r="AA145" s="153">
        <v>3</v>
      </c>
      <c r="AB145" s="153">
        <v>9</v>
      </c>
      <c r="AC145" s="153">
        <v>9</v>
      </c>
      <c r="AD145" s="170">
        <v>7</v>
      </c>
      <c r="AE145" s="169">
        <v>5</v>
      </c>
      <c r="AF145" s="153">
        <v>6</v>
      </c>
      <c r="AG145" s="153">
        <v>11</v>
      </c>
      <c r="AH145" s="153">
        <v>5</v>
      </c>
      <c r="AI145" s="153">
        <v>9</v>
      </c>
      <c r="AJ145" s="153">
        <v>7</v>
      </c>
      <c r="AK145" s="153">
        <v>4</v>
      </c>
      <c r="AL145" s="153">
        <v>4</v>
      </c>
      <c r="AM145" s="153">
        <v>4</v>
      </c>
      <c r="AN145" s="153">
        <v>11</v>
      </c>
      <c r="AO145" s="153">
        <v>9</v>
      </c>
      <c r="AP145" s="153">
        <v>2</v>
      </c>
      <c r="AQ145" s="118"/>
      <c r="AR145" s="96">
        <f t="shared" si="28"/>
        <v>78</v>
      </c>
      <c r="AS145" s="96">
        <f t="shared" si="29"/>
        <v>77</v>
      </c>
    </row>
    <row r="146" spans="2:45" ht="15.75" customHeight="1">
      <c r="B146" s="168" t="s">
        <v>250</v>
      </c>
      <c r="C146" s="116" t="s">
        <v>353</v>
      </c>
      <c r="D146" s="120">
        <v>1</v>
      </c>
      <c r="E146" s="116" t="s">
        <v>348</v>
      </c>
      <c r="F146" s="119" t="s">
        <v>349</v>
      </c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69">
        <v>3</v>
      </c>
      <c r="T146" s="153">
        <v>2</v>
      </c>
      <c r="U146" s="153">
        <v>2</v>
      </c>
      <c r="V146" s="153">
        <v>3</v>
      </c>
      <c r="W146" s="153">
        <v>2</v>
      </c>
      <c r="X146" s="153">
        <v>2</v>
      </c>
      <c r="Y146" s="153">
        <v>1</v>
      </c>
      <c r="Z146" s="153">
        <v>0</v>
      </c>
      <c r="AA146" s="153">
        <v>1</v>
      </c>
      <c r="AB146" s="153">
        <v>4</v>
      </c>
      <c r="AC146" s="153">
        <v>3</v>
      </c>
      <c r="AD146" s="170">
        <v>0</v>
      </c>
      <c r="AE146" s="169">
        <v>0</v>
      </c>
      <c r="AF146" s="153">
        <v>2</v>
      </c>
      <c r="AG146" s="153">
        <v>1</v>
      </c>
      <c r="AH146" s="153">
        <v>1</v>
      </c>
      <c r="AI146" s="153">
        <v>3</v>
      </c>
      <c r="AJ146" s="153">
        <v>3</v>
      </c>
      <c r="AK146" s="153">
        <v>0</v>
      </c>
      <c r="AL146" s="153">
        <v>1</v>
      </c>
      <c r="AM146" s="153">
        <v>0</v>
      </c>
      <c r="AN146" s="153">
        <v>2</v>
      </c>
      <c r="AO146" s="153">
        <v>2</v>
      </c>
      <c r="AP146" s="153">
        <v>1</v>
      </c>
      <c r="AQ146" s="118"/>
      <c r="AR146" s="96">
        <f t="shared" si="28"/>
        <v>23</v>
      </c>
      <c r="AS146" s="96">
        <f t="shared" si="29"/>
        <v>16</v>
      </c>
    </row>
    <row r="147" spans="2:45" ht="15.75" customHeight="1">
      <c r="B147" s="168" t="s">
        <v>250</v>
      </c>
      <c r="C147" s="116" t="s">
        <v>354</v>
      </c>
      <c r="D147" s="120">
        <v>1</v>
      </c>
      <c r="E147" s="116" t="s">
        <v>348</v>
      </c>
      <c r="F147" s="119" t="s">
        <v>355</v>
      </c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69">
        <v>5</v>
      </c>
      <c r="T147" s="153">
        <v>6</v>
      </c>
      <c r="U147" s="153">
        <v>10</v>
      </c>
      <c r="V147" s="153">
        <v>8</v>
      </c>
      <c r="W147" s="153">
        <v>6</v>
      </c>
      <c r="X147" s="153">
        <v>10</v>
      </c>
      <c r="Y147" s="153">
        <v>12</v>
      </c>
      <c r="Z147" s="153">
        <v>5</v>
      </c>
      <c r="AA147" s="153">
        <v>8</v>
      </c>
      <c r="AB147" s="153">
        <v>10</v>
      </c>
      <c r="AC147" s="153">
        <v>10</v>
      </c>
      <c r="AD147" s="170">
        <v>1</v>
      </c>
      <c r="AE147" s="169">
        <v>5</v>
      </c>
      <c r="AF147" s="153">
        <v>6</v>
      </c>
      <c r="AG147" s="153">
        <v>6</v>
      </c>
      <c r="AH147" s="153">
        <v>6</v>
      </c>
      <c r="AI147" s="153">
        <v>9</v>
      </c>
      <c r="AJ147" s="153">
        <v>7</v>
      </c>
      <c r="AK147" s="153">
        <v>7</v>
      </c>
      <c r="AL147" s="153">
        <v>7</v>
      </c>
      <c r="AM147" s="153">
        <v>9</v>
      </c>
      <c r="AN147" s="153">
        <v>10</v>
      </c>
      <c r="AO147" s="153">
        <v>9</v>
      </c>
      <c r="AP147" s="153">
        <v>6</v>
      </c>
      <c r="AQ147" s="118"/>
      <c r="AR147" s="96">
        <f t="shared" si="28"/>
        <v>91</v>
      </c>
      <c r="AS147" s="96">
        <f t="shared" si="29"/>
        <v>87</v>
      </c>
    </row>
    <row r="148" spans="2:45" ht="15.75" customHeight="1">
      <c r="B148" s="168" t="s">
        <v>250</v>
      </c>
      <c r="C148" s="116" t="s">
        <v>356</v>
      </c>
      <c r="D148" s="120">
        <v>1</v>
      </c>
      <c r="E148" s="116" t="s">
        <v>348</v>
      </c>
      <c r="F148" s="119" t="s">
        <v>355</v>
      </c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69">
        <v>1</v>
      </c>
      <c r="T148" s="153">
        <v>0</v>
      </c>
      <c r="U148" s="153">
        <v>0</v>
      </c>
      <c r="V148" s="153">
        <v>2</v>
      </c>
      <c r="W148" s="153">
        <v>1</v>
      </c>
      <c r="X148" s="153">
        <v>1</v>
      </c>
      <c r="Y148" s="153">
        <v>1</v>
      </c>
      <c r="Z148" s="153">
        <v>4</v>
      </c>
      <c r="AA148" s="153">
        <v>1</v>
      </c>
      <c r="AB148" s="153">
        <v>5</v>
      </c>
      <c r="AC148" s="153">
        <v>5</v>
      </c>
      <c r="AD148" s="170">
        <v>0</v>
      </c>
      <c r="AE148" s="169">
        <v>2</v>
      </c>
      <c r="AF148" s="153">
        <v>3</v>
      </c>
      <c r="AG148" s="153">
        <v>2</v>
      </c>
      <c r="AH148" s="153">
        <v>3</v>
      </c>
      <c r="AI148" s="153">
        <v>1</v>
      </c>
      <c r="AJ148" s="153">
        <v>2</v>
      </c>
      <c r="AK148" s="153">
        <v>1</v>
      </c>
      <c r="AL148" s="153">
        <v>2</v>
      </c>
      <c r="AM148" s="153">
        <v>2</v>
      </c>
      <c r="AN148" s="153">
        <v>2</v>
      </c>
      <c r="AO148" s="153">
        <v>1</v>
      </c>
      <c r="AP148" s="153">
        <v>0</v>
      </c>
      <c r="AQ148" s="118"/>
      <c r="AR148" s="96">
        <f t="shared" si="28"/>
        <v>21</v>
      </c>
      <c r="AS148" s="96">
        <f t="shared" si="29"/>
        <v>21</v>
      </c>
    </row>
    <row r="149" spans="2:45" ht="15.75" customHeight="1">
      <c r="B149" s="168" t="s">
        <v>250</v>
      </c>
      <c r="C149" s="116" t="s">
        <v>357</v>
      </c>
      <c r="D149" s="120">
        <v>2</v>
      </c>
      <c r="E149" s="116" t="s">
        <v>348</v>
      </c>
      <c r="F149" s="119" t="s">
        <v>355</v>
      </c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69">
        <v>2</v>
      </c>
      <c r="T149" s="153">
        <v>2</v>
      </c>
      <c r="U149" s="153">
        <v>4</v>
      </c>
      <c r="V149" s="153">
        <v>6</v>
      </c>
      <c r="W149" s="153">
        <v>4</v>
      </c>
      <c r="X149" s="153">
        <v>6</v>
      </c>
      <c r="Y149" s="153">
        <v>3</v>
      </c>
      <c r="Z149" s="153">
        <v>4</v>
      </c>
      <c r="AA149" s="153">
        <v>4</v>
      </c>
      <c r="AB149" s="153">
        <v>10</v>
      </c>
      <c r="AC149" s="153">
        <v>10</v>
      </c>
      <c r="AD149" s="170">
        <v>4</v>
      </c>
      <c r="AE149" s="169">
        <v>4</v>
      </c>
      <c r="AF149" s="153">
        <v>1</v>
      </c>
      <c r="AG149" s="153">
        <v>7</v>
      </c>
      <c r="AH149" s="153">
        <v>2</v>
      </c>
      <c r="AI149" s="153">
        <v>3</v>
      </c>
      <c r="AJ149" s="153">
        <v>6</v>
      </c>
      <c r="AK149" s="153">
        <v>1</v>
      </c>
      <c r="AL149" s="153">
        <v>3</v>
      </c>
      <c r="AM149" s="153">
        <v>8</v>
      </c>
      <c r="AN149" s="153">
        <v>9</v>
      </c>
      <c r="AO149" s="153">
        <v>12</v>
      </c>
      <c r="AP149" s="153">
        <v>4</v>
      </c>
      <c r="AQ149" s="118"/>
      <c r="AR149" s="96">
        <f t="shared" si="28"/>
        <v>59</v>
      </c>
      <c r="AS149" s="96">
        <f t="shared" si="29"/>
        <v>60</v>
      </c>
    </row>
    <row r="150" spans="2:45" ht="15.75" customHeight="1">
      <c r="B150" s="168" t="s">
        <v>250</v>
      </c>
      <c r="C150" s="116" t="s">
        <v>358</v>
      </c>
      <c r="D150" s="120">
        <v>1</v>
      </c>
      <c r="E150" s="116" t="s">
        <v>348</v>
      </c>
      <c r="F150" s="119" t="s">
        <v>355</v>
      </c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69">
        <v>2</v>
      </c>
      <c r="T150" s="153">
        <v>1</v>
      </c>
      <c r="U150" s="153">
        <v>4</v>
      </c>
      <c r="V150" s="153">
        <v>7</v>
      </c>
      <c r="W150" s="153">
        <v>5</v>
      </c>
      <c r="X150" s="153">
        <v>3</v>
      </c>
      <c r="Y150" s="153">
        <v>3</v>
      </c>
      <c r="Z150" s="153">
        <v>5</v>
      </c>
      <c r="AA150" s="153">
        <v>4</v>
      </c>
      <c r="AB150" s="153">
        <v>4</v>
      </c>
      <c r="AC150" s="153">
        <v>11</v>
      </c>
      <c r="AD150" s="170">
        <v>6</v>
      </c>
      <c r="AE150" s="169">
        <v>0</v>
      </c>
      <c r="AF150" s="153">
        <v>5</v>
      </c>
      <c r="AG150" s="153">
        <v>5</v>
      </c>
      <c r="AH150" s="153">
        <v>6</v>
      </c>
      <c r="AI150" s="153">
        <v>10</v>
      </c>
      <c r="AJ150" s="153">
        <v>6</v>
      </c>
      <c r="AK150" s="153">
        <v>3</v>
      </c>
      <c r="AL150" s="153">
        <v>3</v>
      </c>
      <c r="AM150" s="153">
        <v>5</v>
      </c>
      <c r="AN150" s="153">
        <v>5</v>
      </c>
      <c r="AO150" s="153">
        <v>13</v>
      </c>
      <c r="AP150" s="153">
        <v>3</v>
      </c>
      <c r="AQ150" s="118"/>
      <c r="AR150" s="96">
        <f t="shared" si="28"/>
        <v>55</v>
      </c>
      <c r="AS150" s="96">
        <f t="shared" si="29"/>
        <v>64</v>
      </c>
    </row>
    <row r="151" spans="2:45" ht="15.75" customHeight="1">
      <c r="B151" s="168" t="s">
        <v>250</v>
      </c>
      <c r="C151" s="116" t="s">
        <v>359</v>
      </c>
      <c r="D151" s="120">
        <v>1</v>
      </c>
      <c r="E151" s="116" t="s">
        <v>348</v>
      </c>
      <c r="F151" s="119" t="s">
        <v>355</v>
      </c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69">
        <v>4</v>
      </c>
      <c r="T151" s="153">
        <v>6</v>
      </c>
      <c r="U151" s="153">
        <v>13</v>
      </c>
      <c r="V151" s="153">
        <v>16</v>
      </c>
      <c r="W151" s="153">
        <v>16</v>
      </c>
      <c r="X151" s="153">
        <v>14</v>
      </c>
      <c r="Y151" s="153">
        <v>11</v>
      </c>
      <c r="Z151" s="153">
        <v>11</v>
      </c>
      <c r="AA151" s="153">
        <v>12</v>
      </c>
      <c r="AB151" s="153">
        <v>15</v>
      </c>
      <c r="AC151" s="153">
        <v>17</v>
      </c>
      <c r="AD151" s="170">
        <v>9</v>
      </c>
      <c r="AE151" s="169">
        <v>4</v>
      </c>
      <c r="AF151" s="153">
        <v>7</v>
      </c>
      <c r="AG151" s="153">
        <v>12</v>
      </c>
      <c r="AH151" s="153">
        <v>13</v>
      </c>
      <c r="AI151" s="153">
        <v>13</v>
      </c>
      <c r="AJ151" s="153">
        <v>8</v>
      </c>
      <c r="AK151" s="153">
        <v>8</v>
      </c>
      <c r="AL151" s="153">
        <v>8</v>
      </c>
      <c r="AM151" s="153">
        <v>13</v>
      </c>
      <c r="AN151" s="153">
        <v>15</v>
      </c>
      <c r="AO151" s="153">
        <v>18</v>
      </c>
      <c r="AP151" s="153">
        <v>6</v>
      </c>
      <c r="AQ151" s="118"/>
      <c r="AR151" s="96">
        <f t="shared" si="28"/>
        <v>144</v>
      </c>
      <c r="AS151" s="96">
        <f t="shared" si="29"/>
        <v>125</v>
      </c>
    </row>
    <row r="152" spans="2:45" ht="15.75" customHeight="1">
      <c r="B152" s="168" t="s">
        <v>250</v>
      </c>
      <c r="C152" s="116" t="s">
        <v>360</v>
      </c>
      <c r="D152" s="120">
        <v>2</v>
      </c>
      <c r="E152" s="116" t="s">
        <v>348</v>
      </c>
      <c r="F152" s="119" t="s">
        <v>355</v>
      </c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69">
        <v>0</v>
      </c>
      <c r="T152" s="153">
        <v>0</v>
      </c>
      <c r="U152" s="153">
        <v>0</v>
      </c>
      <c r="V152" s="153">
        <v>0</v>
      </c>
      <c r="W152" s="153">
        <v>0</v>
      </c>
      <c r="X152" s="153">
        <v>0</v>
      </c>
      <c r="Y152" s="153">
        <v>0</v>
      </c>
      <c r="Z152" s="153">
        <v>0</v>
      </c>
      <c r="AA152" s="153">
        <v>0</v>
      </c>
      <c r="AB152" s="153">
        <v>0</v>
      </c>
      <c r="AC152" s="153">
        <v>0</v>
      </c>
      <c r="AD152" s="170">
        <v>0</v>
      </c>
      <c r="AE152" s="169">
        <v>0</v>
      </c>
      <c r="AF152" s="153">
        <v>0</v>
      </c>
      <c r="AG152" s="153">
        <v>4</v>
      </c>
      <c r="AH152" s="153">
        <v>3</v>
      </c>
      <c r="AI152" s="153">
        <v>4</v>
      </c>
      <c r="AJ152" s="153">
        <v>0</v>
      </c>
      <c r="AK152" s="153">
        <v>1</v>
      </c>
      <c r="AL152" s="153">
        <v>2</v>
      </c>
      <c r="AM152" s="153">
        <v>2</v>
      </c>
      <c r="AN152" s="153">
        <v>4</v>
      </c>
      <c r="AO152" s="153">
        <v>2</v>
      </c>
      <c r="AP152" s="153">
        <v>1</v>
      </c>
      <c r="AQ152" s="118"/>
      <c r="AR152" s="96">
        <f t="shared" si="28"/>
        <v>0</v>
      </c>
      <c r="AS152" s="96">
        <f t="shared" si="29"/>
        <v>23</v>
      </c>
    </row>
    <row r="153" spans="2:45" ht="15.75" customHeight="1">
      <c r="B153" s="168" t="s">
        <v>250</v>
      </c>
      <c r="C153" s="116" t="s">
        <v>361</v>
      </c>
      <c r="D153" s="120">
        <v>1</v>
      </c>
      <c r="E153" s="116" t="s">
        <v>348</v>
      </c>
      <c r="F153" s="119" t="s">
        <v>355</v>
      </c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69">
        <v>0</v>
      </c>
      <c r="T153" s="153">
        <v>0</v>
      </c>
      <c r="U153" s="153">
        <v>1</v>
      </c>
      <c r="V153" s="153">
        <v>1</v>
      </c>
      <c r="W153" s="153">
        <v>7</v>
      </c>
      <c r="X153" s="153">
        <v>5</v>
      </c>
      <c r="Y153" s="153">
        <v>0</v>
      </c>
      <c r="Z153" s="153">
        <v>1</v>
      </c>
      <c r="AA153" s="153">
        <v>4</v>
      </c>
      <c r="AB153" s="153">
        <v>4</v>
      </c>
      <c r="AC153" s="153">
        <v>5</v>
      </c>
      <c r="AD153" s="170">
        <v>6</v>
      </c>
      <c r="AE153" s="169">
        <v>0</v>
      </c>
      <c r="AF153" s="153">
        <v>0</v>
      </c>
      <c r="AG153" s="153">
        <v>3</v>
      </c>
      <c r="AH153" s="153">
        <v>4</v>
      </c>
      <c r="AI153" s="153">
        <v>5</v>
      </c>
      <c r="AJ153" s="153">
        <v>1</v>
      </c>
      <c r="AK153" s="153">
        <v>4</v>
      </c>
      <c r="AL153" s="153">
        <v>1</v>
      </c>
      <c r="AM153" s="153">
        <v>4</v>
      </c>
      <c r="AN153" s="153">
        <v>3</v>
      </c>
      <c r="AO153" s="153">
        <v>4</v>
      </c>
      <c r="AP153" s="153">
        <v>0</v>
      </c>
      <c r="AQ153" s="118"/>
      <c r="AR153" s="96">
        <f t="shared" si="28"/>
        <v>34</v>
      </c>
      <c r="AS153" s="96">
        <f t="shared" si="29"/>
        <v>29</v>
      </c>
    </row>
    <row r="154" spans="2:45" ht="15.75" customHeight="1">
      <c r="B154" s="168" t="s">
        <v>250</v>
      </c>
      <c r="C154" s="116" t="s">
        <v>362</v>
      </c>
      <c r="D154" s="120">
        <v>1</v>
      </c>
      <c r="E154" s="116" t="s">
        <v>348</v>
      </c>
      <c r="F154" s="119" t="s">
        <v>363</v>
      </c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69">
        <v>2</v>
      </c>
      <c r="T154" s="153">
        <v>3</v>
      </c>
      <c r="U154" s="153">
        <v>5</v>
      </c>
      <c r="V154" s="153">
        <v>7</v>
      </c>
      <c r="W154" s="153">
        <v>6</v>
      </c>
      <c r="X154" s="153">
        <v>3</v>
      </c>
      <c r="Y154" s="153">
        <v>1</v>
      </c>
      <c r="Z154" s="153">
        <v>5</v>
      </c>
      <c r="AA154" s="153">
        <v>3</v>
      </c>
      <c r="AB154" s="153">
        <v>7</v>
      </c>
      <c r="AC154" s="153">
        <v>6</v>
      </c>
      <c r="AD154" s="170">
        <v>4</v>
      </c>
      <c r="AE154" s="169">
        <v>7</v>
      </c>
      <c r="AF154" s="153">
        <v>1</v>
      </c>
      <c r="AG154" s="153">
        <v>6</v>
      </c>
      <c r="AH154" s="153">
        <v>4</v>
      </c>
      <c r="AI154" s="153">
        <v>5</v>
      </c>
      <c r="AJ154" s="153">
        <v>3</v>
      </c>
      <c r="AK154" s="153">
        <v>3</v>
      </c>
      <c r="AL154" s="153">
        <v>3</v>
      </c>
      <c r="AM154" s="153">
        <v>3</v>
      </c>
      <c r="AN154" s="153">
        <v>9</v>
      </c>
      <c r="AO154" s="153">
        <v>5</v>
      </c>
      <c r="AP154" s="153">
        <v>4</v>
      </c>
      <c r="AQ154" s="118"/>
      <c r="AR154" s="96">
        <f t="shared" si="28"/>
        <v>52</v>
      </c>
      <c r="AS154" s="96">
        <f t="shared" si="29"/>
        <v>53</v>
      </c>
    </row>
    <row r="155" spans="2:45" ht="15.75" customHeight="1">
      <c r="B155" s="168" t="s">
        <v>250</v>
      </c>
      <c r="C155" s="116" t="s">
        <v>364</v>
      </c>
      <c r="D155" s="120">
        <v>1</v>
      </c>
      <c r="E155" s="116" t="s">
        <v>348</v>
      </c>
      <c r="F155" s="119" t="s">
        <v>363</v>
      </c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69">
        <v>2</v>
      </c>
      <c r="T155" s="153">
        <v>3</v>
      </c>
      <c r="U155" s="153">
        <v>2</v>
      </c>
      <c r="V155" s="153">
        <v>5</v>
      </c>
      <c r="W155" s="153">
        <v>5</v>
      </c>
      <c r="X155" s="153">
        <v>2</v>
      </c>
      <c r="Y155" s="153">
        <v>1</v>
      </c>
      <c r="Z155" s="153">
        <v>3</v>
      </c>
      <c r="AA155" s="153">
        <v>4</v>
      </c>
      <c r="AB155" s="153">
        <v>7</v>
      </c>
      <c r="AC155" s="153">
        <v>5</v>
      </c>
      <c r="AD155" s="170">
        <v>3</v>
      </c>
      <c r="AE155" s="169">
        <v>3</v>
      </c>
      <c r="AF155" s="153">
        <v>1</v>
      </c>
      <c r="AG155" s="153">
        <v>2</v>
      </c>
      <c r="AH155" s="153">
        <v>3</v>
      </c>
      <c r="AI155" s="153">
        <v>4</v>
      </c>
      <c r="AJ155" s="153">
        <v>2</v>
      </c>
      <c r="AK155" s="153">
        <v>0</v>
      </c>
      <c r="AL155" s="153">
        <v>4</v>
      </c>
      <c r="AM155" s="153">
        <v>1</v>
      </c>
      <c r="AN155" s="153">
        <v>7</v>
      </c>
      <c r="AO155" s="153">
        <v>2</v>
      </c>
      <c r="AP155" s="153">
        <v>1</v>
      </c>
      <c r="AQ155" s="118"/>
      <c r="AR155" s="96">
        <f t="shared" si="28"/>
        <v>42</v>
      </c>
      <c r="AS155" s="96">
        <f t="shared" si="29"/>
        <v>30</v>
      </c>
    </row>
    <row r="156" spans="2:45" ht="15.75" customHeight="1">
      <c r="B156" s="168" t="s">
        <v>250</v>
      </c>
      <c r="C156" s="116" t="s">
        <v>365</v>
      </c>
      <c r="D156" s="120">
        <v>1</v>
      </c>
      <c r="E156" s="116" t="s">
        <v>348</v>
      </c>
      <c r="F156" s="119" t="s">
        <v>363</v>
      </c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69">
        <v>6</v>
      </c>
      <c r="T156" s="153">
        <v>3</v>
      </c>
      <c r="U156" s="153">
        <v>4</v>
      </c>
      <c r="V156" s="153">
        <v>6</v>
      </c>
      <c r="W156" s="153">
        <v>10</v>
      </c>
      <c r="X156" s="153">
        <v>7</v>
      </c>
      <c r="Y156" s="153">
        <v>3</v>
      </c>
      <c r="Z156" s="153">
        <v>8</v>
      </c>
      <c r="AA156" s="153">
        <v>5</v>
      </c>
      <c r="AB156" s="153">
        <v>9</v>
      </c>
      <c r="AC156" s="153">
        <v>9</v>
      </c>
      <c r="AD156" s="170">
        <v>7</v>
      </c>
      <c r="AE156" s="169">
        <v>4</v>
      </c>
      <c r="AF156" s="153">
        <v>7</v>
      </c>
      <c r="AG156" s="153">
        <v>10</v>
      </c>
      <c r="AH156" s="153">
        <v>5</v>
      </c>
      <c r="AI156" s="153">
        <v>10</v>
      </c>
      <c r="AJ156" s="153">
        <v>11</v>
      </c>
      <c r="AK156" s="153">
        <v>9</v>
      </c>
      <c r="AL156" s="153">
        <v>7</v>
      </c>
      <c r="AM156" s="153">
        <v>3</v>
      </c>
      <c r="AN156" s="153">
        <v>8</v>
      </c>
      <c r="AO156" s="153">
        <v>7</v>
      </c>
      <c r="AP156" s="153">
        <v>4</v>
      </c>
      <c r="AQ156" s="118"/>
      <c r="AR156" s="96">
        <f t="shared" si="28"/>
        <v>77</v>
      </c>
      <c r="AS156" s="96">
        <f t="shared" si="29"/>
        <v>85</v>
      </c>
    </row>
    <row r="157" spans="2:45" ht="15.75" customHeight="1">
      <c r="B157" s="168" t="s">
        <v>250</v>
      </c>
      <c r="C157" s="116" t="s">
        <v>366</v>
      </c>
      <c r="D157" s="120">
        <v>1</v>
      </c>
      <c r="E157" s="116" t="s">
        <v>348</v>
      </c>
      <c r="F157" s="119" t="s">
        <v>363</v>
      </c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69">
        <v>0</v>
      </c>
      <c r="T157" s="153">
        <v>2</v>
      </c>
      <c r="U157" s="153">
        <v>3</v>
      </c>
      <c r="V157" s="153">
        <v>2</v>
      </c>
      <c r="W157" s="153">
        <v>3</v>
      </c>
      <c r="X157" s="153">
        <v>3</v>
      </c>
      <c r="Y157" s="153">
        <v>3</v>
      </c>
      <c r="Z157" s="153">
        <v>5</v>
      </c>
      <c r="AA157" s="153">
        <v>1</v>
      </c>
      <c r="AB157" s="153">
        <v>7</v>
      </c>
      <c r="AC157" s="153">
        <v>5</v>
      </c>
      <c r="AD157" s="170">
        <v>2</v>
      </c>
      <c r="AE157" s="169">
        <v>1</v>
      </c>
      <c r="AF157" s="153">
        <v>3</v>
      </c>
      <c r="AG157" s="153">
        <v>3</v>
      </c>
      <c r="AH157" s="153">
        <v>6</v>
      </c>
      <c r="AI157" s="153">
        <v>2</v>
      </c>
      <c r="AJ157" s="153">
        <v>3</v>
      </c>
      <c r="AK157" s="153">
        <v>1</v>
      </c>
      <c r="AL157" s="153">
        <v>1</v>
      </c>
      <c r="AM157" s="153">
        <v>1</v>
      </c>
      <c r="AN157" s="153">
        <v>7</v>
      </c>
      <c r="AO157" s="153">
        <v>4</v>
      </c>
      <c r="AP157" s="153">
        <v>4</v>
      </c>
      <c r="AQ157" s="118"/>
      <c r="AR157" s="96">
        <f t="shared" si="28"/>
        <v>36</v>
      </c>
      <c r="AS157" s="96">
        <f t="shared" si="29"/>
        <v>36</v>
      </c>
    </row>
    <row r="158" spans="2:45" ht="15.75" customHeight="1">
      <c r="B158" s="168" t="s">
        <v>250</v>
      </c>
      <c r="C158" s="116" t="s">
        <v>367</v>
      </c>
      <c r="D158" s="120">
        <v>1</v>
      </c>
      <c r="E158" s="116" t="s">
        <v>348</v>
      </c>
      <c r="F158" s="119" t="s">
        <v>363</v>
      </c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69">
        <v>4</v>
      </c>
      <c r="T158" s="153">
        <v>1</v>
      </c>
      <c r="U158" s="153">
        <v>1</v>
      </c>
      <c r="V158" s="153">
        <v>3</v>
      </c>
      <c r="W158" s="153">
        <v>4</v>
      </c>
      <c r="X158" s="153">
        <v>3</v>
      </c>
      <c r="Y158" s="153">
        <v>2</v>
      </c>
      <c r="Z158" s="153">
        <v>2</v>
      </c>
      <c r="AA158" s="153">
        <v>2</v>
      </c>
      <c r="AB158" s="153">
        <v>4</v>
      </c>
      <c r="AC158" s="153">
        <v>2</v>
      </c>
      <c r="AD158" s="170">
        <v>5</v>
      </c>
      <c r="AE158" s="169">
        <v>3</v>
      </c>
      <c r="AF158" s="153">
        <v>0</v>
      </c>
      <c r="AG158" s="153">
        <v>1</v>
      </c>
      <c r="AH158" s="153">
        <v>2</v>
      </c>
      <c r="AI158" s="153">
        <v>6</v>
      </c>
      <c r="AJ158" s="153">
        <v>1</v>
      </c>
      <c r="AK158" s="153">
        <v>0</v>
      </c>
      <c r="AL158" s="153">
        <v>2</v>
      </c>
      <c r="AM158" s="153">
        <v>1</v>
      </c>
      <c r="AN158" s="153">
        <v>4</v>
      </c>
      <c r="AO158" s="153">
        <v>2</v>
      </c>
      <c r="AP158" s="153">
        <v>1</v>
      </c>
      <c r="AQ158" s="118"/>
      <c r="AR158" s="96">
        <f t="shared" si="28"/>
        <v>33</v>
      </c>
      <c r="AS158" s="96">
        <f t="shared" si="29"/>
        <v>23</v>
      </c>
    </row>
    <row r="159" spans="2:45" ht="15.75" customHeight="1">
      <c r="B159" s="168" t="s">
        <v>250</v>
      </c>
      <c r="C159" s="116" t="s">
        <v>368</v>
      </c>
      <c r="D159" s="120">
        <v>2</v>
      </c>
      <c r="E159" s="116" t="s">
        <v>369</v>
      </c>
      <c r="F159" s="119" t="s">
        <v>369</v>
      </c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69">
        <v>1</v>
      </c>
      <c r="T159" s="153">
        <v>1</v>
      </c>
      <c r="U159" s="153">
        <v>1</v>
      </c>
      <c r="V159" s="153">
        <v>1</v>
      </c>
      <c r="W159" s="153">
        <v>1</v>
      </c>
      <c r="X159" s="153">
        <v>0</v>
      </c>
      <c r="Y159" s="153">
        <v>1</v>
      </c>
      <c r="Z159" s="153">
        <v>1</v>
      </c>
      <c r="AA159" s="153">
        <v>3</v>
      </c>
      <c r="AB159" s="153">
        <v>4</v>
      </c>
      <c r="AC159" s="153">
        <v>10</v>
      </c>
      <c r="AD159" s="170">
        <v>4</v>
      </c>
      <c r="AE159" s="169">
        <v>1</v>
      </c>
      <c r="AF159" s="153">
        <v>1</v>
      </c>
      <c r="AG159" s="153">
        <v>7</v>
      </c>
      <c r="AH159" s="153">
        <v>5</v>
      </c>
      <c r="AI159" s="153">
        <v>11</v>
      </c>
      <c r="AJ159" s="153">
        <v>4</v>
      </c>
      <c r="AK159" s="153">
        <v>2</v>
      </c>
      <c r="AL159" s="153">
        <v>3</v>
      </c>
      <c r="AM159" s="153">
        <v>6</v>
      </c>
      <c r="AN159" s="153">
        <v>11</v>
      </c>
      <c r="AO159" s="153">
        <v>14</v>
      </c>
      <c r="AP159" s="153">
        <v>0</v>
      </c>
      <c r="AQ159" s="118"/>
      <c r="AR159" s="96">
        <f t="shared" si="28"/>
        <v>28</v>
      </c>
      <c r="AS159" s="96">
        <f t="shared" si="29"/>
        <v>65</v>
      </c>
    </row>
    <row r="160" spans="2:45" ht="15.75" customHeight="1">
      <c r="B160" s="168" t="s">
        <v>250</v>
      </c>
      <c r="C160" s="116" t="s">
        <v>451</v>
      </c>
      <c r="D160" s="120">
        <v>1</v>
      </c>
      <c r="E160" s="116" t="s">
        <v>369</v>
      </c>
      <c r="F160" s="119" t="s">
        <v>369</v>
      </c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69">
        <v>1</v>
      </c>
      <c r="T160" s="153">
        <v>1</v>
      </c>
      <c r="U160" s="153">
        <v>1</v>
      </c>
      <c r="V160" s="153">
        <v>1</v>
      </c>
      <c r="W160" s="153">
        <v>1</v>
      </c>
      <c r="X160" s="153">
        <v>0</v>
      </c>
      <c r="Y160" s="153">
        <v>1</v>
      </c>
      <c r="Z160" s="153">
        <v>4</v>
      </c>
      <c r="AA160" s="153">
        <v>2</v>
      </c>
      <c r="AB160" s="153">
        <v>3</v>
      </c>
      <c r="AC160" s="153">
        <v>4</v>
      </c>
      <c r="AD160" s="170">
        <v>4</v>
      </c>
      <c r="AE160" s="169">
        <v>5</v>
      </c>
      <c r="AF160" s="153">
        <v>1</v>
      </c>
      <c r="AG160" s="153">
        <v>8</v>
      </c>
      <c r="AH160" s="153">
        <v>7</v>
      </c>
      <c r="AI160" s="153">
        <v>6</v>
      </c>
      <c r="AJ160" s="153">
        <v>4</v>
      </c>
      <c r="AK160" s="153">
        <v>2</v>
      </c>
      <c r="AL160" s="153">
        <v>4</v>
      </c>
      <c r="AM160" s="153">
        <v>2</v>
      </c>
      <c r="AN160" s="153">
        <v>7</v>
      </c>
      <c r="AO160" s="153">
        <v>9</v>
      </c>
      <c r="AP160" s="153">
        <v>2</v>
      </c>
      <c r="AQ160" s="118"/>
      <c r="AR160" s="96">
        <f t="shared" si="28"/>
        <v>23</v>
      </c>
      <c r="AS160" s="96">
        <f t="shared" si="29"/>
        <v>57</v>
      </c>
    </row>
    <row r="161" spans="2:45" ht="15.75" customHeight="1">
      <c r="B161" s="168" t="s">
        <v>250</v>
      </c>
      <c r="C161" s="116" t="s">
        <v>371</v>
      </c>
      <c r="D161" s="120">
        <v>2</v>
      </c>
      <c r="E161" s="116" t="s">
        <v>369</v>
      </c>
      <c r="F161" s="119" t="s">
        <v>369</v>
      </c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69">
        <v>0</v>
      </c>
      <c r="T161" s="153">
        <v>0</v>
      </c>
      <c r="U161" s="153">
        <v>0</v>
      </c>
      <c r="V161" s="153">
        <v>0</v>
      </c>
      <c r="W161" s="153">
        <v>0</v>
      </c>
      <c r="X161" s="153">
        <v>0</v>
      </c>
      <c r="Y161" s="153">
        <v>0</v>
      </c>
      <c r="Z161" s="153">
        <v>0</v>
      </c>
      <c r="AA161" s="153">
        <v>0</v>
      </c>
      <c r="AB161" s="153">
        <v>0</v>
      </c>
      <c r="AC161" s="153">
        <v>0</v>
      </c>
      <c r="AD161" s="170">
        <v>0</v>
      </c>
      <c r="AE161" s="169">
        <v>0</v>
      </c>
      <c r="AF161" s="153">
        <v>0</v>
      </c>
      <c r="AG161" s="153">
        <v>0</v>
      </c>
      <c r="AH161" s="153">
        <v>0</v>
      </c>
      <c r="AI161" s="153">
        <v>0</v>
      </c>
      <c r="AJ161" s="153">
        <v>0</v>
      </c>
      <c r="AK161" s="153">
        <v>0</v>
      </c>
      <c r="AL161" s="153">
        <v>0</v>
      </c>
      <c r="AM161" s="153">
        <v>0</v>
      </c>
      <c r="AN161" s="153">
        <v>0</v>
      </c>
      <c r="AO161" s="153">
        <v>0</v>
      </c>
      <c r="AP161" s="153">
        <v>0</v>
      </c>
      <c r="AQ161" s="118"/>
      <c r="AR161" s="96">
        <f t="shared" si="28"/>
        <v>0</v>
      </c>
      <c r="AS161" s="96">
        <f t="shared" si="29"/>
        <v>0</v>
      </c>
    </row>
    <row r="162" spans="2:45" ht="15.75" customHeight="1">
      <c r="B162" s="168" t="s">
        <v>250</v>
      </c>
      <c r="C162" s="116" t="s">
        <v>372</v>
      </c>
      <c r="D162" s="120">
        <v>1</v>
      </c>
      <c r="E162" s="116" t="s">
        <v>369</v>
      </c>
      <c r="F162" s="119" t="s">
        <v>369</v>
      </c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69">
        <v>1</v>
      </c>
      <c r="T162" s="153">
        <v>1</v>
      </c>
      <c r="U162" s="153">
        <v>1</v>
      </c>
      <c r="V162" s="153">
        <v>1</v>
      </c>
      <c r="W162" s="153">
        <v>1</v>
      </c>
      <c r="X162" s="153">
        <v>0</v>
      </c>
      <c r="Y162" s="153">
        <v>1</v>
      </c>
      <c r="Z162" s="153">
        <v>1</v>
      </c>
      <c r="AA162" s="153">
        <v>0</v>
      </c>
      <c r="AB162" s="153">
        <v>1</v>
      </c>
      <c r="AC162" s="153">
        <v>2</v>
      </c>
      <c r="AD162" s="170">
        <v>1</v>
      </c>
      <c r="AE162" s="169">
        <v>3</v>
      </c>
      <c r="AF162" s="153">
        <v>1</v>
      </c>
      <c r="AG162" s="153">
        <v>0</v>
      </c>
      <c r="AH162" s="153">
        <v>0</v>
      </c>
      <c r="AI162" s="153">
        <v>5</v>
      </c>
      <c r="AJ162" s="153">
        <v>0</v>
      </c>
      <c r="AK162" s="153">
        <v>1</v>
      </c>
      <c r="AL162" s="153">
        <v>1</v>
      </c>
      <c r="AM162" s="153">
        <v>2</v>
      </c>
      <c r="AN162" s="153">
        <v>4</v>
      </c>
      <c r="AO162" s="153">
        <v>2</v>
      </c>
      <c r="AP162" s="153">
        <v>3</v>
      </c>
      <c r="AQ162" s="118"/>
      <c r="AR162" s="96">
        <f t="shared" si="28"/>
        <v>11</v>
      </c>
      <c r="AS162" s="96">
        <f t="shared" si="29"/>
        <v>22</v>
      </c>
    </row>
    <row r="163" spans="2:45" ht="15.75" customHeight="1">
      <c r="B163" s="168" t="s">
        <v>250</v>
      </c>
      <c r="C163" s="116" t="s">
        <v>373</v>
      </c>
      <c r="D163" s="120">
        <v>1</v>
      </c>
      <c r="E163" s="116" t="s">
        <v>369</v>
      </c>
      <c r="F163" s="119" t="s">
        <v>369</v>
      </c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69">
        <v>1</v>
      </c>
      <c r="T163" s="153">
        <v>1</v>
      </c>
      <c r="U163" s="153">
        <v>1</v>
      </c>
      <c r="V163" s="153">
        <v>1</v>
      </c>
      <c r="W163" s="153">
        <v>1</v>
      </c>
      <c r="X163" s="153">
        <v>1</v>
      </c>
      <c r="Y163" s="153">
        <v>1</v>
      </c>
      <c r="Z163" s="153">
        <v>1</v>
      </c>
      <c r="AA163" s="153">
        <v>2</v>
      </c>
      <c r="AB163" s="153">
        <v>0</v>
      </c>
      <c r="AC163" s="153">
        <v>0</v>
      </c>
      <c r="AD163" s="170">
        <v>6</v>
      </c>
      <c r="AE163" s="169">
        <v>1</v>
      </c>
      <c r="AF163" s="153">
        <v>2</v>
      </c>
      <c r="AG163" s="153">
        <v>10</v>
      </c>
      <c r="AH163" s="153">
        <v>3</v>
      </c>
      <c r="AI163" s="153">
        <v>5</v>
      </c>
      <c r="AJ163" s="153">
        <v>0</v>
      </c>
      <c r="AK163" s="153">
        <v>2</v>
      </c>
      <c r="AL163" s="153">
        <v>1</v>
      </c>
      <c r="AM163" s="153">
        <v>3</v>
      </c>
      <c r="AN163" s="153">
        <v>7</v>
      </c>
      <c r="AO163" s="153">
        <v>7</v>
      </c>
      <c r="AP163" s="153">
        <v>4</v>
      </c>
      <c r="AQ163" s="118"/>
      <c r="AR163" s="96">
        <f t="shared" si="28"/>
        <v>16</v>
      </c>
      <c r="AS163" s="96">
        <f t="shared" si="29"/>
        <v>45</v>
      </c>
    </row>
    <row r="164" spans="2:45" ht="15.75" customHeight="1">
      <c r="B164" s="168" t="s">
        <v>250</v>
      </c>
      <c r="C164" s="116" t="s">
        <v>374</v>
      </c>
      <c r="D164" s="120">
        <v>2</v>
      </c>
      <c r="E164" s="116" t="s">
        <v>369</v>
      </c>
      <c r="F164" s="119" t="s">
        <v>369</v>
      </c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69">
        <v>1</v>
      </c>
      <c r="T164" s="153">
        <v>1</v>
      </c>
      <c r="U164" s="153">
        <v>1</v>
      </c>
      <c r="V164" s="153">
        <v>1</v>
      </c>
      <c r="W164" s="153">
        <v>1</v>
      </c>
      <c r="X164" s="153">
        <v>0</v>
      </c>
      <c r="Y164" s="153">
        <v>1</v>
      </c>
      <c r="Z164" s="153">
        <v>0</v>
      </c>
      <c r="AA164" s="153">
        <v>2</v>
      </c>
      <c r="AB164" s="153">
        <v>3</v>
      </c>
      <c r="AC164" s="153">
        <v>5</v>
      </c>
      <c r="AD164" s="170">
        <v>3</v>
      </c>
      <c r="AE164" s="169">
        <v>1</v>
      </c>
      <c r="AF164" s="153">
        <v>1</v>
      </c>
      <c r="AG164" s="153">
        <v>3</v>
      </c>
      <c r="AH164" s="153">
        <v>4</v>
      </c>
      <c r="AI164" s="153">
        <v>3</v>
      </c>
      <c r="AJ164" s="153">
        <v>4</v>
      </c>
      <c r="AK164" s="153">
        <v>0</v>
      </c>
      <c r="AL164" s="153">
        <v>2</v>
      </c>
      <c r="AM164" s="153">
        <v>4</v>
      </c>
      <c r="AN164" s="153">
        <v>8</v>
      </c>
      <c r="AO164" s="153">
        <v>9</v>
      </c>
      <c r="AP164" s="153">
        <v>7</v>
      </c>
      <c r="AQ164" s="118"/>
      <c r="AR164" s="96">
        <f t="shared" si="28"/>
        <v>19</v>
      </c>
      <c r="AS164" s="96">
        <f t="shared" si="29"/>
        <v>46</v>
      </c>
    </row>
    <row r="165" spans="2:45" ht="15.75" customHeight="1">
      <c r="B165" s="168" t="s">
        <v>250</v>
      </c>
      <c r="C165" s="116" t="s">
        <v>375</v>
      </c>
      <c r="D165" s="120">
        <v>1</v>
      </c>
      <c r="E165" s="116" t="s">
        <v>369</v>
      </c>
      <c r="F165" s="119" t="s">
        <v>369</v>
      </c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69">
        <v>0</v>
      </c>
      <c r="T165" s="153">
        <v>0</v>
      </c>
      <c r="U165" s="153">
        <v>0</v>
      </c>
      <c r="V165" s="153">
        <v>0</v>
      </c>
      <c r="W165" s="153">
        <v>0</v>
      </c>
      <c r="X165" s="153">
        <v>0</v>
      </c>
      <c r="Y165" s="153">
        <v>1</v>
      </c>
      <c r="Z165" s="153">
        <v>0</v>
      </c>
      <c r="AA165" s="153">
        <v>0</v>
      </c>
      <c r="AB165" s="153">
        <v>1</v>
      </c>
      <c r="AC165" s="153">
        <v>2</v>
      </c>
      <c r="AD165" s="170">
        <v>1</v>
      </c>
      <c r="AE165" s="169">
        <v>1</v>
      </c>
      <c r="AF165" s="153">
        <v>1</v>
      </c>
      <c r="AG165" s="153">
        <v>7</v>
      </c>
      <c r="AH165" s="153">
        <v>2</v>
      </c>
      <c r="AI165" s="153">
        <v>4</v>
      </c>
      <c r="AJ165" s="153">
        <v>3</v>
      </c>
      <c r="AK165" s="153">
        <v>1</v>
      </c>
      <c r="AL165" s="153">
        <v>1</v>
      </c>
      <c r="AM165" s="153">
        <v>1</v>
      </c>
      <c r="AN165" s="153">
        <v>2</v>
      </c>
      <c r="AO165" s="153">
        <v>3</v>
      </c>
      <c r="AP165" s="153">
        <v>0</v>
      </c>
      <c r="AQ165" s="118"/>
      <c r="AR165" s="96">
        <f t="shared" si="28"/>
        <v>5</v>
      </c>
      <c r="AS165" s="96">
        <f t="shared" si="29"/>
        <v>26</v>
      </c>
    </row>
    <row r="166" spans="2:45" ht="15.75" customHeight="1">
      <c r="B166" s="168" t="s">
        <v>250</v>
      </c>
      <c r="C166" s="116" t="s">
        <v>376</v>
      </c>
      <c r="D166" s="120">
        <v>1</v>
      </c>
      <c r="E166" s="116" t="s">
        <v>377</v>
      </c>
      <c r="F166" s="119" t="s">
        <v>377</v>
      </c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69">
        <v>5</v>
      </c>
      <c r="T166" s="153">
        <v>6</v>
      </c>
      <c r="U166" s="153">
        <v>5</v>
      </c>
      <c r="V166" s="153">
        <v>3</v>
      </c>
      <c r="W166" s="153">
        <v>6</v>
      </c>
      <c r="X166" s="153">
        <v>3</v>
      </c>
      <c r="Y166" s="153">
        <v>8</v>
      </c>
      <c r="Z166" s="153">
        <v>1</v>
      </c>
      <c r="AA166" s="153">
        <v>3</v>
      </c>
      <c r="AB166" s="153">
        <v>9</v>
      </c>
      <c r="AC166" s="153">
        <v>8</v>
      </c>
      <c r="AD166" s="170">
        <v>6</v>
      </c>
      <c r="AE166" s="169">
        <v>4</v>
      </c>
      <c r="AF166" s="153">
        <v>5</v>
      </c>
      <c r="AG166" s="153">
        <v>10</v>
      </c>
      <c r="AH166" s="153">
        <v>6</v>
      </c>
      <c r="AI166" s="153">
        <v>8</v>
      </c>
      <c r="AJ166" s="153">
        <v>4</v>
      </c>
      <c r="AK166" s="153">
        <v>3</v>
      </c>
      <c r="AL166" s="153">
        <v>7</v>
      </c>
      <c r="AM166" s="153">
        <v>3</v>
      </c>
      <c r="AN166" s="153">
        <v>6</v>
      </c>
      <c r="AO166" s="153">
        <v>9</v>
      </c>
      <c r="AP166" s="153">
        <v>4</v>
      </c>
      <c r="AQ166" s="118"/>
      <c r="AR166" s="96">
        <f t="shared" si="28"/>
        <v>63</v>
      </c>
      <c r="AS166" s="96">
        <f t="shared" si="29"/>
        <v>69</v>
      </c>
    </row>
    <row r="167" spans="2:45" ht="15.75" customHeight="1">
      <c r="B167" s="168" t="s">
        <v>250</v>
      </c>
      <c r="C167" s="116" t="s">
        <v>378</v>
      </c>
      <c r="D167" s="120">
        <v>1</v>
      </c>
      <c r="E167" s="116" t="s">
        <v>377</v>
      </c>
      <c r="F167" s="119" t="s">
        <v>377</v>
      </c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69">
        <v>4</v>
      </c>
      <c r="T167" s="153">
        <v>7</v>
      </c>
      <c r="U167" s="153">
        <v>4</v>
      </c>
      <c r="V167" s="153">
        <v>3</v>
      </c>
      <c r="W167" s="153">
        <v>6</v>
      </c>
      <c r="X167" s="153">
        <v>5</v>
      </c>
      <c r="Y167" s="153">
        <v>5</v>
      </c>
      <c r="Z167" s="153">
        <v>2</v>
      </c>
      <c r="AA167" s="153">
        <v>1</v>
      </c>
      <c r="AB167" s="153">
        <v>5</v>
      </c>
      <c r="AC167" s="153">
        <v>6</v>
      </c>
      <c r="AD167" s="170">
        <v>9</v>
      </c>
      <c r="AE167" s="169">
        <v>1</v>
      </c>
      <c r="AF167" s="153">
        <v>6</v>
      </c>
      <c r="AG167" s="153">
        <v>4</v>
      </c>
      <c r="AH167" s="153">
        <v>4</v>
      </c>
      <c r="AI167" s="153">
        <v>3</v>
      </c>
      <c r="AJ167" s="153">
        <v>7</v>
      </c>
      <c r="AK167" s="153">
        <v>3</v>
      </c>
      <c r="AL167" s="153">
        <v>4</v>
      </c>
      <c r="AM167" s="153">
        <v>5</v>
      </c>
      <c r="AN167" s="153">
        <v>5</v>
      </c>
      <c r="AO167" s="153">
        <v>4</v>
      </c>
      <c r="AP167" s="153">
        <v>1</v>
      </c>
      <c r="AQ167" s="118"/>
      <c r="AR167" s="96">
        <f t="shared" si="28"/>
        <v>57</v>
      </c>
      <c r="AS167" s="96">
        <f t="shared" si="29"/>
        <v>47</v>
      </c>
    </row>
    <row r="168" spans="2:45" ht="15.75" customHeight="1">
      <c r="B168" s="168" t="s">
        <v>250</v>
      </c>
      <c r="C168" s="116" t="s">
        <v>452</v>
      </c>
      <c r="D168" s="120">
        <v>1</v>
      </c>
      <c r="E168" s="116" t="s">
        <v>377</v>
      </c>
      <c r="F168" s="119" t="s">
        <v>377</v>
      </c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69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70"/>
      <c r="AE168" s="169">
        <v>0</v>
      </c>
      <c r="AF168" s="153">
        <v>0</v>
      </c>
      <c r="AG168" s="153">
        <v>0</v>
      </c>
      <c r="AH168" s="153">
        <v>0</v>
      </c>
      <c r="AI168" s="153">
        <v>0</v>
      </c>
      <c r="AJ168" s="153">
        <v>0</v>
      </c>
      <c r="AK168" s="153">
        <v>0</v>
      </c>
      <c r="AL168" s="153">
        <v>0</v>
      </c>
      <c r="AM168" s="153">
        <v>0</v>
      </c>
      <c r="AN168" s="153">
        <v>0</v>
      </c>
      <c r="AO168" s="153">
        <v>0</v>
      </c>
      <c r="AP168" s="153">
        <v>0</v>
      </c>
      <c r="AQ168" s="118"/>
      <c r="AR168" s="96">
        <f t="shared" ref="AR168:AR231" si="30">SUM(S168:AD168)</f>
        <v>0</v>
      </c>
      <c r="AS168" s="96">
        <f t="shared" si="29"/>
        <v>0</v>
      </c>
    </row>
    <row r="169" spans="2:45" ht="15.75" customHeight="1">
      <c r="B169" s="168" t="s">
        <v>250</v>
      </c>
      <c r="C169" s="116" t="s">
        <v>379</v>
      </c>
      <c r="D169" s="120">
        <v>1</v>
      </c>
      <c r="E169" s="116" t="s">
        <v>377</v>
      </c>
      <c r="F169" s="119" t="s">
        <v>377</v>
      </c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69">
        <v>4</v>
      </c>
      <c r="T169" s="153">
        <v>6</v>
      </c>
      <c r="U169" s="153">
        <v>5</v>
      </c>
      <c r="V169" s="153">
        <v>4</v>
      </c>
      <c r="W169" s="153">
        <v>5</v>
      </c>
      <c r="X169" s="153">
        <v>6</v>
      </c>
      <c r="Y169" s="153">
        <v>2</v>
      </c>
      <c r="Z169" s="153">
        <v>5</v>
      </c>
      <c r="AA169" s="153">
        <v>2</v>
      </c>
      <c r="AB169" s="153">
        <v>6</v>
      </c>
      <c r="AC169" s="153">
        <v>7</v>
      </c>
      <c r="AD169" s="170">
        <v>2</v>
      </c>
      <c r="AE169" s="169">
        <v>3</v>
      </c>
      <c r="AF169" s="153">
        <v>2</v>
      </c>
      <c r="AG169" s="153">
        <v>5</v>
      </c>
      <c r="AH169" s="153">
        <v>5</v>
      </c>
      <c r="AI169" s="153">
        <v>4</v>
      </c>
      <c r="AJ169" s="153">
        <v>1</v>
      </c>
      <c r="AK169" s="153">
        <v>1</v>
      </c>
      <c r="AL169" s="153">
        <v>5</v>
      </c>
      <c r="AM169" s="153">
        <v>2</v>
      </c>
      <c r="AN169" s="153">
        <v>6</v>
      </c>
      <c r="AO169" s="153">
        <v>1</v>
      </c>
      <c r="AP169" s="153">
        <v>2</v>
      </c>
      <c r="AQ169" s="118"/>
      <c r="AR169" s="96">
        <f t="shared" si="30"/>
        <v>54</v>
      </c>
      <c r="AS169" s="96">
        <f t="shared" ref="AS169:AS232" si="31">SUM(AE169:AP169)</f>
        <v>37</v>
      </c>
    </row>
    <row r="170" spans="2:45" ht="15.75" customHeight="1">
      <c r="B170" s="168" t="s">
        <v>250</v>
      </c>
      <c r="C170" s="116" t="s">
        <v>380</v>
      </c>
      <c r="D170" s="120">
        <v>1</v>
      </c>
      <c r="E170" s="116" t="s">
        <v>377</v>
      </c>
      <c r="F170" s="119" t="s">
        <v>377</v>
      </c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69">
        <v>1</v>
      </c>
      <c r="T170" s="153">
        <v>5</v>
      </c>
      <c r="U170" s="153">
        <v>7</v>
      </c>
      <c r="V170" s="153">
        <v>5</v>
      </c>
      <c r="W170" s="153">
        <v>5</v>
      </c>
      <c r="X170" s="153">
        <v>4</v>
      </c>
      <c r="Y170" s="153">
        <v>4</v>
      </c>
      <c r="Z170" s="153">
        <v>5</v>
      </c>
      <c r="AA170" s="153">
        <v>2</v>
      </c>
      <c r="AB170" s="153">
        <v>10</v>
      </c>
      <c r="AC170" s="153">
        <v>6</v>
      </c>
      <c r="AD170" s="170">
        <v>7</v>
      </c>
      <c r="AE170" s="169">
        <v>5</v>
      </c>
      <c r="AF170" s="153">
        <v>2</v>
      </c>
      <c r="AG170" s="153">
        <v>7</v>
      </c>
      <c r="AH170" s="153">
        <v>4</v>
      </c>
      <c r="AI170" s="153">
        <v>5</v>
      </c>
      <c r="AJ170" s="153">
        <v>4</v>
      </c>
      <c r="AK170" s="153">
        <v>3</v>
      </c>
      <c r="AL170" s="153">
        <v>4</v>
      </c>
      <c r="AM170" s="153">
        <v>1</v>
      </c>
      <c r="AN170" s="153">
        <v>8</v>
      </c>
      <c r="AO170" s="153">
        <v>7</v>
      </c>
      <c r="AP170" s="153">
        <v>4</v>
      </c>
      <c r="AQ170" s="118"/>
      <c r="AR170" s="96">
        <f t="shared" si="30"/>
        <v>61</v>
      </c>
      <c r="AS170" s="96">
        <f t="shared" si="31"/>
        <v>54</v>
      </c>
    </row>
    <row r="171" spans="2:45" ht="15.75" customHeight="1">
      <c r="B171" s="168" t="s">
        <v>250</v>
      </c>
      <c r="C171" s="116" t="s">
        <v>381</v>
      </c>
      <c r="D171" s="120">
        <v>2</v>
      </c>
      <c r="E171" s="116" t="s">
        <v>377</v>
      </c>
      <c r="F171" s="119" t="s">
        <v>377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69">
        <v>0</v>
      </c>
      <c r="T171" s="153">
        <v>0</v>
      </c>
      <c r="U171" s="153">
        <v>0</v>
      </c>
      <c r="V171" s="153">
        <v>0</v>
      </c>
      <c r="W171" s="153">
        <v>0</v>
      </c>
      <c r="X171" s="153">
        <v>1</v>
      </c>
      <c r="Y171" s="153">
        <v>1</v>
      </c>
      <c r="Z171" s="153">
        <v>0</v>
      </c>
      <c r="AA171" s="153">
        <v>1</v>
      </c>
      <c r="AB171" s="153">
        <v>5</v>
      </c>
      <c r="AC171" s="153">
        <v>7</v>
      </c>
      <c r="AD171" s="170">
        <v>3</v>
      </c>
      <c r="AE171" s="169">
        <v>2</v>
      </c>
      <c r="AF171" s="153">
        <v>2</v>
      </c>
      <c r="AG171" s="153">
        <v>5</v>
      </c>
      <c r="AH171" s="153">
        <v>7</v>
      </c>
      <c r="AI171" s="153">
        <v>6</v>
      </c>
      <c r="AJ171" s="153">
        <v>2</v>
      </c>
      <c r="AK171" s="153">
        <v>2</v>
      </c>
      <c r="AL171" s="153">
        <v>4</v>
      </c>
      <c r="AM171" s="153">
        <v>4</v>
      </c>
      <c r="AN171" s="153">
        <v>6</v>
      </c>
      <c r="AO171" s="153">
        <v>8</v>
      </c>
      <c r="AP171" s="153">
        <v>6</v>
      </c>
      <c r="AQ171" s="118"/>
      <c r="AR171" s="96">
        <f t="shared" si="30"/>
        <v>18</v>
      </c>
      <c r="AS171" s="96">
        <f t="shared" si="31"/>
        <v>54</v>
      </c>
    </row>
    <row r="172" spans="2:45" ht="15.75" customHeight="1">
      <c r="B172" s="168" t="s">
        <v>250</v>
      </c>
      <c r="C172" s="116" t="s">
        <v>382</v>
      </c>
      <c r="D172" s="120">
        <v>2</v>
      </c>
      <c r="E172" s="116" t="s">
        <v>377</v>
      </c>
      <c r="F172" s="119" t="s">
        <v>377</v>
      </c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69">
        <v>8</v>
      </c>
      <c r="T172" s="153">
        <v>10</v>
      </c>
      <c r="U172" s="153">
        <v>13</v>
      </c>
      <c r="V172" s="153">
        <v>15</v>
      </c>
      <c r="W172" s="153">
        <v>9</v>
      </c>
      <c r="X172" s="153">
        <v>8</v>
      </c>
      <c r="Y172" s="153">
        <v>6</v>
      </c>
      <c r="Z172" s="153">
        <v>7</v>
      </c>
      <c r="AA172" s="153">
        <v>13</v>
      </c>
      <c r="AB172" s="153">
        <v>16</v>
      </c>
      <c r="AC172" s="153">
        <v>19</v>
      </c>
      <c r="AD172" s="170">
        <v>11</v>
      </c>
      <c r="AE172" s="169">
        <v>8</v>
      </c>
      <c r="AF172" s="153">
        <v>11</v>
      </c>
      <c r="AG172" s="153">
        <v>13</v>
      </c>
      <c r="AH172" s="153">
        <v>10</v>
      </c>
      <c r="AI172" s="153">
        <v>17</v>
      </c>
      <c r="AJ172" s="153">
        <v>15</v>
      </c>
      <c r="AK172" s="153">
        <v>10</v>
      </c>
      <c r="AL172" s="153">
        <v>8</v>
      </c>
      <c r="AM172" s="153">
        <v>11</v>
      </c>
      <c r="AN172" s="153">
        <v>14</v>
      </c>
      <c r="AO172" s="153">
        <v>18</v>
      </c>
      <c r="AP172" s="153">
        <v>8</v>
      </c>
      <c r="AQ172" s="118"/>
      <c r="AR172" s="96">
        <f t="shared" si="30"/>
        <v>135</v>
      </c>
      <c r="AS172" s="96">
        <f t="shared" si="31"/>
        <v>143</v>
      </c>
    </row>
    <row r="173" spans="2:45" ht="15.75" customHeight="1">
      <c r="B173" s="168" t="s">
        <v>250</v>
      </c>
      <c r="C173" s="116" t="s">
        <v>383</v>
      </c>
      <c r="D173" s="120">
        <v>1</v>
      </c>
      <c r="E173" s="116" t="s">
        <v>377</v>
      </c>
      <c r="F173" s="119" t="s">
        <v>377</v>
      </c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69">
        <v>0</v>
      </c>
      <c r="T173" s="153">
        <v>0</v>
      </c>
      <c r="U173" s="153">
        <v>0</v>
      </c>
      <c r="V173" s="153">
        <v>0</v>
      </c>
      <c r="W173" s="153">
        <v>0</v>
      </c>
      <c r="X173" s="153">
        <v>0</v>
      </c>
      <c r="Y173" s="153">
        <v>0</v>
      </c>
      <c r="Z173" s="153">
        <v>0</v>
      </c>
      <c r="AA173" s="153">
        <v>0</v>
      </c>
      <c r="AB173" s="153">
        <v>0</v>
      </c>
      <c r="AC173" s="153">
        <v>0</v>
      </c>
      <c r="AD173" s="170">
        <v>0</v>
      </c>
      <c r="AE173" s="169">
        <v>0</v>
      </c>
      <c r="AF173" s="153">
        <v>0</v>
      </c>
      <c r="AG173" s="153">
        <v>0</v>
      </c>
      <c r="AH173" s="153">
        <v>0</v>
      </c>
      <c r="AI173" s="153">
        <v>2</v>
      </c>
      <c r="AJ173" s="153">
        <v>0</v>
      </c>
      <c r="AK173" s="153">
        <v>0</v>
      </c>
      <c r="AL173" s="153">
        <v>0</v>
      </c>
      <c r="AM173" s="153">
        <v>1</v>
      </c>
      <c r="AN173" s="153">
        <v>2</v>
      </c>
      <c r="AO173" s="153">
        <v>0</v>
      </c>
      <c r="AP173" s="153">
        <v>1</v>
      </c>
      <c r="AQ173" s="118"/>
      <c r="AR173" s="96">
        <f t="shared" si="30"/>
        <v>0</v>
      </c>
      <c r="AS173" s="96">
        <f t="shared" si="31"/>
        <v>6</v>
      </c>
    </row>
    <row r="174" spans="2:45" ht="15.75" customHeight="1">
      <c r="B174" s="168" t="s">
        <v>250</v>
      </c>
      <c r="C174" s="116" t="s">
        <v>384</v>
      </c>
      <c r="D174" s="120">
        <v>1</v>
      </c>
      <c r="E174" s="116" t="s">
        <v>385</v>
      </c>
      <c r="F174" s="119" t="s">
        <v>385</v>
      </c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69">
        <v>0</v>
      </c>
      <c r="T174" s="153">
        <v>0</v>
      </c>
      <c r="U174" s="153">
        <v>0</v>
      </c>
      <c r="V174" s="153">
        <v>0</v>
      </c>
      <c r="W174" s="153">
        <v>0</v>
      </c>
      <c r="X174" s="153">
        <v>0</v>
      </c>
      <c r="Y174" s="153">
        <v>0</v>
      </c>
      <c r="Z174" s="153">
        <v>0</v>
      </c>
      <c r="AA174" s="153">
        <v>1</v>
      </c>
      <c r="AB174" s="153">
        <v>2</v>
      </c>
      <c r="AC174" s="153">
        <v>3</v>
      </c>
      <c r="AD174" s="170">
        <v>2</v>
      </c>
      <c r="AE174" s="169">
        <v>2</v>
      </c>
      <c r="AF174" s="153">
        <v>7</v>
      </c>
      <c r="AG174" s="153">
        <v>2</v>
      </c>
      <c r="AH174" s="153">
        <v>6</v>
      </c>
      <c r="AI174" s="153">
        <v>6</v>
      </c>
      <c r="AJ174" s="153">
        <v>15</v>
      </c>
      <c r="AK174" s="153">
        <v>7</v>
      </c>
      <c r="AL174" s="153">
        <v>14</v>
      </c>
      <c r="AM174" s="153">
        <v>11</v>
      </c>
      <c r="AN174" s="153">
        <v>17</v>
      </c>
      <c r="AO174" s="153">
        <v>16</v>
      </c>
      <c r="AP174" s="153">
        <v>14</v>
      </c>
      <c r="AQ174" s="118"/>
      <c r="AR174" s="96">
        <f t="shared" si="30"/>
        <v>8</v>
      </c>
      <c r="AS174" s="96">
        <f t="shared" si="31"/>
        <v>117</v>
      </c>
    </row>
    <row r="175" spans="2:45" ht="15.75" customHeight="1">
      <c r="B175" s="171" t="s">
        <v>250</v>
      </c>
      <c r="C175" s="172" t="s">
        <v>386</v>
      </c>
      <c r="D175" s="173">
        <v>1</v>
      </c>
      <c r="E175" s="174" t="s">
        <v>348</v>
      </c>
      <c r="F175" s="175" t="s">
        <v>363</v>
      </c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7">
        <v>0</v>
      </c>
      <c r="T175" s="176">
        <v>0</v>
      </c>
      <c r="U175" s="176">
        <v>0</v>
      </c>
      <c r="V175" s="176">
        <v>0</v>
      </c>
      <c r="W175" s="176">
        <v>0</v>
      </c>
      <c r="X175" s="176">
        <v>0</v>
      </c>
      <c r="Y175" s="176">
        <v>0</v>
      </c>
      <c r="Z175" s="176">
        <v>0</v>
      </c>
      <c r="AA175" s="176">
        <v>0</v>
      </c>
      <c r="AB175" s="176">
        <v>0</v>
      </c>
      <c r="AC175" s="176">
        <v>0</v>
      </c>
      <c r="AD175" s="178">
        <v>0</v>
      </c>
      <c r="AE175" s="177">
        <v>0</v>
      </c>
      <c r="AF175" s="176">
        <v>0</v>
      </c>
      <c r="AG175" s="176">
        <v>0</v>
      </c>
      <c r="AH175" s="176">
        <v>0</v>
      </c>
      <c r="AI175" s="176">
        <v>0</v>
      </c>
      <c r="AJ175" s="176">
        <v>1</v>
      </c>
      <c r="AK175" s="176">
        <v>0</v>
      </c>
      <c r="AL175" s="176">
        <v>0</v>
      </c>
      <c r="AM175" s="176">
        <v>1</v>
      </c>
      <c r="AN175" s="176">
        <v>0</v>
      </c>
      <c r="AO175" s="176">
        <v>0</v>
      </c>
      <c r="AP175" s="176">
        <v>0</v>
      </c>
      <c r="AQ175" s="118"/>
      <c r="AR175" s="96">
        <f t="shared" si="30"/>
        <v>0</v>
      </c>
      <c r="AS175" s="96">
        <f t="shared" si="31"/>
        <v>2</v>
      </c>
    </row>
    <row r="176" spans="2:45" ht="15.75" customHeight="1">
      <c r="B176" s="168" t="s">
        <v>251</v>
      </c>
      <c r="C176" s="116" t="s">
        <v>347</v>
      </c>
      <c r="D176" s="120">
        <v>1</v>
      </c>
      <c r="E176" s="116" t="s">
        <v>348</v>
      </c>
      <c r="F176" s="119" t="s">
        <v>349</v>
      </c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69">
        <v>3</v>
      </c>
      <c r="T176" s="153">
        <v>1</v>
      </c>
      <c r="U176" s="153">
        <v>3</v>
      </c>
      <c r="V176" s="153">
        <v>5</v>
      </c>
      <c r="W176" s="153">
        <v>3</v>
      </c>
      <c r="X176" s="153">
        <v>2</v>
      </c>
      <c r="Y176" s="153">
        <v>3</v>
      </c>
      <c r="Z176" s="153">
        <v>2</v>
      </c>
      <c r="AA176" s="153">
        <v>0</v>
      </c>
      <c r="AB176" s="153">
        <v>3</v>
      </c>
      <c r="AC176" s="153">
        <v>4</v>
      </c>
      <c r="AD176" s="170">
        <v>0</v>
      </c>
      <c r="AE176" s="169">
        <v>3</v>
      </c>
      <c r="AF176" s="153">
        <v>1</v>
      </c>
      <c r="AG176" s="153">
        <v>3</v>
      </c>
      <c r="AH176" s="153">
        <v>3</v>
      </c>
      <c r="AI176" s="153">
        <v>4</v>
      </c>
      <c r="AJ176" s="153">
        <v>1</v>
      </c>
      <c r="AK176" s="153">
        <v>1</v>
      </c>
      <c r="AL176" s="153">
        <v>0</v>
      </c>
      <c r="AM176" s="153">
        <v>1</v>
      </c>
      <c r="AN176" s="153">
        <v>7</v>
      </c>
      <c r="AO176" s="153">
        <v>4</v>
      </c>
      <c r="AP176" s="153">
        <v>3</v>
      </c>
      <c r="AQ176" s="118"/>
      <c r="AR176" s="96">
        <f t="shared" si="30"/>
        <v>29</v>
      </c>
      <c r="AS176" s="96">
        <f t="shared" si="31"/>
        <v>31</v>
      </c>
    </row>
    <row r="177" spans="2:45" ht="15.75" customHeight="1">
      <c r="B177" s="168" t="s">
        <v>251</v>
      </c>
      <c r="C177" s="116" t="s">
        <v>350</v>
      </c>
      <c r="D177" s="120">
        <v>2</v>
      </c>
      <c r="E177" s="116" t="s">
        <v>348</v>
      </c>
      <c r="F177" s="119" t="s">
        <v>349</v>
      </c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69">
        <v>0</v>
      </c>
      <c r="T177" s="153">
        <v>1</v>
      </c>
      <c r="U177" s="153">
        <v>4</v>
      </c>
      <c r="V177" s="153">
        <v>1</v>
      </c>
      <c r="W177" s="153">
        <v>3</v>
      </c>
      <c r="X177" s="153">
        <v>3</v>
      </c>
      <c r="Y177" s="153">
        <v>4</v>
      </c>
      <c r="Z177" s="153">
        <v>1</v>
      </c>
      <c r="AA177" s="153">
        <v>5</v>
      </c>
      <c r="AB177" s="153">
        <v>5</v>
      </c>
      <c r="AC177" s="153">
        <v>3</v>
      </c>
      <c r="AD177" s="170">
        <v>1</v>
      </c>
      <c r="AE177" s="169">
        <v>1</v>
      </c>
      <c r="AF177" s="153">
        <v>0</v>
      </c>
      <c r="AG177" s="153">
        <v>1</v>
      </c>
      <c r="AH177" s="153">
        <v>1</v>
      </c>
      <c r="AI177" s="153">
        <v>2</v>
      </c>
      <c r="AJ177" s="153">
        <v>2</v>
      </c>
      <c r="AK177" s="153">
        <v>1</v>
      </c>
      <c r="AL177" s="153">
        <v>3</v>
      </c>
      <c r="AM177" s="153">
        <v>3</v>
      </c>
      <c r="AN177" s="153">
        <v>5</v>
      </c>
      <c r="AO177" s="153">
        <v>5</v>
      </c>
      <c r="AP177" s="153">
        <v>1</v>
      </c>
      <c r="AQ177" s="118"/>
      <c r="AR177" s="96">
        <f t="shared" si="30"/>
        <v>31</v>
      </c>
      <c r="AS177" s="96">
        <f t="shared" si="31"/>
        <v>25</v>
      </c>
    </row>
    <row r="178" spans="2:45" ht="15.75" customHeight="1">
      <c r="B178" s="168" t="s">
        <v>251</v>
      </c>
      <c r="C178" s="116" t="s">
        <v>351</v>
      </c>
      <c r="D178" s="120">
        <v>2</v>
      </c>
      <c r="E178" s="116" t="s">
        <v>348</v>
      </c>
      <c r="F178" s="119" t="s">
        <v>349</v>
      </c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69">
        <v>1</v>
      </c>
      <c r="T178" s="153">
        <v>4</v>
      </c>
      <c r="U178" s="153">
        <v>4</v>
      </c>
      <c r="V178" s="153">
        <v>5</v>
      </c>
      <c r="W178" s="153">
        <v>5</v>
      </c>
      <c r="X178" s="153">
        <v>11</v>
      </c>
      <c r="Y178" s="153">
        <v>5</v>
      </c>
      <c r="Z178" s="153">
        <v>1</v>
      </c>
      <c r="AA178" s="153">
        <v>2</v>
      </c>
      <c r="AB178" s="153">
        <v>9</v>
      </c>
      <c r="AC178" s="153">
        <v>3</v>
      </c>
      <c r="AD178" s="170">
        <v>3</v>
      </c>
      <c r="AE178" s="169">
        <v>3</v>
      </c>
      <c r="AF178" s="153">
        <v>1</v>
      </c>
      <c r="AG178" s="153">
        <v>3</v>
      </c>
      <c r="AH178" s="153">
        <v>5</v>
      </c>
      <c r="AI178" s="153">
        <v>8</v>
      </c>
      <c r="AJ178" s="153">
        <v>5</v>
      </c>
      <c r="AK178" s="153">
        <v>1</v>
      </c>
      <c r="AL178" s="153">
        <v>5</v>
      </c>
      <c r="AM178" s="153">
        <v>3</v>
      </c>
      <c r="AN178" s="153">
        <v>6</v>
      </c>
      <c r="AO178" s="153">
        <v>3</v>
      </c>
      <c r="AP178" s="153">
        <v>3</v>
      </c>
      <c r="AQ178" s="118"/>
      <c r="AR178" s="96">
        <f t="shared" si="30"/>
        <v>53</v>
      </c>
      <c r="AS178" s="96">
        <f t="shared" si="31"/>
        <v>46</v>
      </c>
    </row>
    <row r="179" spans="2:45" ht="15.75" customHeight="1">
      <c r="B179" s="168" t="s">
        <v>251</v>
      </c>
      <c r="C179" s="116" t="s">
        <v>352</v>
      </c>
      <c r="D179" s="120">
        <v>1</v>
      </c>
      <c r="E179" s="116" t="s">
        <v>348</v>
      </c>
      <c r="F179" s="119" t="s">
        <v>349</v>
      </c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69">
        <v>3</v>
      </c>
      <c r="T179" s="153">
        <v>3</v>
      </c>
      <c r="U179" s="153">
        <v>10</v>
      </c>
      <c r="V179" s="153">
        <v>3</v>
      </c>
      <c r="W179" s="153">
        <v>7</v>
      </c>
      <c r="X179" s="153">
        <v>6</v>
      </c>
      <c r="Y179" s="153">
        <v>5</v>
      </c>
      <c r="Z179" s="153">
        <v>5</v>
      </c>
      <c r="AA179" s="153">
        <v>1</v>
      </c>
      <c r="AB179" s="153">
        <v>7</v>
      </c>
      <c r="AC179" s="153">
        <v>9</v>
      </c>
      <c r="AD179" s="170">
        <v>6</v>
      </c>
      <c r="AE179" s="169">
        <v>4</v>
      </c>
      <c r="AF179" s="153">
        <v>6</v>
      </c>
      <c r="AG179" s="153">
        <v>10</v>
      </c>
      <c r="AH179" s="153">
        <v>5</v>
      </c>
      <c r="AI179" s="153">
        <v>9</v>
      </c>
      <c r="AJ179" s="153">
        <v>9</v>
      </c>
      <c r="AK179" s="153">
        <v>4</v>
      </c>
      <c r="AL179" s="153">
        <v>5</v>
      </c>
      <c r="AM179" s="153">
        <v>4</v>
      </c>
      <c r="AN179" s="153">
        <v>11</v>
      </c>
      <c r="AO179" s="153">
        <v>7</v>
      </c>
      <c r="AP179" s="153">
        <v>3</v>
      </c>
      <c r="AQ179" s="118"/>
      <c r="AR179" s="96">
        <f t="shared" si="30"/>
        <v>65</v>
      </c>
      <c r="AS179" s="96">
        <f t="shared" si="31"/>
        <v>77</v>
      </c>
    </row>
    <row r="180" spans="2:45" ht="15.75" customHeight="1">
      <c r="B180" s="168" t="s">
        <v>251</v>
      </c>
      <c r="C180" s="116" t="s">
        <v>353</v>
      </c>
      <c r="D180" s="120">
        <v>1</v>
      </c>
      <c r="E180" s="116" t="s">
        <v>348</v>
      </c>
      <c r="F180" s="119" t="s">
        <v>349</v>
      </c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69">
        <v>3</v>
      </c>
      <c r="T180" s="153">
        <v>2</v>
      </c>
      <c r="U180" s="153">
        <v>2</v>
      </c>
      <c r="V180" s="153">
        <v>3</v>
      </c>
      <c r="W180" s="153">
        <v>2</v>
      </c>
      <c r="X180" s="153">
        <v>2</v>
      </c>
      <c r="Y180" s="153">
        <v>1</v>
      </c>
      <c r="Z180" s="153">
        <v>0</v>
      </c>
      <c r="AA180" s="153">
        <v>1</v>
      </c>
      <c r="AB180" s="153">
        <v>3</v>
      </c>
      <c r="AC180" s="153">
        <v>2</v>
      </c>
      <c r="AD180" s="170">
        <v>0</v>
      </c>
      <c r="AE180" s="169">
        <v>0</v>
      </c>
      <c r="AF180" s="153">
        <v>2</v>
      </c>
      <c r="AG180" s="153">
        <v>1</v>
      </c>
      <c r="AH180" s="153">
        <v>2</v>
      </c>
      <c r="AI180" s="153">
        <v>3</v>
      </c>
      <c r="AJ180" s="153">
        <v>3</v>
      </c>
      <c r="AK180" s="153">
        <v>0</v>
      </c>
      <c r="AL180" s="153">
        <v>1</v>
      </c>
      <c r="AM180" s="153">
        <v>0</v>
      </c>
      <c r="AN180" s="153">
        <v>2</v>
      </c>
      <c r="AO180" s="153">
        <v>3</v>
      </c>
      <c r="AP180" s="153">
        <v>1</v>
      </c>
      <c r="AQ180" s="118"/>
      <c r="AR180" s="96">
        <f t="shared" si="30"/>
        <v>21</v>
      </c>
      <c r="AS180" s="96">
        <f t="shared" si="31"/>
        <v>18</v>
      </c>
    </row>
    <row r="181" spans="2:45" ht="15.75" customHeight="1">
      <c r="B181" s="168" t="s">
        <v>251</v>
      </c>
      <c r="C181" s="116" t="s">
        <v>354</v>
      </c>
      <c r="D181" s="120">
        <v>1</v>
      </c>
      <c r="E181" s="116" t="s">
        <v>348</v>
      </c>
      <c r="F181" s="119" t="s">
        <v>355</v>
      </c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69">
        <v>5</v>
      </c>
      <c r="T181" s="153">
        <v>6</v>
      </c>
      <c r="U181" s="153">
        <v>9</v>
      </c>
      <c r="V181" s="153">
        <v>6</v>
      </c>
      <c r="W181" s="153">
        <v>6</v>
      </c>
      <c r="X181" s="153">
        <v>11</v>
      </c>
      <c r="Y181" s="153">
        <v>12</v>
      </c>
      <c r="Z181" s="153">
        <v>5</v>
      </c>
      <c r="AA181" s="153">
        <v>8</v>
      </c>
      <c r="AB181" s="153">
        <v>10</v>
      </c>
      <c r="AC181" s="153">
        <v>10</v>
      </c>
      <c r="AD181" s="170">
        <v>2</v>
      </c>
      <c r="AE181" s="169">
        <v>5</v>
      </c>
      <c r="AF181" s="153">
        <v>6</v>
      </c>
      <c r="AG181" s="153">
        <v>5</v>
      </c>
      <c r="AH181" s="153">
        <v>6</v>
      </c>
      <c r="AI181" s="153">
        <v>8</v>
      </c>
      <c r="AJ181" s="153">
        <v>5</v>
      </c>
      <c r="AK181" s="153">
        <v>6</v>
      </c>
      <c r="AL181" s="153">
        <v>5</v>
      </c>
      <c r="AM181" s="153">
        <v>7</v>
      </c>
      <c r="AN181" s="153">
        <v>7</v>
      </c>
      <c r="AO181" s="153">
        <v>6</v>
      </c>
      <c r="AP181" s="153">
        <v>8</v>
      </c>
      <c r="AQ181" s="118"/>
      <c r="AR181" s="96">
        <f t="shared" si="30"/>
        <v>90</v>
      </c>
      <c r="AS181" s="96">
        <f t="shared" si="31"/>
        <v>74</v>
      </c>
    </row>
    <row r="182" spans="2:45" ht="15.75" customHeight="1">
      <c r="B182" s="168" t="s">
        <v>251</v>
      </c>
      <c r="C182" s="116" t="s">
        <v>356</v>
      </c>
      <c r="D182" s="120">
        <v>1</v>
      </c>
      <c r="E182" s="116" t="s">
        <v>348</v>
      </c>
      <c r="F182" s="119" t="s">
        <v>355</v>
      </c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69">
        <v>1</v>
      </c>
      <c r="T182" s="153">
        <v>0</v>
      </c>
      <c r="U182" s="153">
        <v>0</v>
      </c>
      <c r="V182" s="153">
        <v>1</v>
      </c>
      <c r="W182" s="153">
        <v>1</v>
      </c>
      <c r="X182" s="153">
        <v>1</v>
      </c>
      <c r="Y182" s="153">
        <v>1</v>
      </c>
      <c r="Z182" s="153">
        <v>4</v>
      </c>
      <c r="AA182" s="153">
        <v>1</v>
      </c>
      <c r="AB182" s="153">
        <v>5</v>
      </c>
      <c r="AC182" s="153">
        <v>5</v>
      </c>
      <c r="AD182" s="170">
        <v>0</v>
      </c>
      <c r="AE182" s="169">
        <v>1</v>
      </c>
      <c r="AF182" s="153">
        <v>2</v>
      </c>
      <c r="AG182" s="153">
        <v>2</v>
      </c>
      <c r="AH182" s="153">
        <v>3</v>
      </c>
      <c r="AI182" s="153">
        <v>1</v>
      </c>
      <c r="AJ182" s="153">
        <v>1</v>
      </c>
      <c r="AK182" s="153">
        <v>1</v>
      </c>
      <c r="AL182" s="153">
        <v>2</v>
      </c>
      <c r="AM182" s="153">
        <v>2</v>
      </c>
      <c r="AN182" s="153">
        <v>2</v>
      </c>
      <c r="AO182" s="153">
        <v>1</v>
      </c>
      <c r="AP182" s="153">
        <v>0</v>
      </c>
      <c r="AQ182" s="118"/>
      <c r="AR182" s="96">
        <f t="shared" si="30"/>
        <v>20</v>
      </c>
      <c r="AS182" s="96">
        <f t="shared" si="31"/>
        <v>18</v>
      </c>
    </row>
    <row r="183" spans="2:45" ht="15.75" customHeight="1">
      <c r="B183" s="168" t="s">
        <v>251</v>
      </c>
      <c r="C183" s="116" t="s">
        <v>357</v>
      </c>
      <c r="D183" s="120">
        <v>2</v>
      </c>
      <c r="E183" s="116" t="s">
        <v>348</v>
      </c>
      <c r="F183" s="119" t="s">
        <v>355</v>
      </c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69">
        <v>2</v>
      </c>
      <c r="T183" s="153">
        <v>1</v>
      </c>
      <c r="U183" s="153">
        <v>4</v>
      </c>
      <c r="V183" s="153">
        <v>6</v>
      </c>
      <c r="W183" s="153">
        <v>4</v>
      </c>
      <c r="X183" s="153">
        <v>5</v>
      </c>
      <c r="Y183" s="153">
        <v>3</v>
      </c>
      <c r="Z183" s="153">
        <v>5</v>
      </c>
      <c r="AA183" s="153">
        <v>4</v>
      </c>
      <c r="AB183" s="153">
        <v>9</v>
      </c>
      <c r="AC183" s="153">
        <v>9</v>
      </c>
      <c r="AD183" s="170">
        <v>4</v>
      </c>
      <c r="AE183" s="169">
        <v>4</v>
      </c>
      <c r="AF183" s="153">
        <v>1</v>
      </c>
      <c r="AG183" s="153">
        <v>5</v>
      </c>
      <c r="AH183" s="153">
        <v>2</v>
      </c>
      <c r="AI183" s="153">
        <v>3</v>
      </c>
      <c r="AJ183" s="153">
        <v>6</v>
      </c>
      <c r="AK183" s="153">
        <v>1</v>
      </c>
      <c r="AL183" s="153">
        <v>4</v>
      </c>
      <c r="AM183" s="153">
        <v>8</v>
      </c>
      <c r="AN183" s="153">
        <v>4</v>
      </c>
      <c r="AO183" s="153">
        <v>10</v>
      </c>
      <c r="AP183" s="153">
        <v>3</v>
      </c>
      <c r="AQ183" s="118"/>
      <c r="AR183" s="96">
        <f t="shared" si="30"/>
        <v>56</v>
      </c>
      <c r="AS183" s="96">
        <f t="shared" si="31"/>
        <v>51</v>
      </c>
    </row>
    <row r="184" spans="2:45" ht="15.75" customHeight="1">
      <c r="B184" s="168" t="s">
        <v>251</v>
      </c>
      <c r="C184" s="116" t="s">
        <v>358</v>
      </c>
      <c r="D184" s="120">
        <v>1</v>
      </c>
      <c r="E184" s="116" t="s">
        <v>348</v>
      </c>
      <c r="F184" s="119" t="s">
        <v>355</v>
      </c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69">
        <v>2</v>
      </c>
      <c r="T184" s="153">
        <v>1</v>
      </c>
      <c r="U184" s="153">
        <v>4</v>
      </c>
      <c r="V184" s="153">
        <v>6</v>
      </c>
      <c r="W184" s="153">
        <v>4</v>
      </c>
      <c r="X184" s="153">
        <v>5</v>
      </c>
      <c r="Y184" s="153">
        <v>3</v>
      </c>
      <c r="Z184" s="153">
        <v>5</v>
      </c>
      <c r="AA184" s="153">
        <v>1</v>
      </c>
      <c r="AB184" s="153">
        <v>4</v>
      </c>
      <c r="AC184" s="153">
        <v>8</v>
      </c>
      <c r="AD184" s="170">
        <v>5</v>
      </c>
      <c r="AE184" s="169">
        <v>1</v>
      </c>
      <c r="AF184" s="153">
        <v>3</v>
      </c>
      <c r="AG184" s="153">
        <v>5</v>
      </c>
      <c r="AH184" s="153">
        <v>3</v>
      </c>
      <c r="AI184" s="153">
        <v>7</v>
      </c>
      <c r="AJ184" s="153">
        <v>6</v>
      </c>
      <c r="AK184" s="153">
        <v>3</v>
      </c>
      <c r="AL184" s="153">
        <v>3</v>
      </c>
      <c r="AM184" s="153">
        <v>4</v>
      </c>
      <c r="AN184" s="153">
        <v>3</v>
      </c>
      <c r="AO184" s="153">
        <v>10</v>
      </c>
      <c r="AP184" s="153">
        <v>2</v>
      </c>
      <c r="AQ184" s="118"/>
      <c r="AR184" s="96">
        <f t="shared" si="30"/>
        <v>48</v>
      </c>
      <c r="AS184" s="96">
        <f t="shared" si="31"/>
        <v>50</v>
      </c>
    </row>
    <row r="185" spans="2:45" ht="15.75" customHeight="1">
      <c r="B185" s="168" t="s">
        <v>251</v>
      </c>
      <c r="C185" s="116" t="s">
        <v>359</v>
      </c>
      <c r="D185" s="120">
        <v>1</v>
      </c>
      <c r="E185" s="116" t="s">
        <v>348</v>
      </c>
      <c r="F185" s="119" t="s">
        <v>355</v>
      </c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69">
        <v>4</v>
      </c>
      <c r="T185" s="153">
        <v>6</v>
      </c>
      <c r="U185" s="153">
        <v>13</v>
      </c>
      <c r="V185" s="153">
        <v>17</v>
      </c>
      <c r="W185" s="153">
        <v>17</v>
      </c>
      <c r="X185" s="153">
        <v>14</v>
      </c>
      <c r="Y185" s="153">
        <v>11</v>
      </c>
      <c r="Z185" s="153">
        <v>11</v>
      </c>
      <c r="AA185" s="153">
        <v>13</v>
      </c>
      <c r="AB185" s="153">
        <v>15</v>
      </c>
      <c r="AC185" s="153">
        <v>18</v>
      </c>
      <c r="AD185" s="170">
        <v>10</v>
      </c>
      <c r="AE185" s="169">
        <v>4</v>
      </c>
      <c r="AF185" s="153">
        <v>7</v>
      </c>
      <c r="AG185" s="153">
        <v>12</v>
      </c>
      <c r="AH185" s="153">
        <v>13</v>
      </c>
      <c r="AI185" s="153">
        <v>14</v>
      </c>
      <c r="AJ185" s="153">
        <v>8</v>
      </c>
      <c r="AK185" s="153">
        <v>7</v>
      </c>
      <c r="AL185" s="153">
        <v>8</v>
      </c>
      <c r="AM185" s="153">
        <v>12</v>
      </c>
      <c r="AN185" s="153">
        <v>15</v>
      </c>
      <c r="AO185" s="153">
        <v>18</v>
      </c>
      <c r="AP185" s="153">
        <v>4</v>
      </c>
      <c r="AQ185" s="118"/>
      <c r="AR185" s="96">
        <f t="shared" si="30"/>
        <v>149</v>
      </c>
      <c r="AS185" s="96">
        <f t="shared" si="31"/>
        <v>122</v>
      </c>
    </row>
    <row r="186" spans="2:45" ht="15.75" customHeight="1">
      <c r="B186" s="168" t="s">
        <v>251</v>
      </c>
      <c r="C186" s="116" t="s">
        <v>360</v>
      </c>
      <c r="D186" s="120">
        <v>2</v>
      </c>
      <c r="E186" s="116" t="s">
        <v>348</v>
      </c>
      <c r="F186" s="119" t="s">
        <v>355</v>
      </c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69">
        <v>0</v>
      </c>
      <c r="T186" s="153">
        <v>0</v>
      </c>
      <c r="U186" s="153">
        <v>0</v>
      </c>
      <c r="V186" s="153">
        <v>0</v>
      </c>
      <c r="W186" s="153">
        <v>0</v>
      </c>
      <c r="X186" s="153">
        <v>0</v>
      </c>
      <c r="Y186" s="153">
        <v>0</v>
      </c>
      <c r="Z186" s="153">
        <v>0</v>
      </c>
      <c r="AA186" s="153">
        <v>0</v>
      </c>
      <c r="AB186" s="153">
        <v>0</v>
      </c>
      <c r="AC186" s="153">
        <v>0</v>
      </c>
      <c r="AD186" s="170">
        <v>0</v>
      </c>
      <c r="AE186" s="169">
        <v>0</v>
      </c>
      <c r="AF186" s="153">
        <v>0</v>
      </c>
      <c r="AG186" s="153">
        <v>3</v>
      </c>
      <c r="AH186" s="153">
        <v>2</v>
      </c>
      <c r="AI186" s="153">
        <v>4</v>
      </c>
      <c r="AJ186" s="153">
        <v>0</v>
      </c>
      <c r="AK186" s="153">
        <v>0</v>
      </c>
      <c r="AL186" s="153">
        <v>2</v>
      </c>
      <c r="AM186" s="153">
        <v>1</v>
      </c>
      <c r="AN186" s="153">
        <v>4</v>
      </c>
      <c r="AO186" s="153">
        <v>2</v>
      </c>
      <c r="AP186" s="153">
        <v>1</v>
      </c>
      <c r="AQ186" s="118"/>
      <c r="AR186" s="96">
        <f t="shared" si="30"/>
        <v>0</v>
      </c>
      <c r="AS186" s="96">
        <f t="shared" si="31"/>
        <v>19</v>
      </c>
    </row>
    <row r="187" spans="2:45" ht="15.75" customHeight="1">
      <c r="B187" s="168" t="s">
        <v>251</v>
      </c>
      <c r="C187" s="116" t="s">
        <v>361</v>
      </c>
      <c r="D187" s="120">
        <v>1</v>
      </c>
      <c r="E187" s="116" t="s">
        <v>348</v>
      </c>
      <c r="F187" s="119" t="s">
        <v>355</v>
      </c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69">
        <v>0</v>
      </c>
      <c r="T187" s="153">
        <v>0</v>
      </c>
      <c r="U187" s="153">
        <v>1</v>
      </c>
      <c r="V187" s="153">
        <v>1</v>
      </c>
      <c r="W187" s="153">
        <v>6</v>
      </c>
      <c r="X187" s="153">
        <v>4</v>
      </c>
      <c r="Y187" s="153">
        <v>0</v>
      </c>
      <c r="Z187" s="153">
        <v>1</v>
      </c>
      <c r="AA187" s="153">
        <v>3</v>
      </c>
      <c r="AB187" s="153">
        <v>4</v>
      </c>
      <c r="AC187" s="153">
        <v>7</v>
      </c>
      <c r="AD187" s="170">
        <v>6</v>
      </c>
      <c r="AE187" s="169">
        <v>0</v>
      </c>
      <c r="AF187" s="153">
        <v>0</v>
      </c>
      <c r="AG187" s="153">
        <v>2</v>
      </c>
      <c r="AH187" s="153">
        <v>4</v>
      </c>
      <c r="AI187" s="153">
        <v>5</v>
      </c>
      <c r="AJ187" s="153">
        <v>1</v>
      </c>
      <c r="AK187" s="153">
        <v>4</v>
      </c>
      <c r="AL187" s="153">
        <v>0</v>
      </c>
      <c r="AM187" s="153">
        <v>3</v>
      </c>
      <c r="AN187" s="153">
        <v>3</v>
      </c>
      <c r="AO187" s="153">
        <v>3</v>
      </c>
      <c r="AP187" s="153">
        <v>0</v>
      </c>
      <c r="AQ187" s="118"/>
      <c r="AR187" s="96">
        <f t="shared" si="30"/>
        <v>33</v>
      </c>
      <c r="AS187" s="96">
        <f t="shared" si="31"/>
        <v>25</v>
      </c>
    </row>
    <row r="188" spans="2:45" ht="15.75" customHeight="1">
      <c r="B188" s="168" t="s">
        <v>251</v>
      </c>
      <c r="C188" s="116" t="s">
        <v>362</v>
      </c>
      <c r="D188" s="120">
        <v>1</v>
      </c>
      <c r="E188" s="116" t="s">
        <v>348</v>
      </c>
      <c r="F188" s="119" t="s">
        <v>363</v>
      </c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69">
        <v>2</v>
      </c>
      <c r="T188" s="153">
        <v>3</v>
      </c>
      <c r="U188" s="153">
        <v>5</v>
      </c>
      <c r="V188" s="153">
        <v>7</v>
      </c>
      <c r="W188" s="153">
        <v>6</v>
      </c>
      <c r="X188" s="153">
        <v>3</v>
      </c>
      <c r="Y188" s="153">
        <v>1</v>
      </c>
      <c r="Z188" s="153">
        <v>5</v>
      </c>
      <c r="AA188" s="153">
        <v>3</v>
      </c>
      <c r="AB188" s="153">
        <v>7</v>
      </c>
      <c r="AC188" s="153">
        <v>6</v>
      </c>
      <c r="AD188" s="170">
        <v>3</v>
      </c>
      <c r="AE188" s="169">
        <v>6</v>
      </c>
      <c r="AF188" s="153">
        <v>1</v>
      </c>
      <c r="AG188" s="153">
        <v>4</v>
      </c>
      <c r="AH188" s="153">
        <v>3</v>
      </c>
      <c r="AI188" s="153">
        <v>3</v>
      </c>
      <c r="AJ188" s="153">
        <v>2</v>
      </c>
      <c r="AK188" s="153">
        <v>1</v>
      </c>
      <c r="AL188" s="153">
        <v>4</v>
      </c>
      <c r="AM188" s="153">
        <v>2</v>
      </c>
      <c r="AN188" s="153">
        <v>8</v>
      </c>
      <c r="AO188" s="153">
        <v>5</v>
      </c>
      <c r="AP188" s="153">
        <v>3</v>
      </c>
      <c r="AQ188" s="118"/>
      <c r="AR188" s="96">
        <f t="shared" si="30"/>
        <v>51</v>
      </c>
      <c r="AS188" s="96">
        <f t="shared" si="31"/>
        <v>42</v>
      </c>
    </row>
    <row r="189" spans="2:45" ht="15.75" customHeight="1">
      <c r="B189" s="168" t="s">
        <v>251</v>
      </c>
      <c r="C189" s="116" t="s">
        <v>364</v>
      </c>
      <c r="D189" s="120">
        <v>1</v>
      </c>
      <c r="E189" s="116" t="s">
        <v>348</v>
      </c>
      <c r="F189" s="119" t="s">
        <v>363</v>
      </c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69">
        <v>2</v>
      </c>
      <c r="T189" s="153">
        <v>3</v>
      </c>
      <c r="U189" s="153">
        <v>1</v>
      </c>
      <c r="V189" s="153">
        <v>5</v>
      </c>
      <c r="W189" s="153">
        <v>5</v>
      </c>
      <c r="X189" s="153">
        <v>2</v>
      </c>
      <c r="Y189" s="153">
        <v>1</v>
      </c>
      <c r="Z189" s="153">
        <v>2</v>
      </c>
      <c r="AA189" s="153">
        <v>4</v>
      </c>
      <c r="AB189" s="153">
        <v>5</v>
      </c>
      <c r="AC189" s="153">
        <v>5</v>
      </c>
      <c r="AD189" s="170">
        <v>2</v>
      </c>
      <c r="AE189" s="169">
        <v>3</v>
      </c>
      <c r="AF189" s="153">
        <v>0</v>
      </c>
      <c r="AG189" s="153">
        <v>1</v>
      </c>
      <c r="AH189" s="153">
        <v>2</v>
      </c>
      <c r="AI189" s="153">
        <v>2</v>
      </c>
      <c r="AJ189" s="153">
        <v>2</v>
      </c>
      <c r="AK189" s="153">
        <v>0</v>
      </c>
      <c r="AL189" s="153">
        <v>4</v>
      </c>
      <c r="AM189" s="153">
        <v>2</v>
      </c>
      <c r="AN189" s="153">
        <v>6</v>
      </c>
      <c r="AO189" s="153">
        <v>3</v>
      </c>
      <c r="AP189" s="153">
        <v>2</v>
      </c>
      <c r="AQ189" s="118"/>
      <c r="AR189" s="96">
        <f t="shared" si="30"/>
        <v>37</v>
      </c>
      <c r="AS189" s="96">
        <f t="shared" si="31"/>
        <v>27</v>
      </c>
    </row>
    <row r="190" spans="2:45" ht="15.75" customHeight="1">
      <c r="B190" s="168" t="s">
        <v>251</v>
      </c>
      <c r="C190" s="116" t="s">
        <v>365</v>
      </c>
      <c r="D190" s="120">
        <v>1</v>
      </c>
      <c r="E190" s="116" t="s">
        <v>348</v>
      </c>
      <c r="F190" s="119" t="s">
        <v>363</v>
      </c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69">
        <v>6</v>
      </c>
      <c r="T190" s="153">
        <v>4</v>
      </c>
      <c r="U190" s="153">
        <v>4</v>
      </c>
      <c r="V190" s="153">
        <v>6</v>
      </c>
      <c r="W190" s="153">
        <v>11</v>
      </c>
      <c r="X190" s="153">
        <v>7</v>
      </c>
      <c r="Y190" s="153">
        <v>3</v>
      </c>
      <c r="Z190" s="153">
        <v>5</v>
      </c>
      <c r="AA190" s="153">
        <v>3</v>
      </c>
      <c r="AB190" s="153">
        <v>8</v>
      </c>
      <c r="AC190" s="153">
        <v>10</v>
      </c>
      <c r="AD190" s="170">
        <v>7</v>
      </c>
      <c r="AE190" s="169">
        <v>4</v>
      </c>
      <c r="AF190" s="153">
        <v>5</v>
      </c>
      <c r="AG190" s="153">
        <v>10</v>
      </c>
      <c r="AH190" s="153">
        <v>5</v>
      </c>
      <c r="AI190" s="153">
        <v>10</v>
      </c>
      <c r="AJ190" s="153">
        <v>10</v>
      </c>
      <c r="AK190" s="153">
        <v>4</v>
      </c>
      <c r="AL190" s="153">
        <v>6</v>
      </c>
      <c r="AM190" s="153">
        <v>3</v>
      </c>
      <c r="AN190" s="153">
        <v>8</v>
      </c>
      <c r="AO190" s="153">
        <v>7</v>
      </c>
      <c r="AP190" s="153">
        <v>3</v>
      </c>
      <c r="AQ190" s="118"/>
      <c r="AR190" s="96">
        <f t="shared" si="30"/>
        <v>74</v>
      </c>
      <c r="AS190" s="96">
        <f t="shared" si="31"/>
        <v>75</v>
      </c>
    </row>
    <row r="191" spans="2:45" ht="15.75" customHeight="1">
      <c r="B191" s="168" t="s">
        <v>251</v>
      </c>
      <c r="C191" s="116" t="s">
        <v>366</v>
      </c>
      <c r="D191" s="120">
        <v>1</v>
      </c>
      <c r="E191" s="116" t="s">
        <v>348</v>
      </c>
      <c r="F191" s="119" t="s">
        <v>363</v>
      </c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69">
        <v>0</v>
      </c>
      <c r="T191" s="153">
        <v>2</v>
      </c>
      <c r="U191" s="153">
        <v>3</v>
      </c>
      <c r="V191" s="153">
        <v>2</v>
      </c>
      <c r="W191" s="153">
        <v>3</v>
      </c>
      <c r="X191" s="153">
        <v>3</v>
      </c>
      <c r="Y191" s="153">
        <v>3</v>
      </c>
      <c r="Z191" s="153">
        <v>5</v>
      </c>
      <c r="AA191" s="153">
        <v>1</v>
      </c>
      <c r="AB191" s="153">
        <v>7</v>
      </c>
      <c r="AC191" s="153">
        <v>5</v>
      </c>
      <c r="AD191" s="170">
        <v>2</v>
      </c>
      <c r="AE191" s="169">
        <v>1</v>
      </c>
      <c r="AF191" s="153">
        <v>3</v>
      </c>
      <c r="AG191" s="153">
        <v>2</v>
      </c>
      <c r="AH191" s="153">
        <v>4</v>
      </c>
      <c r="AI191" s="153">
        <v>1</v>
      </c>
      <c r="AJ191" s="153">
        <v>2</v>
      </c>
      <c r="AK191" s="153">
        <v>1</v>
      </c>
      <c r="AL191" s="153">
        <v>0</v>
      </c>
      <c r="AM191" s="153">
        <v>1</v>
      </c>
      <c r="AN191" s="153">
        <v>6</v>
      </c>
      <c r="AO191" s="153">
        <v>2</v>
      </c>
      <c r="AP191" s="153">
        <v>2</v>
      </c>
      <c r="AQ191" s="118"/>
      <c r="AR191" s="96">
        <f t="shared" si="30"/>
        <v>36</v>
      </c>
      <c r="AS191" s="96">
        <f t="shared" si="31"/>
        <v>25</v>
      </c>
    </row>
    <row r="192" spans="2:45" ht="15.75" customHeight="1">
      <c r="B192" s="168" t="s">
        <v>251</v>
      </c>
      <c r="C192" s="116" t="s">
        <v>367</v>
      </c>
      <c r="D192" s="120">
        <v>1</v>
      </c>
      <c r="E192" s="116" t="s">
        <v>348</v>
      </c>
      <c r="F192" s="119" t="s">
        <v>363</v>
      </c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69">
        <v>4</v>
      </c>
      <c r="T192" s="153">
        <v>1</v>
      </c>
      <c r="U192" s="153">
        <v>1</v>
      </c>
      <c r="V192" s="153">
        <v>4</v>
      </c>
      <c r="W192" s="153">
        <v>4</v>
      </c>
      <c r="X192" s="153">
        <v>3</v>
      </c>
      <c r="Y192" s="153">
        <v>2</v>
      </c>
      <c r="Z192" s="153">
        <v>2</v>
      </c>
      <c r="AA192" s="153">
        <v>1</v>
      </c>
      <c r="AB192" s="153">
        <v>5</v>
      </c>
      <c r="AC192" s="153">
        <v>3</v>
      </c>
      <c r="AD192" s="170">
        <v>1</v>
      </c>
      <c r="AE192" s="169">
        <v>3</v>
      </c>
      <c r="AF192" s="153">
        <v>0</v>
      </c>
      <c r="AG192" s="153">
        <v>2</v>
      </c>
      <c r="AH192" s="153">
        <v>3</v>
      </c>
      <c r="AI192" s="153">
        <v>5</v>
      </c>
      <c r="AJ192" s="153">
        <v>1</v>
      </c>
      <c r="AK192" s="153">
        <v>0</v>
      </c>
      <c r="AL192" s="153">
        <v>2</v>
      </c>
      <c r="AM192" s="153">
        <v>1</v>
      </c>
      <c r="AN192" s="153">
        <v>4</v>
      </c>
      <c r="AO192" s="153">
        <v>1</v>
      </c>
      <c r="AP192" s="153">
        <v>0</v>
      </c>
      <c r="AQ192" s="118"/>
      <c r="AR192" s="96">
        <f t="shared" si="30"/>
        <v>31</v>
      </c>
      <c r="AS192" s="96">
        <f t="shared" si="31"/>
        <v>22</v>
      </c>
    </row>
    <row r="193" spans="2:45" ht="15.75" customHeight="1">
      <c r="B193" s="168" t="s">
        <v>251</v>
      </c>
      <c r="C193" s="116" t="s">
        <v>368</v>
      </c>
      <c r="D193" s="120">
        <v>2</v>
      </c>
      <c r="E193" s="116" t="s">
        <v>369</v>
      </c>
      <c r="F193" s="119" t="s">
        <v>369</v>
      </c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69">
        <v>1</v>
      </c>
      <c r="T193" s="153">
        <v>1</v>
      </c>
      <c r="U193" s="153">
        <v>1</v>
      </c>
      <c r="V193" s="153">
        <v>1</v>
      </c>
      <c r="W193" s="153">
        <v>1</v>
      </c>
      <c r="X193" s="153">
        <v>0</v>
      </c>
      <c r="Y193" s="153">
        <v>0</v>
      </c>
      <c r="Z193" s="153">
        <v>1</v>
      </c>
      <c r="AA193" s="153">
        <v>3</v>
      </c>
      <c r="AB193" s="153">
        <v>1</v>
      </c>
      <c r="AC193" s="153">
        <v>8</v>
      </c>
      <c r="AD193" s="170">
        <v>3</v>
      </c>
      <c r="AE193" s="169">
        <v>1</v>
      </c>
      <c r="AF193" s="153">
        <v>1</v>
      </c>
      <c r="AG193" s="153">
        <v>6</v>
      </c>
      <c r="AH193" s="153">
        <v>3</v>
      </c>
      <c r="AI193" s="153">
        <v>7</v>
      </c>
      <c r="AJ193" s="153">
        <v>4</v>
      </c>
      <c r="AK193" s="153">
        <v>3</v>
      </c>
      <c r="AL193" s="153">
        <v>3</v>
      </c>
      <c r="AM193" s="153">
        <v>6</v>
      </c>
      <c r="AN193" s="153">
        <v>8</v>
      </c>
      <c r="AO193" s="153">
        <v>10</v>
      </c>
      <c r="AP193" s="153">
        <v>0</v>
      </c>
      <c r="AQ193" s="118"/>
      <c r="AR193" s="96">
        <f t="shared" si="30"/>
        <v>21</v>
      </c>
      <c r="AS193" s="96">
        <f t="shared" si="31"/>
        <v>52</v>
      </c>
    </row>
    <row r="194" spans="2:45" ht="15.75" customHeight="1">
      <c r="B194" s="168" t="s">
        <v>251</v>
      </c>
      <c r="C194" s="116" t="s">
        <v>451</v>
      </c>
      <c r="D194" s="120">
        <v>1</v>
      </c>
      <c r="E194" s="116" t="s">
        <v>369</v>
      </c>
      <c r="F194" s="119" t="s">
        <v>369</v>
      </c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69">
        <v>1</v>
      </c>
      <c r="T194" s="153">
        <v>1</v>
      </c>
      <c r="U194" s="153">
        <v>1</v>
      </c>
      <c r="V194" s="153">
        <v>1</v>
      </c>
      <c r="W194" s="153">
        <v>1</v>
      </c>
      <c r="X194" s="153">
        <v>0</v>
      </c>
      <c r="Y194" s="153">
        <v>0</v>
      </c>
      <c r="Z194" s="153">
        <v>1</v>
      </c>
      <c r="AA194" s="153">
        <v>1</v>
      </c>
      <c r="AB194" s="153">
        <v>3</v>
      </c>
      <c r="AC194" s="153">
        <v>4</v>
      </c>
      <c r="AD194" s="170">
        <v>4</v>
      </c>
      <c r="AE194" s="169">
        <v>4</v>
      </c>
      <c r="AF194" s="153">
        <v>1</v>
      </c>
      <c r="AG194" s="153">
        <v>8</v>
      </c>
      <c r="AH194" s="153">
        <v>5</v>
      </c>
      <c r="AI194" s="153">
        <v>4</v>
      </c>
      <c r="AJ194" s="153">
        <v>3</v>
      </c>
      <c r="AK194" s="153">
        <v>2</v>
      </c>
      <c r="AL194" s="153">
        <v>4</v>
      </c>
      <c r="AM194" s="153">
        <v>1</v>
      </c>
      <c r="AN194" s="153">
        <v>5</v>
      </c>
      <c r="AO194" s="153">
        <v>9</v>
      </c>
      <c r="AP194" s="153">
        <v>3</v>
      </c>
      <c r="AQ194" s="118"/>
      <c r="AR194" s="96">
        <f t="shared" si="30"/>
        <v>18</v>
      </c>
      <c r="AS194" s="96">
        <f t="shared" si="31"/>
        <v>49</v>
      </c>
    </row>
    <row r="195" spans="2:45" ht="15.75" customHeight="1">
      <c r="B195" s="168" t="s">
        <v>251</v>
      </c>
      <c r="C195" s="116" t="s">
        <v>371</v>
      </c>
      <c r="D195" s="120">
        <v>2</v>
      </c>
      <c r="E195" s="116" t="s">
        <v>369</v>
      </c>
      <c r="F195" s="119" t="s">
        <v>369</v>
      </c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69">
        <v>0</v>
      </c>
      <c r="T195" s="153">
        <v>0</v>
      </c>
      <c r="U195" s="153">
        <v>0</v>
      </c>
      <c r="V195" s="153">
        <v>0</v>
      </c>
      <c r="W195" s="153">
        <v>0</v>
      </c>
      <c r="X195" s="153">
        <v>0</v>
      </c>
      <c r="Y195" s="153">
        <v>0</v>
      </c>
      <c r="Z195" s="153">
        <v>0</v>
      </c>
      <c r="AA195" s="153">
        <v>0</v>
      </c>
      <c r="AB195" s="153">
        <v>0</v>
      </c>
      <c r="AC195" s="153">
        <v>0</v>
      </c>
      <c r="AD195" s="170">
        <v>0</v>
      </c>
      <c r="AE195" s="169">
        <v>0</v>
      </c>
      <c r="AF195" s="153">
        <v>0</v>
      </c>
      <c r="AG195" s="153">
        <v>0</v>
      </c>
      <c r="AH195" s="153">
        <v>0</v>
      </c>
      <c r="AI195" s="153">
        <v>0</v>
      </c>
      <c r="AJ195" s="153">
        <v>0</v>
      </c>
      <c r="AK195" s="153">
        <v>0</v>
      </c>
      <c r="AL195" s="153">
        <v>0</v>
      </c>
      <c r="AM195" s="153">
        <v>0</v>
      </c>
      <c r="AN195" s="153">
        <v>0</v>
      </c>
      <c r="AO195" s="153">
        <v>0</v>
      </c>
      <c r="AP195" s="153">
        <v>0</v>
      </c>
      <c r="AQ195" s="118"/>
      <c r="AR195" s="96">
        <f t="shared" si="30"/>
        <v>0</v>
      </c>
      <c r="AS195" s="96">
        <f t="shared" si="31"/>
        <v>0</v>
      </c>
    </row>
    <row r="196" spans="2:45" ht="15.75" customHeight="1">
      <c r="B196" s="168" t="s">
        <v>251</v>
      </c>
      <c r="C196" s="116" t="s">
        <v>372</v>
      </c>
      <c r="D196" s="120">
        <v>1</v>
      </c>
      <c r="E196" s="116" t="s">
        <v>369</v>
      </c>
      <c r="F196" s="119" t="s">
        <v>369</v>
      </c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69">
        <v>1</v>
      </c>
      <c r="T196" s="153">
        <v>1</v>
      </c>
      <c r="U196" s="153">
        <v>1</v>
      </c>
      <c r="V196" s="153">
        <v>1</v>
      </c>
      <c r="W196" s="153">
        <v>1</v>
      </c>
      <c r="X196" s="153">
        <v>0</v>
      </c>
      <c r="Y196" s="153">
        <v>0</v>
      </c>
      <c r="Z196" s="153">
        <v>0</v>
      </c>
      <c r="AA196" s="153">
        <v>0</v>
      </c>
      <c r="AB196" s="153">
        <v>1</v>
      </c>
      <c r="AC196" s="153">
        <v>3</v>
      </c>
      <c r="AD196" s="170">
        <v>2</v>
      </c>
      <c r="AE196" s="169">
        <v>1</v>
      </c>
      <c r="AF196" s="153">
        <v>2</v>
      </c>
      <c r="AG196" s="153">
        <v>0</v>
      </c>
      <c r="AH196" s="153">
        <v>0</v>
      </c>
      <c r="AI196" s="153">
        <v>3</v>
      </c>
      <c r="AJ196" s="153">
        <v>0</v>
      </c>
      <c r="AK196" s="153">
        <v>1</v>
      </c>
      <c r="AL196" s="153">
        <v>1</v>
      </c>
      <c r="AM196" s="153">
        <v>1</v>
      </c>
      <c r="AN196" s="153">
        <v>4</v>
      </c>
      <c r="AO196" s="153">
        <v>1</v>
      </c>
      <c r="AP196" s="153">
        <v>2</v>
      </c>
      <c r="AQ196" s="118"/>
      <c r="AR196" s="96">
        <f t="shared" si="30"/>
        <v>11</v>
      </c>
      <c r="AS196" s="96">
        <f t="shared" si="31"/>
        <v>16</v>
      </c>
    </row>
    <row r="197" spans="2:45" ht="15.75" customHeight="1">
      <c r="B197" s="168" t="s">
        <v>251</v>
      </c>
      <c r="C197" s="116" t="s">
        <v>373</v>
      </c>
      <c r="D197" s="120">
        <v>1</v>
      </c>
      <c r="E197" s="116" t="s">
        <v>369</v>
      </c>
      <c r="F197" s="119" t="s">
        <v>369</v>
      </c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69">
        <v>1</v>
      </c>
      <c r="T197" s="153">
        <v>1</v>
      </c>
      <c r="U197" s="153">
        <v>1</v>
      </c>
      <c r="V197" s="153">
        <v>1</v>
      </c>
      <c r="W197" s="153">
        <v>1</v>
      </c>
      <c r="X197" s="153">
        <v>0</v>
      </c>
      <c r="Y197" s="153">
        <v>0</v>
      </c>
      <c r="Z197" s="153">
        <v>0</v>
      </c>
      <c r="AA197" s="153">
        <v>2</v>
      </c>
      <c r="AB197" s="153">
        <v>1</v>
      </c>
      <c r="AC197" s="153">
        <v>1</v>
      </c>
      <c r="AD197" s="170">
        <v>3</v>
      </c>
      <c r="AE197" s="169">
        <v>1</v>
      </c>
      <c r="AF197" s="153">
        <v>2</v>
      </c>
      <c r="AG197" s="153">
        <v>6</v>
      </c>
      <c r="AH197" s="153">
        <v>3</v>
      </c>
      <c r="AI197" s="153">
        <v>4</v>
      </c>
      <c r="AJ197" s="153">
        <v>0</v>
      </c>
      <c r="AK197" s="153">
        <v>2</v>
      </c>
      <c r="AL197" s="153">
        <v>0</v>
      </c>
      <c r="AM197" s="153">
        <v>1</v>
      </c>
      <c r="AN197" s="153">
        <v>6</v>
      </c>
      <c r="AO197" s="153">
        <v>5</v>
      </c>
      <c r="AP197" s="153">
        <v>3</v>
      </c>
      <c r="AQ197" s="118"/>
      <c r="AR197" s="96">
        <f t="shared" si="30"/>
        <v>12</v>
      </c>
      <c r="AS197" s="96">
        <f t="shared" si="31"/>
        <v>33</v>
      </c>
    </row>
    <row r="198" spans="2:45" ht="15.75" customHeight="1">
      <c r="B198" s="168" t="s">
        <v>251</v>
      </c>
      <c r="C198" s="116" t="s">
        <v>374</v>
      </c>
      <c r="D198" s="120">
        <v>2</v>
      </c>
      <c r="E198" s="116" t="s">
        <v>369</v>
      </c>
      <c r="F198" s="119" t="s">
        <v>369</v>
      </c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69">
        <v>1</v>
      </c>
      <c r="T198" s="153">
        <v>1</v>
      </c>
      <c r="U198" s="153">
        <v>1</v>
      </c>
      <c r="V198" s="153">
        <v>1</v>
      </c>
      <c r="W198" s="153">
        <v>1</v>
      </c>
      <c r="X198" s="153">
        <v>0</v>
      </c>
      <c r="Y198" s="153">
        <v>0</v>
      </c>
      <c r="Z198" s="153">
        <v>0</v>
      </c>
      <c r="AA198" s="153">
        <v>3</v>
      </c>
      <c r="AB198" s="153">
        <v>2</v>
      </c>
      <c r="AC198" s="153">
        <v>3</v>
      </c>
      <c r="AD198" s="170">
        <v>2</v>
      </c>
      <c r="AE198" s="169">
        <v>1</v>
      </c>
      <c r="AF198" s="153">
        <v>0</v>
      </c>
      <c r="AG198" s="153">
        <v>1</v>
      </c>
      <c r="AH198" s="153">
        <v>1</v>
      </c>
      <c r="AI198" s="153">
        <v>1</v>
      </c>
      <c r="AJ198" s="153">
        <v>3</v>
      </c>
      <c r="AK198" s="153">
        <v>0</v>
      </c>
      <c r="AL198" s="153">
        <v>2</v>
      </c>
      <c r="AM198" s="153">
        <v>4</v>
      </c>
      <c r="AN198" s="153">
        <v>8</v>
      </c>
      <c r="AO198" s="153">
        <v>8</v>
      </c>
      <c r="AP198" s="153">
        <v>7</v>
      </c>
      <c r="AQ198" s="118"/>
      <c r="AR198" s="96">
        <f t="shared" si="30"/>
        <v>15</v>
      </c>
      <c r="AS198" s="96">
        <f t="shared" si="31"/>
        <v>36</v>
      </c>
    </row>
    <row r="199" spans="2:45" ht="15.75" customHeight="1">
      <c r="B199" s="168" t="s">
        <v>251</v>
      </c>
      <c r="C199" s="116" t="s">
        <v>375</v>
      </c>
      <c r="D199" s="120">
        <v>1</v>
      </c>
      <c r="E199" s="116" t="s">
        <v>369</v>
      </c>
      <c r="F199" s="119" t="s">
        <v>369</v>
      </c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69">
        <v>0</v>
      </c>
      <c r="T199" s="153">
        <v>0</v>
      </c>
      <c r="U199" s="153">
        <v>0</v>
      </c>
      <c r="V199" s="153">
        <v>0</v>
      </c>
      <c r="W199" s="153">
        <v>0</v>
      </c>
      <c r="X199" s="153">
        <v>0</v>
      </c>
      <c r="Y199" s="153">
        <v>0</v>
      </c>
      <c r="Z199" s="153">
        <v>0</v>
      </c>
      <c r="AA199" s="153">
        <v>0</v>
      </c>
      <c r="AB199" s="153">
        <v>0</v>
      </c>
      <c r="AC199" s="153">
        <v>2</v>
      </c>
      <c r="AD199" s="170">
        <v>0</v>
      </c>
      <c r="AE199" s="169">
        <v>1</v>
      </c>
      <c r="AF199" s="153">
        <v>0</v>
      </c>
      <c r="AG199" s="153">
        <v>5</v>
      </c>
      <c r="AH199" s="153">
        <v>1</v>
      </c>
      <c r="AI199" s="153">
        <v>4</v>
      </c>
      <c r="AJ199" s="153">
        <v>1</v>
      </c>
      <c r="AK199" s="153">
        <v>0</v>
      </c>
      <c r="AL199" s="153">
        <v>1</v>
      </c>
      <c r="AM199" s="153">
        <v>1</v>
      </c>
      <c r="AN199" s="153">
        <v>1</v>
      </c>
      <c r="AO199" s="153">
        <v>1</v>
      </c>
      <c r="AP199" s="153">
        <v>1</v>
      </c>
      <c r="AQ199" s="118"/>
      <c r="AR199" s="96">
        <f t="shared" si="30"/>
        <v>2</v>
      </c>
      <c r="AS199" s="96">
        <f t="shared" si="31"/>
        <v>17</v>
      </c>
    </row>
    <row r="200" spans="2:45" ht="15.75" customHeight="1">
      <c r="B200" s="168" t="s">
        <v>251</v>
      </c>
      <c r="C200" s="116" t="s">
        <v>376</v>
      </c>
      <c r="D200" s="120">
        <v>1</v>
      </c>
      <c r="E200" s="116" t="s">
        <v>377</v>
      </c>
      <c r="F200" s="119" t="s">
        <v>377</v>
      </c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69">
        <v>5</v>
      </c>
      <c r="T200" s="153">
        <v>6</v>
      </c>
      <c r="U200" s="153">
        <v>4</v>
      </c>
      <c r="V200" s="153">
        <v>3</v>
      </c>
      <c r="W200" s="153">
        <v>5</v>
      </c>
      <c r="X200" s="153">
        <v>2</v>
      </c>
      <c r="Y200" s="153">
        <v>6</v>
      </c>
      <c r="Z200" s="153">
        <v>2</v>
      </c>
      <c r="AA200" s="153">
        <v>3</v>
      </c>
      <c r="AB200" s="153">
        <v>9</v>
      </c>
      <c r="AC200" s="153">
        <v>7</v>
      </c>
      <c r="AD200" s="170">
        <v>5</v>
      </c>
      <c r="AE200" s="169">
        <v>4</v>
      </c>
      <c r="AF200" s="153">
        <v>6</v>
      </c>
      <c r="AG200" s="153">
        <v>6</v>
      </c>
      <c r="AH200" s="153">
        <v>5</v>
      </c>
      <c r="AI200" s="153">
        <v>8</v>
      </c>
      <c r="AJ200" s="153">
        <v>4</v>
      </c>
      <c r="AK200" s="153">
        <v>3</v>
      </c>
      <c r="AL200" s="153">
        <v>5</v>
      </c>
      <c r="AM200" s="153">
        <v>2</v>
      </c>
      <c r="AN200" s="153">
        <v>2</v>
      </c>
      <c r="AO200" s="153">
        <v>4</v>
      </c>
      <c r="AP200" s="153">
        <v>2</v>
      </c>
      <c r="AQ200" s="118"/>
      <c r="AR200" s="96">
        <f t="shared" si="30"/>
        <v>57</v>
      </c>
      <c r="AS200" s="96">
        <f t="shared" si="31"/>
        <v>51</v>
      </c>
    </row>
    <row r="201" spans="2:45" ht="15.75" customHeight="1">
      <c r="B201" s="168" t="s">
        <v>251</v>
      </c>
      <c r="C201" s="116" t="s">
        <v>378</v>
      </c>
      <c r="D201" s="120">
        <v>1</v>
      </c>
      <c r="E201" s="116" t="s">
        <v>377</v>
      </c>
      <c r="F201" s="119" t="s">
        <v>377</v>
      </c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69">
        <v>3</v>
      </c>
      <c r="T201" s="153">
        <v>6</v>
      </c>
      <c r="U201" s="153">
        <v>4</v>
      </c>
      <c r="V201" s="153">
        <v>3</v>
      </c>
      <c r="W201" s="153">
        <v>6</v>
      </c>
      <c r="X201" s="153">
        <v>3</v>
      </c>
      <c r="Y201" s="153">
        <v>5</v>
      </c>
      <c r="Z201" s="153">
        <v>1</v>
      </c>
      <c r="AA201" s="153">
        <v>1</v>
      </c>
      <c r="AB201" s="153">
        <v>5</v>
      </c>
      <c r="AC201" s="153">
        <v>5</v>
      </c>
      <c r="AD201" s="170">
        <v>9</v>
      </c>
      <c r="AE201" s="169">
        <v>1</v>
      </c>
      <c r="AF201" s="153">
        <v>4</v>
      </c>
      <c r="AG201" s="153">
        <v>1</v>
      </c>
      <c r="AH201" s="153">
        <v>3</v>
      </c>
      <c r="AI201" s="153">
        <v>2</v>
      </c>
      <c r="AJ201" s="153">
        <v>4</v>
      </c>
      <c r="AK201" s="153">
        <v>2</v>
      </c>
      <c r="AL201" s="153">
        <v>1</v>
      </c>
      <c r="AM201" s="153">
        <v>3</v>
      </c>
      <c r="AN201" s="153">
        <v>4</v>
      </c>
      <c r="AO201" s="153">
        <v>3</v>
      </c>
      <c r="AP201" s="153">
        <v>1</v>
      </c>
      <c r="AQ201" s="118"/>
      <c r="AR201" s="96">
        <f t="shared" si="30"/>
        <v>51</v>
      </c>
      <c r="AS201" s="96">
        <f t="shared" si="31"/>
        <v>29</v>
      </c>
    </row>
    <row r="202" spans="2:45" ht="15.75" customHeight="1">
      <c r="B202" s="168" t="s">
        <v>251</v>
      </c>
      <c r="C202" s="116" t="s">
        <v>452</v>
      </c>
      <c r="D202" s="120">
        <v>1</v>
      </c>
      <c r="E202" s="116" t="s">
        <v>377</v>
      </c>
      <c r="F202" s="119" t="s">
        <v>377</v>
      </c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69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70"/>
      <c r="AE202" s="169">
        <v>0</v>
      </c>
      <c r="AF202" s="153">
        <v>0</v>
      </c>
      <c r="AG202" s="153">
        <v>0</v>
      </c>
      <c r="AH202" s="153">
        <v>0</v>
      </c>
      <c r="AI202" s="153">
        <v>0</v>
      </c>
      <c r="AJ202" s="153">
        <v>0</v>
      </c>
      <c r="AK202" s="153">
        <v>0</v>
      </c>
      <c r="AL202" s="153">
        <v>0</v>
      </c>
      <c r="AM202" s="153">
        <v>0</v>
      </c>
      <c r="AN202" s="153">
        <v>0</v>
      </c>
      <c r="AO202" s="153">
        <v>0</v>
      </c>
      <c r="AP202" s="153">
        <v>0</v>
      </c>
      <c r="AQ202" s="118"/>
      <c r="AR202" s="96">
        <f t="shared" si="30"/>
        <v>0</v>
      </c>
      <c r="AS202" s="96">
        <f t="shared" si="31"/>
        <v>0</v>
      </c>
    </row>
    <row r="203" spans="2:45" ht="15.75" customHeight="1">
      <c r="B203" s="168" t="s">
        <v>251</v>
      </c>
      <c r="C203" s="116" t="s">
        <v>379</v>
      </c>
      <c r="D203" s="120">
        <v>1</v>
      </c>
      <c r="E203" s="116" t="s">
        <v>377</v>
      </c>
      <c r="F203" s="119" t="s">
        <v>377</v>
      </c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69">
        <v>2</v>
      </c>
      <c r="T203" s="153">
        <v>5</v>
      </c>
      <c r="U203" s="153">
        <v>5</v>
      </c>
      <c r="V203" s="153">
        <v>3</v>
      </c>
      <c r="W203" s="153">
        <v>4</v>
      </c>
      <c r="X203" s="153">
        <v>5</v>
      </c>
      <c r="Y203" s="153">
        <v>2</v>
      </c>
      <c r="Z203" s="153">
        <v>5</v>
      </c>
      <c r="AA203" s="153">
        <v>2</v>
      </c>
      <c r="AB203" s="153">
        <v>5</v>
      </c>
      <c r="AC203" s="153">
        <v>7</v>
      </c>
      <c r="AD203" s="170">
        <v>2</v>
      </c>
      <c r="AE203" s="169">
        <v>3</v>
      </c>
      <c r="AF203" s="153">
        <v>1</v>
      </c>
      <c r="AG203" s="153">
        <v>3</v>
      </c>
      <c r="AH203" s="153">
        <v>4</v>
      </c>
      <c r="AI203" s="153">
        <v>4</v>
      </c>
      <c r="AJ203" s="153">
        <v>1</v>
      </c>
      <c r="AK203" s="153">
        <v>1</v>
      </c>
      <c r="AL203" s="153">
        <v>2</v>
      </c>
      <c r="AM203" s="153">
        <v>1</v>
      </c>
      <c r="AN203" s="153">
        <v>5</v>
      </c>
      <c r="AO203" s="153">
        <v>2</v>
      </c>
      <c r="AP203" s="153">
        <v>2</v>
      </c>
      <c r="AQ203" s="118"/>
      <c r="AR203" s="96">
        <f t="shared" si="30"/>
        <v>47</v>
      </c>
      <c r="AS203" s="96">
        <f t="shared" si="31"/>
        <v>29</v>
      </c>
    </row>
    <row r="204" spans="2:45" ht="15.75" customHeight="1">
      <c r="B204" s="168" t="s">
        <v>251</v>
      </c>
      <c r="C204" s="116" t="s">
        <v>380</v>
      </c>
      <c r="D204" s="120">
        <v>1</v>
      </c>
      <c r="E204" s="116" t="s">
        <v>377</v>
      </c>
      <c r="F204" s="119" t="s">
        <v>377</v>
      </c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69">
        <v>1</v>
      </c>
      <c r="T204" s="153">
        <v>4</v>
      </c>
      <c r="U204" s="153">
        <v>7</v>
      </c>
      <c r="V204" s="153">
        <v>5</v>
      </c>
      <c r="W204" s="153">
        <v>4</v>
      </c>
      <c r="X204" s="153">
        <v>3</v>
      </c>
      <c r="Y204" s="153">
        <v>3</v>
      </c>
      <c r="Z204" s="153">
        <v>4</v>
      </c>
      <c r="AA204" s="153">
        <v>1</v>
      </c>
      <c r="AB204" s="153">
        <v>9</v>
      </c>
      <c r="AC204" s="153">
        <v>6</v>
      </c>
      <c r="AD204" s="170">
        <v>6</v>
      </c>
      <c r="AE204" s="169">
        <v>4</v>
      </c>
      <c r="AF204" s="153">
        <v>3</v>
      </c>
      <c r="AG204" s="153">
        <v>4</v>
      </c>
      <c r="AH204" s="153">
        <v>2</v>
      </c>
      <c r="AI204" s="153">
        <v>4</v>
      </c>
      <c r="AJ204" s="153">
        <v>3</v>
      </c>
      <c r="AK204" s="153">
        <v>2</v>
      </c>
      <c r="AL204" s="153">
        <v>4</v>
      </c>
      <c r="AM204" s="153">
        <v>1</v>
      </c>
      <c r="AN204" s="153">
        <v>4</v>
      </c>
      <c r="AO204" s="153">
        <v>7</v>
      </c>
      <c r="AP204" s="153">
        <v>3</v>
      </c>
      <c r="AQ204" s="118"/>
      <c r="AR204" s="96">
        <f t="shared" si="30"/>
        <v>53</v>
      </c>
      <c r="AS204" s="96">
        <f t="shared" si="31"/>
        <v>41</v>
      </c>
    </row>
    <row r="205" spans="2:45" ht="15.75" customHeight="1">
      <c r="B205" s="168" t="s">
        <v>251</v>
      </c>
      <c r="C205" s="116" t="s">
        <v>381</v>
      </c>
      <c r="D205" s="120">
        <v>2</v>
      </c>
      <c r="E205" s="116" t="s">
        <v>377</v>
      </c>
      <c r="F205" s="119" t="s">
        <v>377</v>
      </c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69">
        <v>0</v>
      </c>
      <c r="T205" s="153">
        <v>0</v>
      </c>
      <c r="U205" s="153">
        <v>0</v>
      </c>
      <c r="V205" s="153">
        <v>0</v>
      </c>
      <c r="W205" s="153">
        <v>0</v>
      </c>
      <c r="X205" s="153">
        <v>1</v>
      </c>
      <c r="Y205" s="153">
        <v>0</v>
      </c>
      <c r="Z205" s="153">
        <v>0</v>
      </c>
      <c r="AA205" s="153">
        <v>1</v>
      </c>
      <c r="AB205" s="153">
        <v>4</v>
      </c>
      <c r="AC205" s="153">
        <v>5</v>
      </c>
      <c r="AD205" s="170">
        <v>4</v>
      </c>
      <c r="AE205" s="169">
        <v>2</v>
      </c>
      <c r="AF205" s="153">
        <v>3</v>
      </c>
      <c r="AG205" s="153">
        <v>4</v>
      </c>
      <c r="AH205" s="153">
        <v>6</v>
      </c>
      <c r="AI205" s="153">
        <v>3</v>
      </c>
      <c r="AJ205" s="153">
        <v>2</v>
      </c>
      <c r="AK205" s="153">
        <v>2</v>
      </c>
      <c r="AL205" s="153">
        <v>4</v>
      </c>
      <c r="AM205" s="153">
        <v>4</v>
      </c>
      <c r="AN205" s="153">
        <v>4</v>
      </c>
      <c r="AO205" s="153">
        <v>5</v>
      </c>
      <c r="AP205" s="153">
        <v>3</v>
      </c>
      <c r="AQ205" s="118"/>
      <c r="AR205" s="96">
        <f t="shared" si="30"/>
        <v>15</v>
      </c>
      <c r="AS205" s="96">
        <f t="shared" si="31"/>
        <v>42</v>
      </c>
    </row>
    <row r="206" spans="2:45" ht="15.75" customHeight="1">
      <c r="B206" s="168" t="s">
        <v>251</v>
      </c>
      <c r="C206" s="116" t="s">
        <v>382</v>
      </c>
      <c r="D206" s="120">
        <v>2</v>
      </c>
      <c r="E206" s="116" t="s">
        <v>377</v>
      </c>
      <c r="F206" s="119" t="s">
        <v>377</v>
      </c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69">
        <v>7</v>
      </c>
      <c r="T206" s="153">
        <v>10</v>
      </c>
      <c r="U206" s="153">
        <v>12</v>
      </c>
      <c r="V206" s="153">
        <v>13</v>
      </c>
      <c r="W206" s="153">
        <v>9</v>
      </c>
      <c r="X206" s="153">
        <v>5</v>
      </c>
      <c r="Y206" s="153">
        <v>6</v>
      </c>
      <c r="Z206" s="153">
        <v>6</v>
      </c>
      <c r="AA206" s="153">
        <v>12</v>
      </c>
      <c r="AB206" s="153">
        <v>15</v>
      </c>
      <c r="AC206" s="153">
        <v>18</v>
      </c>
      <c r="AD206" s="170">
        <v>12</v>
      </c>
      <c r="AE206" s="169">
        <v>5</v>
      </c>
      <c r="AF206" s="153">
        <v>10</v>
      </c>
      <c r="AG206" s="153">
        <v>10</v>
      </c>
      <c r="AH206" s="153">
        <v>10</v>
      </c>
      <c r="AI206" s="153">
        <v>14</v>
      </c>
      <c r="AJ206" s="153">
        <v>11</v>
      </c>
      <c r="AK206" s="153">
        <v>8</v>
      </c>
      <c r="AL206" s="153">
        <v>5</v>
      </c>
      <c r="AM206" s="153">
        <v>9</v>
      </c>
      <c r="AN206" s="153">
        <v>11</v>
      </c>
      <c r="AO206" s="153">
        <v>16</v>
      </c>
      <c r="AP206" s="153">
        <v>9</v>
      </c>
      <c r="AQ206" s="118"/>
      <c r="AR206" s="96">
        <f t="shared" si="30"/>
        <v>125</v>
      </c>
      <c r="AS206" s="96">
        <f t="shared" si="31"/>
        <v>118</v>
      </c>
    </row>
    <row r="207" spans="2:45" ht="15.75" customHeight="1">
      <c r="B207" s="168" t="s">
        <v>251</v>
      </c>
      <c r="C207" s="116" t="s">
        <v>383</v>
      </c>
      <c r="D207" s="120">
        <v>1</v>
      </c>
      <c r="E207" s="116" t="s">
        <v>377</v>
      </c>
      <c r="F207" s="119" t="s">
        <v>377</v>
      </c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69">
        <v>0</v>
      </c>
      <c r="T207" s="153">
        <v>0</v>
      </c>
      <c r="U207" s="153">
        <v>0</v>
      </c>
      <c r="V207" s="153">
        <v>0</v>
      </c>
      <c r="W207" s="153">
        <v>0</v>
      </c>
      <c r="X207" s="153">
        <v>0</v>
      </c>
      <c r="Y207" s="153">
        <v>0</v>
      </c>
      <c r="Z207" s="153">
        <v>0</v>
      </c>
      <c r="AA207" s="153">
        <v>0</v>
      </c>
      <c r="AB207" s="153">
        <v>0</v>
      </c>
      <c r="AC207" s="153">
        <v>0</v>
      </c>
      <c r="AD207" s="170">
        <v>0</v>
      </c>
      <c r="AE207" s="169">
        <v>0</v>
      </c>
      <c r="AF207" s="153">
        <v>0</v>
      </c>
      <c r="AG207" s="153">
        <v>0</v>
      </c>
      <c r="AH207" s="153">
        <v>0</v>
      </c>
      <c r="AI207" s="153">
        <v>1</v>
      </c>
      <c r="AJ207" s="153">
        <v>0</v>
      </c>
      <c r="AK207" s="153">
        <v>0</v>
      </c>
      <c r="AL207" s="153">
        <v>0</v>
      </c>
      <c r="AM207" s="153">
        <v>1</v>
      </c>
      <c r="AN207" s="153">
        <v>1</v>
      </c>
      <c r="AO207" s="153">
        <v>0</v>
      </c>
      <c r="AP207" s="153">
        <v>0</v>
      </c>
      <c r="AQ207" s="118"/>
      <c r="AR207" s="96">
        <f t="shared" si="30"/>
        <v>0</v>
      </c>
      <c r="AS207" s="96">
        <f t="shared" si="31"/>
        <v>3</v>
      </c>
    </row>
    <row r="208" spans="2:45" ht="15.75" customHeight="1">
      <c r="B208" s="168" t="s">
        <v>251</v>
      </c>
      <c r="C208" s="116" t="s">
        <v>384</v>
      </c>
      <c r="D208" s="120">
        <v>1</v>
      </c>
      <c r="E208" s="116" t="s">
        <v>385</v>
      </c>
      <c r="F208" s="119" t="s">
        <v>385</v>
      </c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69">
        <v>0</v>
      </c>
      <c r="T208" s="153">
        <v>0</v>
      </c>
      <c r="U208" s="153">
        <v>0</v>
      </c>
      <c r="V208" s="153">
        <v>0</v>
      </c>
      <c r="W208" s="153">
        <v>0</v>
      </c>
      <c r="X208" s="153">
        <v>0</v>
      </c>
      <c r="Y208" s="153">
        <v>0</v>
      </c>
      <c r="Z208" s="153">
        <v>0</v>
      </c>
      <c r="AA208" s="153">
        <v>0</v>
      </c>
      <c r="AB208" s="153">
        <v>0</v>
      </c>
      <c r="AC208" s="153">
        <v>2</v>
      </c>
      <c r="AD208" s="170">
        <v>0</v>
      </c>
      <c r="AE208" s="169">
        <v>2</v>
      </c>
      <c r="AF208" s="153">
        <v>2</v>
      </c>
      <c r="AG208" s="153">
        <v>0</v>
      </c>
      <c r="AH208" s="153">
        <v>5</v>
      </c>
      <c r="AI208" s="153">
        <v>2</v>
      </c>
      <c r="AJ208" s="153">
        <v>8</v>
      </c>
      <c r="AK208" s="153">
        <v>6</v>
      </c>
      <c r="AL208" s="153">
        <v>8</v>
      </c>
      <c r="AM208" s="153">
        <v>10</v>
      </c>
      <c r="AN208" s="153">
        <v>13</v>
      </c>
      <c r="AO208" s="153">
        <v>12</v>
      </c>
      <c r="AP208" s="153">
        <v>11</v>
      </c>
      <c r="AQ208" s="118"/>
      <c r="AR208" s="96">
        <f t="shared" si="30"/>
        <v>2</v>
      </c>
      <c r="AS208" s="96">
        <f t="shared" si="31"/>
        <v>79</v>
      </c>
    </row>
    <row r="209" spans="2:45" ht="15.75" customHeight="1">
      <c r="B209" s="171" t="s">
        <v>251</v>
      </c>
      <c r="C209" s="172" t="s">
        <v>386</v>
      </c>
      <c r="D209" s="173">
        <v>1</v>
      </c>
      <c r="E209" s="174" t="s">
        <v>348</v>
      </c>
      <c r="F209" s="175" t="s">
        <v>363</v>
      </c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7">
        <v>0</v>
      </c>
      <c r="T209" s="176">
        <v>0</v>
      </c>
      <c r="U209" s="176">
        <v>0</v>
      </c>
      <c r="V209" s="176">
        <v>0</v>
      </c>
      <c r="W209" s="176">
        <v>0</v>
      </c>
      <c r="X209" s="176">
        <v>0</v>
      </c>
      <c r="Y209" s="176">
        <v>0</v>
      </c>
      <c r="Z209" s="176">
        <v>0</v>
      </c>
      <c r="AA209" s="176">
        <v>0</v>
      </c>
      <c r="AB209" s="176">
        <v>0</v>
      </c>
      <c r="AC209" s="176">
        <v>0</v>
      </c>
      <c r="AD209" s="178">
        <v>0</v>
      </c>
      <c r="AE209" s="177">
        <v>0</v>
      </c>
      <c r="AF209" s="176">
        <v>0</v>
      </c>
      <c r="AG209" s="176">
        <v>0</v>
      </c>
      <c r="AH209" s="176">
        <v>0</v>
      </c>
      <c r="AI209" s="176">
        <v>0</v>
      </c>
      <c r="AJ209" s="176">
        <v>1</v>
      </c>
      <c r="AK209" s="176">
        <v>0</v>
      </c>
      <c r="AL209" s="176">
        <v>0</v>
      </c>
      <c r="AM209" s="176">
        <v>0</v>
      </c>
      <c r="AN209" s="176">
        <v>0</v>
      </c>
      <c r="AO209" s="176">
        <v>0</v>
      </c>
      <c r="AP209" s="176">
        <v>0</v>
      </c>
      <c r="AQ209" s="118"/>
      <c r="AR209" s="96">
        <f t="shared" si="30"/>
        <v>0</v>
      </c>
      <c r="AS209" s="96">
        <f t="shared" si="31"/>
        <v>1</v>
      </c>
    </row>
    <row r="210" spans="2:45" ht="15.75" customHeight="1">
      <c r="B210" s="168" t="s">
        <v>389</v>
      </c>
      <c r="C210" s="116" t="s">
        <v>347</v>
      </c>
      <c r="D210" s="120">
        <v>1</v>
      </c>
      <c r="E210" s="116" t="s">
        <v>348</v>
      </c>
      <c r="F210" s="119" t="s">
        <v>349</v>
      </c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80">
        <v>3</v>
      </c>
      <c r="T210" s="179">
        <v>1</v>
      </c>
      <c r="U210" s="179">
        <v>3</v>
      </c>
      <c r="V210" s="179">
        <v>6</v>
      </c>
      <c r="W210" s="179">
        <v>6</v>
      </c>
      <c r="X210" s="179">
        <v>4</v>
      </c>
      <c r="Y210" s="179">
        <v>4</v>
      </c>
      <c r="Z210" s="179">
        <v>1</v>
      </c>
      <c r="AA210" s="179">
        <v>1</v>
      </c>
      <c r="AB210" s="179">
        <v>4</v>
      </c>
      <c r="AC210" s="179">
        <v>8</v>
      </c>
      <c r="AD210" s="181">
        <v>3</v>
      </c>
      <c r="AE210" s="180">
        <v>4</v>
      </c>
      <c r="AF210" s="179">
        <v>1</v>
      </c>
      <c r="AG210" s="179">
        <v>6</v>
      </c>
      <c r="AH210" s="179">
        <v>3</v>
      </c>
      <c r="AI210" s="179">
        <v>3</v>
      </c>
      <c r="AJ210" s="179">
        <v>1</v>
      </c>
      <c r="AK210" s="179">
        <v>2</v>
      </c>
      <c r="AL210" s="179">
        <v>0</v>
      </c>
      <c r="AM210" s="179">
        <v>1</v>
      </c>
      <c r="AN210" s="179">
        <v>6</v>
      </c>
      <c r="AO210" s="179">
        <v>4</v>
      </c>
      <c r="AP210" s="179">
        <v>3</v>
      </c>
      <c r="AQ210" s="118"/>
      <c r="AR210" s="96">
        <f t="shared" si="30"/>
        <v>44</v>
      </c>
      <c r="AS210" s="96">
        <f t="shared" si="31"/>
        <v>34</v>
      </c>
    </row>
    <row r="211" spans="2:45" ht="15.75" customHeight="1">
      <c r="B211" s="168" t="s">
        <v>389</v>
      </c>
      <c r="C211" s="116" t="s">
        <v>350</v>
      </c>
      <c r="D211" s="120">
        <v>2</v>
      </c>
      <c r="E211" s="116" t="s">
        <v>348</v>
      </c>
      <c r="F211" s="119" t="s">
        <v>349</v>
      </c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80">
        <v>1</v>
      </c>
      <c r="T211" s="179">
        <v>2</v>
      </c>
      <c r="U211" s="179">
        <v>5</v>
      </c>
      <c r="V211" s="179">
        <v>5</v>
      </c>
      <c r="W211" s="179">
        <v>5</v>
      </c>
      <c r="X211" s="179">
        <v>5</v>
      </c>
      <c r="Y211" s="179">
        <v>5</v>
      </c>
      <c r="Z211" s="179">
        <v>3</v>
      </c>
      <c r="AA211" s="179">
        <v>8</v>
      </c>
      <c r="AB211" s="179">
        <v>7</v>
      </c>
      <c r="AC211" s="179">
        <v>4</v>
      </c>
      <c r="AD211" s="181">
        <v>3</v>
      </c>
      <c r="AE211" s="180">
        <v>6</v>
      </c>
      <c r="AF211" s="179">
        <v>2</v>
      </c>
      <c r="AG211" s="179">
        <v>1</v>
      </c>
      <c r="AH211" s="179">
        <v>2</v>
      </c>
      <c r="AI211" s="179">
        <v>2</v>
      </c>
      <c r="AJ211" s="179">
        <v>2</v>
      </c>
      <c r="AK211" s="179">
        <v>1</v>
      </c>
      <c r="AL211" s="179">
        <v>2</v>
      </c>
      <c r="AM211" s="179">
        <v>3</v>
      </c>
      <c r="AN211" s="179">
        <v>8</v>
      </c>
      <c r="AO211" s="179">
        <v>6</v>
      </c>
      <c r="AP211" s="179">
        <v>1</v>
      </c>
      <c r="AQ211" s="118"/>
      <c r="AR211" s="96">
        <f t="shared" si="30"/>
        <v>53</v>
      </c>
      <c r="AS211" s="96">
        <f t="shared" si="31"/>
        <v>36</v>
      </c>
    </row>
    <row r="212" spans="2:45" ht="15.75" customHeight="1">
      <c r="B212" s="168" t="s">
        <v>389</v>
      </c>
      <c r="C212" s="116" t="s">
        <v>351</v>
      </c>
      <c r="D212" s="120">
        <v>2</v>
      </c>
      <c r="E212" s="116" t="s">
        <v>348</v>
      </c>
      <c r="F212" s="119" t="s">
        <v>349</v>
      </c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80">
        <v>2</v>
      </c>
      <c r="T212" s="179">
        <v>5</v>
      </c>
      <c r="U212" s="179">
        <v>5</v>
      </c>
      <c r="V212" s="179">
        <v>7</v>
      </c>
      <c r="W212" s="179">
        <v>5</v>
      </c>
      <c r="X212" s="179">
        <v>13</v>
      </c>
      <c r="Y212" s="179">
        <v>6</v>
      </c>
      <c r="Z212" s="179">
        <v>2</v>
      </c>
      <c r="AA212" s="179">
        <v>4</v>
      </c>
      <c r="AB212" s="179">
        <v>11</v>
      </c>
      <c r="AC212" s="179">
        <v>7</v>
      </c>
      <c r="AD212" s="181">
        <v>5</v>
      </c>
      <c r="AE212" s="180">
        <v>3</v>
      </c>
      <c r="AF212" s="179">
        <v>1</v>
      </c>
      <c r="AG212" s="179">
        <v>3</v>
      </c>
      <c r="AH212" s="179">
        <v>5</v>
      </c>
      <c r="AI212" s="179">
        <v>10</v>
      </c>
      <c r="AJ212" s="179">
        <v>7</v>
      </c>
      <c r="AK212" s="179">
        <v>1</v>
      </c>
      <c r="AL212" s="179">
        <v>3</v>
      </c>
      <c r="AM212" s="179">
        <v>1</v>
      </c>
      <c r="AN212" s="179">
        <v>10</v>
      </c>
      <c r="AO212" s="179">
        <v>4</v>
      </c>
      <c r="AP212" s="179">
        <v>5</v>
      </c>
      <c r="AQ212" s="118"/>
      <c r="AR212" s="96">
        <f t="shared" si="30"/>
        <v>72</v>
      </c>
      <c r="AS212" s="96">
        <f t="shared" si="31"/>
        <v>53</v>
      </c>
    </row>
    <row r="213" spans="2:45" ht="15.75" customHeight="1">
      <c r="B213" s="168" t="s">
        <v>389</v>
      </c>
      <c r="C213" s="116" t="s">
        <v>352</v>
      </c>
      <c r="D213" s="120">
        <v>1</v>
      </c>
      <c r="E213" s="116" t="s">
        <v>348</v>
      </c>
      <c r="F213" s="119" t="s">
        <v>349</v>
      </c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80">
        <v>5</v>
      </c>
      <c r="T213" s="179">
        <v>5</v>
      </c>
      <c r="U213" s="179">
        <v>12</v>
      </c>
      <c r="V213" s="179">
        <v>6</v>
      </c>
      <c r="W213" s="179">
        <v>10</v>
      </c>
      <c r="X213" s="179">
        <v>12</v>
      </c>
      <c r="Y213" s="179">
        <v>5</v>
      </c>
      <c r="Z213" s="179">
        <v>8</v>
      </c>
      <c r="AA213" s="179">
        <v>5</v>
      </c>
      <c r="AB213" s="179">
        <v>12</v>
      </c>
      <c r="AC213" s="179">
        <v>12</v>
      </c>
      <c r="AD213" s="181">
        <v>7</v>
      </c>
      <c r="AE213" s="180">
        <v>8</v>
      </c>
      <c r="AF213" s="179">
        <v>8</v>
      </c>
      <c r="AG213" s="179">
        <v>12</v>
      </c>
      <c r="AH213" s="179">
        <v>6</v>
      </c>
      <c r="AI213" s="179">
        <v>11</v>
      </c>
      <c r="AJ213" s="179">
        <v>7</v>
      </c>
      <c r="AK213" s="179">
        <v>5</v>
      </c>
      <c r="AL213" s="179">
        <v>5</v>
      </c>
      <c r="AM213" s="179">
        <v>6</v>
      </c>
      <c r="AN213" s="179">
        <v>11</v>
      </c>
      <c r="AO213" s="179">
        <v>10</v>
      </c>
      <c r="AP213" s="179">
        <v>4</v>
      </c>
      <c r="AQ213" s="118"/>
      <c r="AR213" s="96">
        <f t="shared" si="30"/>
        <v>99</v>
      </c>
      <c r="AS213" s="96">
        <f t="shared" si="31"/>
        <v>93</v>
      </c>
    </row>
    <row r="214" spans="2:45" ht="15.75" customHeight="1">
      <c r="B214" s="168" t="s">
        <v>389</v>
      </c>
      <c r="C214" s="116" t="s">
        <v>353</v>
      </c>
      <c r="D214" s="120">
        <v>1</v>
      </c>
      <c r="E214" s="116" t="s">
        <v>348</v>
      </c>
      <c r="F214" s="119" t="s">
        <v>349</v>
      </c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80">
        <v>4</v>
      </c>
      <c r="T214" s="179">
        <v>3</v>
      </c>
      <c r="U214" s="179">
        <v>2</v>
      </c>
      <c r="V214" s="179">
        <v>5</v>
      </c>
      <c r="W214" s="179">
        <v>2</v>
      </c>
      <c r="X214" s="179">
        <v>3</v>
      </c>
      <c r="Y214" s="179">
        <v>2</v>
      </c>
      <c r="Z214" s="179">
        <v>2</v>
      </c>
      <c r="AA214" s="179">
        <v>1</v>
      </c>
      <c r="AB214" s="179">
        <v>5</v>
      </c>
      <c r="AC214" s="179">
        <v>4</v>
      </c>
      <c r="AD214" s="181">
        <v>0</v>
      </c>
      <c r="AE214" s="180">
        <v>1</v>
      </c>
      <c r="AF214" s="179">
        <v>2</v>
      </c>
      <c r="AG214" s="179">
        <v>1</v>
      </c>
      <c r="AH214" s="179">
        <v>1</v>
      </c>
      <c r="AI214" s="179">
        <v>2</v>
      </c>
      <c r="AJ214" s="179">
        <v>4</v>
      </c>
      <c r="AK214" s="179">
        <v>0</v>
      </c>
      <c r="AL214" s="179">
        <v>2</v>
      </c>
      <c r="AM214" s="179">
        <v>0</v>
      </c>
      <c r="AN214" s="179">
        <v>2</v>
      </c>
      <c r="AO214" s="179">
        <v>2</v>
      </c>
      <c r="AP214" s="179">
        <v>1</v>
      </c>
      <c r="AQ214" s="118"/>
      <c r="AR214" s="96">
        <f t="shared" si="30"/>
        <v>33</v>
      </c>
      <c r="AS214" s="96">
        <f t="shared" si="31"/>
        <v>18</v>
      </c>
    </row>
    <row r="215" spans="2:45" ht="15.75" customHeight="1">
      <c r="B215" s="168" t="s">
        <v>389</v>
      </c>
      <c r="C215" s="116" t="s">
        <v>354</v>
      </c>
      <c r="D215" s="120">
        <v>1</v>
      </c>
      <c r="E215" s="116" t="s">
        <v>348</v>
      </c>
      <c r="F215" s="119" t="s">
        <v>355</v>
      </c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80">
        <v>7</v>
      </c>
      <c r="T215" s="179">
        <v>5</v>
      </c>
      <c r="U215" s="179">
        <v>10</v>
      </c>
      <c r="V215" s="179">
        <v>8</v>
      </c>
      <c r="W215" s="179">
        <v>11</v>
      </c>
      <c r="X215" s="179">
        <v>17</v>
      </c>
      <c r="Y215" s="179">
        <v>16</v>
      </c>
      <c r="Z215" s="179">
        <v>10</v>
      </c>
      <c r="AA215" s="179">
        <v>9</v>
      </c>
      <c r="AB215" s="179">
        <v>15</v>
      </c>
      <c r="AC215" s="179">
        <v>11</v>
      </c>
      <c r="AD215" s="181">
        <v>3</v>
      </c>
      <c r="AE215" s="180">
        <v>6</v>
      </c>
      <c r="AF215" s="179">
        <v>8</v>
      </c>
      <c r="AG215" s="179">
        <v>7</v>
      </c>
      <c r="AH215" s="179">
        <v>8</v>
      </c>
      <c r="AI215" s="179">
        <v>7</v>
      </c>
      <c r="AJ215" s="179">
        <v>10</v>
      </c>
      <c r="AK215" s="179">
        <v>8</v>
      </c>
      <c r="AL215" s="179">
        <v>9</v>
      </c>
      <c r="AM215" s="179">
        <v>9</v>
      </c>
      <c r="AN215" s="179">
        <v>11</v>
      </c>
      <c r="AO215" s="179">
        <v>7</v>
      </c>
      <c r="AP215" s="179">
        <v>5</v>
      </c>
      <c r="AQ215" s="118"/>
      <c r="AR215" s="96">
        <f t="shared" si="30"/>
        <v>122</v>
      </c>
      <c r="AS215" s="96">
        <f t="shared" si="31"/>
        <v>95</v>
      </c>
    </row>
    <row r="216" spans="2:45" ht="15.75" customHeight="1">
      <c r="B216" s="168" t="s">
        <v>389</v>
      </c>
      <c r="C216" s="116" t="s">
        <v>356</v>
      </c>
      <c r="D216" s="120">
        <v>1</v>
      </c>
      <c r="E216" s="116" t="s">
        <v>348</v>
      </c>
      <c r="F216" s="119" t="s">
        <v>355</v>
      </c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80">
        <v>1</v>
      </c>
      <c r="T216" s="179">
        <v>1</v>
      </c>
      <c r="U216" s="179">
        <v>0</v>
      </c>
      <c r="V216" s="179">
        <v>1</v>
      </c>
      <c r="W216" s="179">
        <v>1</v>
      </c>
      <c r="X216" s="179">
        <v>2</v>
      </c>
      <c r="Y216" s="179">
        <v>2</v>
      </c>
      <c r="Z216" s="179">
        <v>6</v>
      </c>
      <c r="AA216" s="179">
        <v>2</v>
      </c>
      <c r="AB216" s="179">
        <v>9</v>
      </c>
      <c r="AC216" s="179">
        <v>6</v>
      </c>
      <c r="AD216" s="181">
        <v>2</v>
      </c>
      <c r="AE216" s="180">
        <v>2</v>
      </c>
      <c r="AF216" s="179">
        <v>4</v>
      </c>
      <c r="AG216" s="179">
        <v>5</v>
      </c>
      <c r="AH216" s="179">
        <v>2</v>
      </c>
      <c r="AI216" s="179">
        <v>1</v>
      </c>
      <c r="AJ216" s="179">
        <v>2</v>
      </c>
      <c r="AK216" s="179">
        <v>2</v>
      </c>
      <c r="AL216" s="179">
        <v>2</v>
      </c>
      <c r="AM216" s="179">
        <v>1</v>
      </c>
      <c r="AN216" s="179">
        <v>2</v>
      </c>
      <c r="AO216" s="179">
        <v>2</v>
      </c>
      <c r="AP216" s="179">
        <v>1</v>
      </c>
      <c r="AQ216" s="118"/>
      <c r="AR216" s="96">
        <f t="shared" si="30"/>
        <v>33</v>
      </c>
      <c r="AS216" s="96">
        <f t="shared" si="31"/>
        <v>26</v>
      </c>
    </row>
    <row r="217" spans="2:45" ht="15.75" customHeight="1">
      <c r="B217" s="168" t="s">
        <v>389</v>
      </c>
      <c r="C217" s="116" t="s">
        <v>357</v>
      </c>
      <c r="D217" s="120">
        <v>2</v>
      </c>
      <c r="E217" s="116" t="s">
        <v>348</v>
      </c>
      <c r="F217" s="119" t="s">
        <v>355</v>
      </c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80">
        <v>2</v>
      </c>
      <c r="T217" s="179">
        <v>2</v>
      </c>
      <c r="U217" s="179">
        <v>7</v>
      </c>
      <c r="V217" s="179">
        <v>10</v>
      </c>
      <c r="W217" s="179">
        <v>6</v>
      </c>
      <c r="X217" s="179">
        <v>8</v>
      </c>
      <c r="Y217" s="179">
        <v>3</v>
      </c>
      <c r="Z217" s="179">
        <v>6</v>
      </c>
      <c r="AA217" s="179">
        <v>6</v>
      </c>
      <c r="AB217" s="179">
        <v>15</v>
      </c>
      <c r="AC217" s="179">
        <v>14</v>
      </c>
      <c r="AD217" s="181">
        <v>6</v>
      </c>
      <c r="AE217" s="180">
        <v>3</v>
      </c>
      <c r="AF217" s="179">
        <v>3</v>
      </c>
      <c r="AG217" s="179">
        <v>6</v>
      </c>
      <c r="AH217" s="179">
        <v>3</v>
      </c>
      <c r="AI217" s="179">
        <v>8</v>
      </c>
      <c r="AJ217" s="179">
        <v>8</v>
      </c>
      <c r="AK217" s="179">
        <v>2</v>
      </c>
      <c r="AL217" s="179">
        <v>5</v>
      </c>
      <c r="AM217" s="179">
        <v>8</v>
      </c>
      <c r="AN217" s="179">
        <v>7</v>
      </c>
      <c r="AO217" s="179">
        <v>10</v>
      </c>
      <c r="AP217" s="179">
        <v>3</v>
      </c>
      <c r="AQ217" s="118"/>
      <c r="AR217" s="96">
        <f t="shared" si="30"/>
        <v>85</v>
      </c>
      <c r="AS217" s="96">
        <f t="shared" si="31"/>
        <v>66</v>
      </c>
    </row>
    <row r="218" spans="2:45" ht="15.75" customHeight="1">
      <c r="B218" s="168" t="s">
        <v>389</v>
      </c>
      <c r="C218" s="116" t="s">
        <v>358</v>
      </c>
      <c r="D218" s="120">
        <v>1</v>
      </c>
      <c r="E218" s="116" t="s">
        <v>348</v>
      </c>
      <c r="F218" s="119" t="s">
        <v>355</v>
      </c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80">
        <v>2</v>
      </c>
      <c r="T218" s="179">
        <v>1</v>
      </c>
      <c r="U218" s="179">
        <v>7</v>
      </c>
      <c r="V218" s="179">
        <v>11</v>
      </c>
      <c r="W218" s="179">
        <v>6</v>
      </c>
      <c r="X218" s="179">
        <v>5</v>
      </c>
      <c r="Y218" s="179">
        <v>4</v>
      </c>
      <c r="Z218" s="179">
        <v>8</v>
      </c>
      <c r="AA218" s="179">
        <v>5</v>
      </c>
      <c r="AB218" s="179">
        <v>8</v>
      </c>
      <c r="AC218" s="179">
        <v>12</v>
      </c>
      <c r="AD218" s="181">
        <v>7</v>
      </c>
      <c r="AE218" s="180">
        <v>2</v>
      </c>
      <c r="AF218" s="179">
        <v>6</v>
      </c>
      <c r="AG218" s="179">
        <v>5</v>
      </c>
      <c r="AH218" s="179">
        <v>5</v>
      </c>
      <c r="AI218" s="179">
        <v>10</v>
      </c>
      <c r="AJ218" s="179">
        <v>6</v>
      </c>
      <c r="AK218" s="179">
        <v>3</v>
      </c>
      <c r="AL218" s="179">
        <v>3</v>
      </c>
      <c r="AM218" s="179">
        <v>4</v>
      </c>
      <c r="AN218" s="179">
        <v>10</v>
      </c>
      <c r="AO218" s="179">
        <v>13</v>
      </c>
      <c r="AP218" s="179">
        <v>3</v>
      </c>
      <c r="AQ218" s="118"/>
      <c r="AR218" s="96">
        <f t="shared" si="30"/>
        <v>76</v>
      </c>
      <c r="AS218" s="96">
        <f t="shared" si="31"/>
        <v>70</v>
      </c>
    </row>
    <row r="219" spans="2:45" ht="15.75" customHeight="1">
      <c r="B219" s="168" t="s">
        <v>389</v>
      </c>
      <c r="C219" s="116" t="s">
        <v>359</v>
      </c>
      <c r="D219" s="120">
        <v>1</v>
      </c>
      <c r="E219" s="116" t="s">
        <v>348</v>
      </c>
      <c r="F219" s="119" t="s">
        <v>355</v>
      </c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80">
        <v>4</v>
      </c>
      <c r="T219" s="179">
        <v>6</v>
      </c>
      <c r="U219" s="179">
        <v>13</v>
      </c>
      <c r="V219" s="179">
        <v>17</v>
      </c>
      <c r="W219" s="179">
        <v>17</v>
      </c>
      <c r="X219" s="179">
        <v>15</v>
      </c>
      <c r="Y219" s="179">
        <v>11</v>
      </c>
      <c r="Z219" s="179">
        <v>11</v>
      </c>
      <c r="AA219" s="179">
        <v>13</v>
      </c>
      <c r="AB219" s="179">
        <v>16</v>
      </c>
      <c r="AC219" s="179">
        <v>18</v>
      </c>
      <c r="AD219" s="181">
        <v>10</v>
      </c>
      <c r="AE219" s="180">
        <v>3</v>
      </c>
      <c r="AF219" s="179">
        <v>7</v>
      </c>
      <c r="AG219" s="179">
        <v>11</v>
      </c>
      <c r="AH219" s="179">
        <v>14</v>
      </c>
      <c r="AI219" s="179">
        <v>12</v>
      </c>
      <c r="AJ219" s="179">
        <v>9</v>
      </c>
      <c r="AK219" s="179">
        <v>7</v>
      </c>
      <c r="AL219" s="179">
        <v>8</v>
      </c>
      <c r="AM219" s="179">
        <v>13</v>
      </c>
      <c r="AN219" s="179">
        <v>15</v>
      </c>
      <c r="AO219" s="179">
        <v>16</v>
      </c>
      <c r="AP219" s="179">
        <v>5</v>
      </c>
      <c r="AQ219" s="118"/>
      <c r="AR219" s="96">
        <f t="shared" si="30"/>
        <v>151</v>
      </c>
      <c r="AS219" s="96">
        <f t="shared" si="31"/>
        <v>120</v>
      </c>
    </row>
    <row r="220" spans="2:45" ht="15.75" customHeight="1">
      <c r="B220" s="168" t="s">
        <v>389</v>
      </c>
      <c r="C220" s="116" t="s">
        <v>360</v>
      </c>
      <c r="D220" s="120">
        <v>2</v>
      </c>
      <c r="E220" s="116" t="s">
        <v>348</v>
      </c>
      <c r="F220" s="119" t="s">
        <v>355</v>
      </c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80">
        <v>0</v>
      </c>
      <c r="T220" s="179">
        <v>0</v>
      </c>
      <c r="U220" s="179">
        <v>0</v>
      </c>
      <c r="V220" s="179">
        <v>0</v>
      </c>
      <c r="W220" s="179">
        <v>0</v>
      </c>
      <c r="X220" s="179">
        <v>0</v>
      </c>
      <c r="Y220" s="179">
        <v>0</v>
      </c>
      <c r="Z220" s="179">
        <v>0</v>
      </c>
      <c r="AA220" s="179">
        <v>0</v>
      </c>
      <c r="AB220" s="179">
        <v>0</v>
      </c>
      <c r="AC220" s="179">
        <v>0</v>
      </c>
      <c r="AD220" s="181">
        <v>0</v>
      </c>
      <c r="AE220" s="180">
        <v>0</v>
      </c>
      <c r="AF220" s="179">
        <v>0</v>
      </c>
      <c r="AG220" s="179">
        <v>3</v>
      </c>
      <c r="AH220" s="179">
        <v>4</v>
      </c>
      <c r="AI220" s="179">
        <v>4</v>
      </c>
      <c r="AJ220" s="179">
        <v>0</v>
      </c>
      <c r="AK220" s="179">
        <v>1</v>
      </c>
      <c r="AL220" s="179">
        <v>2</v>
      </c>
      <c r="AM220" s="179">
        <v>3</v>
      </c>
      <c r="AN220" s="179">
        <v>5</v>
      </c>
      <c r="AO220" s="179">
        <v>4</v>
      </c>
      <c r="AP220" s="179">
        <v>1</v>
      </c>
      <c r="AQ220" s="118"/>
      <c r="AR220" s="96">
        <f t="shared" si="30"/>
        <v>0</v>
      </c>
      <c r="AS220" s="96">
        <f t="shared" si="31"/>
        <v>27</v>
      </c>
    </row>
    <row r="221" spans="2:45" ht="15.75" customHeight="1">
      <c r="B221" s="168" t="s">
        <v>389</v>
      </c>
      <c r="C221" s="116" t="s">
        <v>361</v>
      </c>
      <c r="D221" s="120">
        <v>1</v>
      </c>
      <c r="E221" s="116" t="s">
        <v>348</v>
      </c>
      <c r="F221" s="119" t="s">
        <v>355</v>
      </c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80">
        <v>1</v>
      </c>
      <c r="T221" s="179">
        <v>1</v>
      </c>
      <c r="U221" s="179">
        <v>2</v>
      </c>
      <c r="V221" s="179">
        <v>1</v>
      </c>
      <c r="W221" s="179">
        <v>7</v>
      </c>
      <c r="X221" s="179">
        <v>6</v>
      </c>
      <c r="Y221" s="179">
        <v>0</v>
      </c>
      <c r="Z221" s="179">
        <v>1</v>
      </c>
      <c r="AA221" s="179">
        <v>4</v>
      </c>
      <c r="AB221" s="179">
        <v>8</v>
      </c>
      <c r="AC221" s="179">
        <v>6</v>
      </c>
      <c r="AD221" s="181">
        <v>6</v>
      </c>
      <c r="AE221" s="180">
        <v>0</v>
      </c>
      <c r="AF221" s="179">
        <v>1</v>
      </c>
      <c r="AG221" s="179">
        <v>3</v>
      </c>
      <c r="AH221" s="179">
        <v>4</v>
      </c>
      <c r="AI221" s="179">
        <v>8</v>
      </c>
      <c r="AJ221" s="179">
        <v>1</v>
      </c>
      <c r="AK221" s="179">
        <v>4</v>
      </c>
      <c r="AL221" s="179">
        <v>1</v>
      </c>
      <c r="AM221" s="179">
        <v>3</v>
      </c>
      <c r="AN221" s="179">
        <v>3</v>
      </c>
      <c r="AO221" s="179">
        <v>5</v>
      </c>
      <c r="AP221" s="179">
        <v>0</v>
      </c>
      <c r="AQ221" s="118"/>
      <c r="AR221" s="96">
        <f t="shared" si="30"/>
        <v>43</v>
      </c>
      <c r="AS221" s="96">
        <f t="shared" si="31"/>
        <v>33</v>
      </c>
    </row>
    <row r="222" spans="2:45" ht="15.75" customHeight="1">
      <c r="B222" s="168" t="s">
        <v>389</v>
      </c>
      <c r="C222" s="116" t="s">
        <v>362</v>
      </c>
      <c r="D222" s="120">
        <v>1</v>
      </c>
      <c r="E222" s="116" t="s">
        <v>348</v>
      </c>
      <c r="F222" s="119" t="s">
        <v>363</v>
      </c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80">
        <v>2</v>
      </c>
      <c r="T222" s="179">
        <v>4</v>
      </c>
      <c r="U222" s="179">
        <v>5</v>
      </c>
      <c r="V222" s="179">
        <v>8</v>
      </c>
      <c r="W222" s="179">
        <v>9</v>
      </c>
      <c r="X222" s="179">
        <v>4</v>
      </c>
      <c r="Y222" s="179">
        <v>3</v>
      </c>
      <c r="Z222" s="179">
        <v>6</v>
      </c>
      <c r="AA222" s="179">
        <v>6</v>
      </c>
      <c r="AB222" s="179">
        <v>7</v>
      </c>
      <c r="AC222" s="179">
        <v>8</v>
      </c>
      <c r="AD222" s="181">
        <v>4</v>
      </c>
      <c r="AE222" s="180">
        <v>6</v>
      </c>
      <c r="AF222" s="179">
        <v>5</v>
      </c>
      <c r="AG222" s="179">
        <v>5</v>
      </c>
      <c r="AH222" s="179">
        <v>5</v>
      </c>
      <c r="AI222" s="179">
        <v>5</v>
      </c>
      <c r="AJ222" s="179">
        <v>5</v>
      </c>
      <c r="AK222" s="179">
        <v>4</v>
      </c>
      <c r="AL222" s="179">
        <v>5</v>
      </c>
      <c r="AM222" s="179">
        <v>3</v>
      </c>
      <c r="AN222" s="179">
        <v>9</v>
      </c>
      <c r="AO222" s="179">
        <v>5</v>
      </c>
      <c r="AP222" s="179">
        <v>3</v>
      </c>
      <c r="AQ222" s="118"/>
      <c r="AR222" s="96">
        <f t="shared" si="30"/>
        <v>66</v>
      </c>
      <c r="AS222" s="96">
        <f t="shared" si="31"/>
        <v>60</v>
      </c>
    </row>
    <row r="223" spans="2:45" ht="15.75" customHeight="1">
      <c r="B223" s="168" t="s">
        <v>389</v>
      </c>
      <c r="C223" s="116" t="s">
        <v>364</v>
      </c>
      <c r="D223" s="120">
        <v>1</v>
      </c>
      <c r="E223" s="116" t="s">
        <v>348</v>
      </c>
      <c r="F223" s="119" t="s">
        <v>363</v>
      </c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80">
        <v>2</v>
      </c>
      <c r="T223" s="179">
        <v>3</v>
      </c>
      <c r="U223" s="179">
        <v>3</v>
      </c>
      <c r="V223" s="179">
        <v>6</v>
      </c>
      <c r="W223" s="179">
        <v>6</v>
      </c>
      <c r="X223" s="179">
        <v>5</v>
      </c>
      <c r="Y223" s="179">
        <v>3</v>
      </c>
      <c r="Z223" s="179">
        <v>4</v>
      </c>
      <c r="AA223" s="179">
        <v>6</v>
      </c>
      <c r="AB223" s="179">
        <v>6</v>
      </c>
      <c r="AC223" s="179">
        <v>10</v>
      </c>
      <c r="AD223" s="181">
        <v>3</v>
      </c>
      <c r="AE223" s="180">
        <v>5</v>
      </c>
      <c r="AF223" s="179">
        <v>1</v>
      </c>
      <c r="AG223" s="179">
        <v>3</v>
      </c>
      <c r="AH223" s="179">
        <v>5</v>
      </c>
      <c r="AI223" s="179">
        <v>4</v>
      </c>
      <c r="AJ223" s="179">
        <v>6</v>
      </c>
      <c r="AK223" s="179">
        <v>1</v>
      </c>
      <c r="AL223" s="179">
        <v>3</v>
      </c>
      <c r="AM223" s="179">
        <v>5</v>
      </c>
      <c r="AN223" s="179">
        <v>6</v>
      </c>
      <c r="AO223" s="179">
        <v>4</v>
      </c>
      <c r="AP223" s="179">
        <v>1</v>
      </c>
      <c r="AQ223" s="118"/>
      <c r="AR223" s="96">
        <f t="shared" si="30"/>
        <v>57</v>
      </c>
      <c r="AS223" s="96">
        <f t="shared" si="31"/>
        <v>44</v>
      </c>
    </row>
    <row r="224" spans="2:45" ht="15.75" customHeight="1">
      <c r="B224" s="168" t="s">
        <v>389</v>
      </c>
      <c r="C224" s="116" t="s">
        <v>365</v>
      </c>
      <c r="D224" s="120">
        <v>1</v>
      </c>
      <c r="E224" s="116" t="s">
        <v>348</v>
      </c>
      <c r="F224" s="119" t="s">
        <v>363</v>
      </c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80">
        <v>9</v>
      </c>
      <c r="T224" s="179">
        <v>6</v>
      </c>
      <c r="U224" s="179">
        <v>10</v>
      </c>
      <c r="V224" s="179">
        <v>10</v>
      </c>
      <c r="W224" s="179">
        <v>11</v>
      </c>
      <c r="X224" s="179">
        <v>10</v>
      </c>
      <c r="Y224" s="179">
        <v>6</v>
      </c>
      <c r="Z224" s="179">
        <v>10</v>
      </c>
      <c r="AA224" s="179">
        <v>6</v>
      </c>
      <c r="AB224" s="179">
        <v>14</v>
      </c>
      <c r="AC224" s="179">
        <v>14</v>
      </c>
      <c r="AD224" s="181">
        <v>9</v>
      </c>
      <c r="AE224" s="180">
        <v>4</v>
      </c>
      <c r="AF224" s="179">
        <v>9</v>
      </c>
      <c r="AG224" s="179">
        <v>11</v>
      </c>
      <c r="AH224" s="179">
        <v>9</v>
      </c>
      <c r="AI224" s="179">
        <v>10</v>
      </c>
      <c r="AJ224" s="179">
        <v>10</v>
      </c>
      <c r="AK224" s="179">
        <v>5</v>
      </c>
      <c r="AL224" s="179">
        <v>6</v>
      </c>
      <c r="AM224" s="179">
        <v>6</v>
      </c>
      <c r="AN224" s="179">
        <v>13</v>
      </c>
      <c r="AO224" s="179">
        <v>9</v>
      </c>
      <c r="AP224" s="179">
        <v>3</v>
      </c>
      <c r="AQ224" s="118"/>
      <c r="AR224" s="96">
        <f t="shared" si="30"/>
        <v>115</v>
      </c>
      <c r="AS224" s="96">
        <f t="shared" si="31"/>
        <v>95</v>
      </c>
    </row>
    <row r="225" spans="2:45" ht="15.75" customHeight="1">
      <c r="B225" s="168" t="s">
        <v>389</v>
      </c>
      <c r="C225" s="116" t="s">
        <v>366</v>
      </c>
      <c r="D225" s="120">
        <v>1</v>
      </c>
      <c r="E225" s="116" t="s">
        <v>348</v>
      </c>
      <c r="F225" s="119" t="s">
        <v>363</v>
      </c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80">
        <v>1</v>
      </c>
      <c r="T225" s="179">
        <v>2</v>
      </c>
      <c r="U225" s="179">
        <v>6</v>
      </c>
      <c r="V225" s="179">
        <v>3</v>
      </c>
      <c r="W225" s="179">
        <v>3</v>
      </c>
      <c r="X225" s="179">
        <v>5</v>
      </c>
      <c r="Y225" s="179">
        <v>3</v>
      </c>
      <c r="Z225" s="179">
        <v>5</v>
      </c>
      <c r="AA225" s="179">
        <v>4</v>
      </c>
      <c r="AB225" s="179">
        <v>9</v>
      </c>
      <c r="AC225" s="179">
        <v>8</v>
      </c>
      <c r="AD225" s="181">
        <v>3</v>
      </c>
      <c r="AE225" s="180">
        <v>2</v>
      </c>
      <c r="AF225" s="179">
        <v>4</v>
      </c>
      <c r="AG225" s="179">
        <v>4</v>
      </c>
      <c r="AH225" s="179">
        <v>5</v>
      </c>
      <c r="AI225" s="179">
        <v>2</v>
      </c>
      <c r="AJ225" s="179">
        <v>3</v>
      </c>
      <c r="AK225" s="179">
        <v>1</v>
      </c>
      <c r="AL225" s="179">
        <v>1</v>
      </c>
      <c r="AM225" s="179">
        <v>2</v>
      </c>
      <c r="AN225" s="179">
        <v>5</v>
      </c>
      <c r="AO225" s="179">
        <v>4</v>
      </c>
      <c r="AP225" s="179">
        <v>1</v>
      </c>
      <c r="AQ225" s="118"/>
      <c r="AR225" s="96">
        <f t="shared" si="30"/>
        <v>52</v>
      </c>
      <c r="AS225" s="96">
        <f t="shared" si="31"/>
        <v>34</v>
      </c>
    </row>
    <row r="226" spans="2:45" ht="15.75" customHeight="1">
      <c r="B226" s="168" t="s">
        <v>389</v>
      </c>
      <c r="C226" s="116" t="s">
        <v>367</v>
      </c>
      <c r="D226" s="120">
        <v>1</v>
      </c>
      <c r="E226" s="116" t="s">
        <v>348</v>
      </c>
      <c r="F226" s="119" t="s">
        <v>363</v>
      </c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80">
        <v>8</v>
      </c>
      <c r="T226" s="179">
        <v>3</v>
      </c>
      <c r="U226" s="179">
        <v>2</v>
      </c>
      <c r="V226" s="179">
        <v>7</v>
      </c>
      <c r="W226" s="179">
        <v>5</v>
      </c>
      <c r="X226" s="179">
        <v>4</v>
      </c>
      <c r="Y226" s="179">
        <v>2</v>
      </c>
      <c r="Z226" s="179">
        <v>4</v>
      </c>
      <c r="AA226" s="179">
        <v>4</v>
      </c>
      <c r="AB226" s="179">
        <v>9</v>
      </c>
      <c r="AC226" s="179">
        <v>5</v>
      </c>
      <c r="AD226" s="181">
        <v>4</v>
      </c>
      <c r="AE226" s="180">
        <v>4</v>
      </c>
      <c r="AF226" s="179">
        <v>0</v>
      </c>
      <c r="AG226" s="179">
        <v>2</v>
      </c>
      <c r="AH226" s="179">
        <v>6</v>
      </c>
      <c r="AI226" s="179">
        <v>5</v>
      </c>
      <c r="AJ226" s="179">
        <v>1</v>
      </c>
      <c r="AK226" s="179">
        <v>0</v>
      </c>
      <c r="AL226" s="179">
        <v>2</v>
      </c>
      <c r="AM226" s="179">
        <v>1</v>
      </c>
      <c r="AN226" s="179">
        <v>5</v>
      </c>
      <c r="AO226" s="179">
        <v>0</v>
      </c>
      <c r="AP226" s="179">
        <v>0</v>
      </c>
      <c r="AQ226" s="118"/>
      <c r="AR226" s="96">
        <f t="shared" si="30"/>
        <v>57</v>
      </c>
      <c r="AS226" s="96">
        <f t="shared" si="31"/>
        <v>26</v>
      </c>
    </row>
    <row r="227" spans="2:45" ht="15.75" customHeight="1">
      <c r="B227" s="168" t="s">
        <v>389</v>
      </c>
      <c r="C227" s="116" t="s">
        <v>368</v>
      </c>
      <c r="D227" s="120">
        <v>2</v>
      </c>
      <c r="E227" s="116" t="s">
        <v>369</v>
      </c>
      <c r="F227" s="119" t="s">
        <v>369</v>
      </c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80">
        <v>3</v>
      </c>
      <c r="T227" s="179">
        <v>3</v>
      </c>
      <c r="U227" s="179">
        <v>18</v>
      </c>
      <c r="V227" s="179">
        <v>17</v>
      </c>
      <c r="W227" s="179">
        <v>12</v>
      </c>
      <c r="X227" s="179">
        <v>7</v>
      </c>
      <c r="Y227" s="179">
        <v>4</v>
      </c>
      <c r="Z227" s="179">
        <v>4</v>
      </c>
      <c r="AA227" s="179">
        <v>7</v>
      </c>
      <c r="AB227" s="179">
        <v>16</v>
      </c>
      <c r="AC227" s="179">
        <v>18</v>
      </c>
      <c r="AD227" s="181">
        <v>8</v>
      </c>
      <c r="AE227" s="180">
        <v>2</v>
      </c>
      <c r="AF227" s="179">
        <v>1</v>
      </c>
      <c r="AG227" s="179">
        <v>11</v>
      </c>
      <c r="AH227" s="179">
        <v>6</v>
      </c>
      <c r="AI227" s="179">
        <v>10</v>
      </c>
      <c r="AJ227" s="179">
        <v>4</v>
      </c>
      <c r="AK227" s="179">
        <v>4</v>
      </c>
      <c r="AL227" s="179">
        <v>4</v>
      </c>
      <c r="AM227" s="179">
        <v>5</v>
      </c>
      <c r="AN227" s="179">
        <v>11</v>
      </c>
      <c r="AO227" s="179">
        <v>14</v>
      </c>
      <c r="AP227" s="179">
        <v>0</v>
      </c>
      <c r="AQ227" s="118"/>
      <c r="AR227" s="96">
        <f t="shared" si="30"/>
        <v>117</v>
      </c>
      <c r="AS227" s="96">
        <f t="shared" si="31"/>
        <v>72</v>
      </c>
    </row>
    <row r="228" spans="2:45" ht="15.75" customHeight="1">
      <c r="B228" s="168" t="s">
        <v>389</v>
      </c>
      <c r="C228" s="116" t="s">
        <v>451</v>
      </c>
      <c r="D228" s="120">
        <v>1</v>
      </c>
      <c r="E228" s="116" t="s">
        <v>369</v>
      </c>
      <c r="F228" s="119" t="s">
        <v>369</v>
      </c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80">
        <v>6</v>
      </c>
      <c r="T228" s="179">
        <v>3</v>
      </c>
      <c r="U228" s="179">
        <v>11</v>
      </c>
      <c r="V228" s="179">
        <v>14</v>
      </c>
      <c r="W228" s="179">
        <v>10</v>
      </c>
      <c r="X228" s="179">
        <v>6</v>
      </c>
      <c r="Y228" s="179">
        <v>11</v>
      </c>
      <c r="Z228" s="179">
        <v>5</v>
      </c>
      <c r="AA228" s="179">
        <v>5</v>
      </c>
      <c r="AB228" s="179">
        <v>12</v>
      </c>
      <c r="AC228" s="179">
        <v>10</v>
      </c>
      <c r="AD228" s="181">
        <v>7</v>
      </c>
      <c r="AE228" s="180">
        <v>4</v>
      </c>
      <c r="AF228" s="179">
        <v>0</v>
      </c>
      <c r="AG228" s="179">
        <v>13</v>
      </c>
      <c r="AH228" s="179">
        <v>9</v>
      </c>
      <c r="AI228" s="179">
        <v>7</v>
      </c>
      <c r="AJ228" s="179">
        <v>4</v>
      </c>
      <c r="AK228" s="179">
        <v>3</v>
      </c>
      <c r="AL228" s="179">
        <v>5</v>
      </c>
      <c r="AM228" s="179">
        <v>2</v>
      </c>
      <c r="AN228" s="179">
        <v>6</v>
      </c>
      <c r="AO228" s="179">
        <v>10</v>
      </c>
      <c r="AP228" s="179">
        <v>3</v>
      </c>
      <c r="AQ228" s="118"/>
      <c r="AR228" s="96">
        <f t="shared" si="30"/>
        <v>100</v>
      </c>
      <c r="AS228" s="96">
        <f t="shared" si="31"/>
        <v>66</v>
      </c>
    </row>
    <row r="229" spans="2:45" ht="15.75" customHeight="1">
      <c r="B229" s="168" t="s">
        <v>389</v>
      </c>
      <c r="C229" s="116" t="s">
        <v>371</v>
      </c>
      <c r="D229" s="120">
        <v>2</v>
      </c>
      <c r="E229" s="116" t="s">
        <v>369</v>
      </c>
      <c r="F229" s="119" t="s">
        <v>369</v>
      </c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80">
        <v>0</v>
      </c>
      <c r="T229" s="179">
        <v>0</v>
      </c>
      <c r="U229" s="179">
        <v>0</v>
      </c>
      <c r="V229" s="179">
        <v>0</v>
      </c>
      <c r="W229" s="179">
        <v>0</v>
      </c>
      <c r="X229" s="179">
        <v>0</v>
      </c>
      <c r="Y229" s="179">
        <v>0</v>
      </c>
      <c r="Z229" s="179">
        <v>0</v>
      </c>
      <c r="AA229" s="179">
        <v>0</v>
      </c>
      <c r="AB229" s="179">
        <v>0</v>
      </c>
      <c r="AC229" s="179">
        <v>0</v>
      </c>
      <c r="AD229" s="181">
        <v>0</v>
      </c>
      <c r="AE229" s="180">
        <v>0</v>
      </c>
      <c r="AF229" s="179">
        <v>0</v>
      </c>
      <c r="AG229" s="179">
        <v>0</v>
      </c>
      <c r="AH229" s="179">
        <v>0</v>
      </c>
      <c r="AI229" s="179">
        <v>0</v>
      </c>
      <c r="AJ229" s="179">
        <v>0</v>
      </c>
      <c r="AK229" s="179">
        <v>0</v>
      </c>
      <c r="AL229" s="179">
        <v>0</v>
      </c>
      <c r="AM229" s="179">
        <v>0</v>
      </c>
      <c r="AN229" s="179">
        <v>0</v>
      </c>
      <c r="AO229" s="179">
        <v>0</v>
      </c>
      <c r="AP229" s="179">
        <v>0</v>
      </c>
      <c r="AQ229" s="118"/>
      <c r="AR229" s="96">
        <f t="shared" si="30"/>
        <v>0</v>
      </c>
      <c r="AS229" s="96">
        <f t="shared" si="31"/>
        <v>0</v>
      </c>
    </row>
    <row r="230" spans="2:45" ht="15.75" customHeight="1">
      <c r="B230" s="168" t="s">
        <v>389</v>
      </c>
      <c r="C230" s="116" t="s">
        <v>372</v>
      </c>
      <c r="D230" s="120">
        <v>1</v>
      </c>
      <c r="E230" s="116" t="s">
        <v>369</v>
      </c>
      <c r="F230" s="119" t="s">
        <v>369</v>
      </c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80">
        <v>1</v>
      </c>
      <c r="T230" s="179">
        <v>3</v>
      </c>
      <c r="U230" s="179">
        <v>6</v>
      </c>
      <c r="V230" s="179">
        <v>7</v>
      </c>
      <c r="W230" s="179">
        <v>6</v>
      </c>
      <c r="X230" s="179">
        <v>1</v>
      </c>
      <c r="Y230" s="179">
        <v>0</v>
      </c>
      <c r="Z230" s="179">
        <v>1</v>
      </c>
      <c r="AA230" s="179">
        <v>2</v>
      </c>
      <c r="AB230" s="179">
        <v>7</v>
      </c>
      <c r="AC230" s="179">
        <v>8</v>
      </c>
      <c r="AD230" s="181">
        <v>4</v>
      </c>
      <c r="AE230" s="180">
        <v>4</v>
      </c>
      <c r="AF230" s="179">
        <v>1</v>
      </c>
      <c r="AG230" s="179">
        <v>0</v>
      </c>
      <c r="AH230" s="179">
        <v>1</v>
      </c>
      <c r="AI230" s="179">
        <v>2</v>
      </c>
      <c r="AJ230" s="179">
        <v>1</v>
      </c>
      <c r="AK230" s="179">
        <v>1</v>
      </c>
      <c r="AL230" s="179">
        <v>1</v>
      </c>
      <c r="AM230" s="179">
        <v>2</v>
      </c>
      <c r="AN230" s="179">
        <v>5</v>
      </c>
      <c r="AO230" s="179">
        <v>3</v>
      </c>
      <c r="AP230" s="179">
        <v>4</v>
      </c>
      <c r="AQ230" s="118"/>
      <c r="AR230" s="96">
        <f t="shared" si="30"/>
        <v>46</v>
      </c>
      <c r="AS230" s="96">
        <f t="shared" si="31"/>
        <v>25</v>
      </c>
    </row>
    <row r="231" spans="2:45" ht="15.75" customHeight="1">
      <c r="B231" s="168" t="s">
        <v>389</v>
      </c>
      <c r="C231" s="116" t="s">
        <v>373</v>
      </c>
      <c r="D231" s="120">
        <v>1</v>
      </c>
      <c r="E231" s="116" t="s">
        <v>369</v>
      </c>
      <c r="F231" s="119" t="s">
        <v>369</v>
      </c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80">
        <v>1</v>
      </c>
      <c r="T231" s="179">
        <v>1</v>
      </c>
      <c r="U231" s="179">
        <v>3</v>
      </c>
      <c r="V231" s="179">
        <v>9</v>
      </c>
      <c r="W231" s="179">
        <v>11</v>
      </c>
      <c r="X231" s="179">
        <v>7</v>
      </c>
      <c r="Y231" s="179">
        <v>3</v>
      </c>
      <c r="Z231" s="179">
        <v>1</v>
      </c>
      <c r="AA231" s="179">
        <v>7</v>
      </c>
      <c r="AB231" s="179">
        <v>14</v>
      </c>
      <c r="AC231" s="179">
        <v>11</v>
      </c>
      <c r="AD231" s="181">
        <v>7</v>
      </c>
      <c r="AE231" s="180">
        <v>1</v>
      </c>
      <c r="AF231" s="179">
        <v>2</v>
      </c>
      <c r="AG231" s="179">
        <v>10</v>
      </c>
      <c r="AH231" s="179">
        <v>7</v>
      </c>
      <c r="AI231" s="179">
        <v>6</v>
      </c>
      <c r="AJ231" s="179">
        <v>1</v>
      </c>
      <c r="AK231" s="179">
        <v>2</v>
      </c>
      <c r="AL231" s="179">
        <v>0</v>
      </c>
      <c r="AM231" s="179">
        <v>3</v>
      </c>
      <c r="AN231" s="179">
        <v>8</v>
      </c>
      <c r="AO231" s="179">
        <v>6</v>
      </c>
      <c r="AP231" s="179">
        <v>3</v>
      </c>
      <c r="AQ231" s="118"/>
      <c r="AR231" s="96">
        <f t="shared" si="30"/>
        <v>75</v>
      </c>
      <c r="AS231" s="96">
        <f t="shared" si="31"/>
        <v>49</v>
      </c>
    </row>
    <row r="232" spans="2:45" ht="15.75" customHeight="1">
      <c r="B232" s="168" t="s">
        <v>389</v>
      </c>
      <c r="C232" s="116" t="s">
        <v>374</v>
      </c>
      <c r="D232" s="120">
        <v>2</v>
      </c>
      <c r="E232" s="116" t="s">
        <v>369</v>
      </c>
      <c r="F232" s="119" t="s">
        <v>369</v>
      </c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80">
        <v>5</v>
      </c>
      <c r="T232" s="179">
        <v>4</v>
      </c>
      <c r="U232" s="179">
        <v>14</v>
      </c>
      <c r="V232" s="179">
        <v>8</v>
      </c>
      <c r="W232" s="179">
        <v>5</v>
      </c>
      <c r="X232" s="179">
        <v>3</v>
      </c>
      <c r="Y232" s="179">
        <v>0</v>
      </c>
      <c r="Z232" s="179">
        <v>3</v>
      </c>
      <c r="AA232" s="179">
        <v>8</v>
      </c>
      <c r="AB232" s="179">
        <v>14</v>
      </c>
      <c r="AC232" s="179">
        <v>19</v>
      </c>
      <c r="AD232" s="181">
        <v>8</v>
      </c>
      <c r="AE232" s="180">
        <v>1</v>
      </c>
      <c r="AF232" s="179">
        <v>2</v>
      </c>
      <c r="AG232" s="179">
        <v>1</v>
      </c>
      <c r="AH232" s="179">
        <v>3</v>
      </c>
      <c r="AI232" s="179">
        <v>3</v>
      </c>
      <c r="AJ232" s="179">
        <v>6</v>
      </c>
      <c r="AK232" s="179">
        <v>0</v>
      </c>
      <c r="AL232" s="179">
        <v>3</v>
      </c>
      <c r="AM232" s="179">
        <v>4</v>
      </c>
      <c r="AN232" s="179">
        <v>8</v>
      </c>
      <c r="AO232" s="179">
        <v>7</v>
      </c>
      <c r="AP232" s="179">
        <v>7</v>
      </c>
      <c r="AQ232" s="118"/>
      <c r="AR232" s="96">
        <f t="shared" ref="AR232:AR295" si="32">SUM(S232:AD232)</f>
        <v>91</v>
      </c>
      <c r="AS232" s="96">
        <f t="shared" si="31"/>
        <v>45</v>
      </c>
    </row>
    <row r="233" spans="2:45" ht="15.75" customHeight="1">
      <c r="B233" s="168" t="s">
        <v>389</v>
      </c>
      <c r="C233" s="116" t="s">
        <v>375</v>
      </c>
      <c r="D233" s="120">
        <v>1</v>
      </c>
      <c r="E233" s="116" t="s">
        <v>369</v>
      </c>
      <c r="F233" s="119" t="s">
        <v>369</v>
      </c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80">
        <v>0</v>
      </c>
      <c r="T233" s="179">
        <v>0</v>
      </c>
      <c r="U233" s="179">
        <v>0</v>
      </c>
      <c r="V233" s="179">
        <v>0</v>
      </c>
      <c r="W233" s="179">
        <v>0</v>
      </c>
      <c r="X233" s="179">
        <v>0</v>
      </c>
      <c r="Y233" s="179">
        <v>0</v>
      </c>
      <c r="Z233" s="179">
        <v>0</v>
      </c>
      <c r="AA233" s="179">
        <v>0</v>
      </c>
      <c r="AB233" s="179">
        <v>0</v>
      </c>
      <c r="AC233" s="179">
        <v>4</v>
      </c>
      <c r="AD233" s="181">
        <v>0</v>
      </c>
      <c r="AE233" s="180">
        <v>2</v>
      </c>
      <c r="AF233" s="179">
        <v>1</v>
      </c>
      <c r="AG233" s="179">
        <v>4</v>
      </c>
      <c r="AH233" s="179">
        <v>2</v>
      </c>
      <c r="AI233" s="179">
        <v>4</v>
      </c>
      <c r="AJ233" s="179">
        <v>1</v>
      </c>
      <c r="AK233" s="179">
        <v>0</v>
      </c>
      <c r="AL233" s="179">
        <v>0</v>
      </c>
      <c r="AM233" s="179">
        <v>2</v>
      </c>
      <c r="AN233" s="179">
        <v>1</v>
      </c>
      <c r="AO233" s="179">
        <v>2</v>
      </c>
      <c r="AP233" s="179">
        <v>0</v>
      </c>
      <c r="AQ233" s="118"/>
      <c r="AR233" s="96">
        <f t="shared" si="32"/>
        <v>4</v>
      </c>
      <c r="AS233" s="96">
        <f t="shared" ref="AS233:AS296" si="33">SUM(AE233:AP233)</f>
        <v>19</v>
      </c>
    </row>
    <row r="234" spans="2:45" ht="15.75" customHeight="1">
      <c r="B234" s="168" t="s">
        <v>389</v>
      </c>
      <c r="C234" s="116" t="s">
        <v>376</v>
      </c>
      <c r="D234" s="120">
        <v>1</v>
      </c>
      <c r="E234" s="116" t="s">
        <v>377</v>
      </c>
      <c r="F234" s="119" t="s">
        <v>377</v>
      </c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80">
        <v>6</v>
      </c>
      <c r="T234" s="179">
        <v>9</v>
      </c>
      <c r="U234" s="179">
        <v>9</v>
      </c>
      <c r="V234" s="179">
        <v>6</v>
      </c>
      <c r="W234" s="179">
        <v>8</v>
      </c>
      <c r="X234" s="179">
        <v>4</v>
      </c>
      <c r="Y234" s="179">
        <v>8</v>
      </c>
      <c r="Z234" s="179">
        <v>5</v>
      </c>
      <c r="AA234" s="179">
        <v>3</v>
      </c>
      <c r="AB234" s="179">
        <v>9</v>
      </c>
      <c r="AC234" s="179">
        <v>9</v>
      </c>
      <c r="AD234" s="181">
        <v>6</v>
      </c>
      <c r="AE234" s="180">
        <v>5</v>
      </c>
      <c r="AF234" s="179">
        <v>6</v>
      </c>
      <c r="AG234" s="179">
        <v>10</v>
      </c>
      <c r="AH234" s="179">
        <v>6</v>
      </c>
      <c r="AI234" s="179">
        <v>9</v>
      </c>
      <c r="AJ234" s="179">
        <v>5</v>
      </c>
      <c r="AK234" s="179">
        <v>4</v>
      </c>
      <c r="AL234" s="179">
        <v>7</v>
      </c>
      <c r="AM234" s="179">
        <v>4</v>
      </c>
      <c r="AN234" s="179">
        <v>4</v>
      </c>
      <c r="AO234" s="179">
        <v>9</v>
      </c>
      <c r="AP234" s="179">
        <v>3</v>
      </c>
      <c r="AQ234" s="118"/>
      <c r="AR234" s="96">
        <f t="shared" si="32"/>
        <v>82</v>
      </c>
      <c r="AS234" s="96">
        <f t="shared" si="33"/>
        <v>72</v>
      </c>
    </row>
    <row r="235" spans="2:45" ht="15.75" customHeight="1">
      <c r="B235" s="168" t="s">
        <v>389</v>
      </c>
      <c r="C235" s="116" t="s">
        <v>378</v>
      </c>
      <c r="D235" s="120">
        <v>1</v>
      </c>
      <c r="E235" s="116" t="s">
        <v>377</v>
      </c>
      <c r="F235" s="119" t="s">
        <v>377</v>
      </c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80">
        <v>6</v>
      </c>
      <c r="T235" s="179">
        <v>7</v>
      </c>
      <c r="U235" s="179">
        <v>4</v>
      </c>
      <c r="V235" s="179">
        <v>4</v>
      </c>
      <c r="W235" s="179">
        <v>7</v>
      </c>
      <c r="X235" s="179">
        <v>6</v>
      </c>
      <c r="Y235" s="179">
        <v>5</v>
      </c>
      <c r="Z235" s="179">
        <v>5</v>
      </c>
      <c r="AA235" s="179">
        <v>1</v>
      </c>
      <c r="AB235" s="179">
        <v>6</v>
      </c>
      <c r="AC235" s="179">
        <v>7</v>
      </c>
      <c r="AD235" s="181">
        <v>9</v>
      </c>
      <c r="AE235" s="180">
        <v>2</v>
      </c>
      <c r="AF235" s="179">
        <v>5</v>
      </c>
      <c r="AG235" s="179">
        <v>4</v>
      </c>
      <c r="AH235" s="179">
        <v>5</v>
      </c>
      <c r="AI235" s="179">
        <v>5</v>
      </c>
      <c r="AJ235" s="179">
        <v>7</v>
      </c>
      <c r="AK235" s="179">
        <v>3</v>
      </c>
      <c r="AL235" s="179">
        <v>3</v>
      </c>
      <c r="AM235" s="179">
        <v>3</v>
      </c>
      <c r="AN235" s="179">
        <v>5</v>
      </c>
      <c r="AO235" s="179">
        <v>4</v>
      </c>
      <c r="AP235" s="179">
        <v>1</v>
      </c>
      <c r="AQ235" s="118"/>
      <c r="AR235" s="96">
        <f t="shared" si="32"/>
        <v>67</v>
      </c>
      <c r="AS235" s="96">
        <f t="shared" si="33"/>
        <v>47</v>
      </c>
    </row>
    <row r="236" spans="2:45" ht="15.75" customHeight="1">
      <c r="B236" s="168" t="s">
        <v>389</v>
      </c>
      <c r="C236" s="116" t="s">
        <v>452</v>
      </c>
      <c r="D236" s="120">
        <v>1</v>
      </c>
      <c r="E236" s="116" t="s">
        <v>377</v>
      </c>
      <c r="F236" s="119" t="s">
        <v>377</v>
      </c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80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81"/>
      <c r="AE236" s="180">
        <v>0</v>
      </c>
      <c r="AF236" s="179">
        <v>0</v>
      </c>
      <c r="AG236" s="179">
        <v>0</v>
      </c>
      <c r="AH236" s="179">
        <v>0</v>
      </c>
      <c r="AI236" s="179">
        <v>0</v>
      </c>
      <c r="AJ236" s="179">
        <v>0</v>
      </c>
      <c r="AK236" s="179">
        <v>0</v>
      </c>
      <c r="AL236" s="179">
        <v>0</v>
      </c>
      <c r="AM236" s="179">
        <v>0</v>
      </c>
      <c r="AN236" s="179">
        <v>0</v>
      </c>
      <c r="AO236" s="179">
        <v>0</v>
      </c>
      <c r="AP236" s="179">
        <v>0</v>
      </c>
      <c r="AQ236" s="118"/>
      <c r="AR236" s="96">
        <f t="shared" si="32"/>
        <v>0</v>
      </c>
      <c r="AS236" s="96">
        <f t="shared" si="33"/>
        <v>0</v>
      </c>
    </row>
    <row r="237" spans="2:45" ht="15.75" customHeight="1">
      <c r="B237" s="168" t="s">
        <v>389</v>
      </c>
      <c r="C237" s="116" t="s">
        <v>379</v>
      </c>
      <c r="D237" s="120">
        <v>1</v>
      </c>
      <c r="E237" s="116" t="s">
        <v>377</v>
      </c>
      <c r="F237" s="119" t="s">
        <v>377</v>
      </c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80">
        <v>5</v>
      </c>
      <c r="T237" s="179">
        <v>7</v>
      </c>
      <c r="U237" s="179">
        <v>5</v>
      </c>
      <c r="V237" s="179">
        <v>7</v>
      </c>
      <c r="W237" s="179">
        <v>4</v>
      </c>
      <c r="X237" s="179">
        <v>6</v>
      </c>
      <c r="Y237" s="179">
        <v>5</v>
      </c>
      <c r="Z237" s="179">
        <v>6</v>
      </c>
      <c r="AA237" s="179">
        <v>2</v>
      </c>
      <c r="AB237" s="179">
        <v>7</v>
      </c>
      <c r="AC237" s="179">
        <v>9</v>
      </c>
      <c r="AD237" s="181">
        <v>5</v>
      </c>
      <c r="AE237" s="180">
        <v>3</v>
      </c>
      <c r="AF237" s="179">
        <v>3</v>
      </c>
      <c r="AG237" s="179">
        <v>4</v>
      </c>
      <c r="AH237" s="179">
        <v>5</v>
      </c>
      <c r="AI237" s="179">
        <v>5</v>
      </c>
      <c r="AJ237" s="179">
        <v>1</v>
      </c>
      <c r="AK237" s="179">
        <v>2</v>
      </c>
      <c r="AL237" s="179">
        <v>3</v>
      </c>
      <c r="AM237" s="179">
        <v>1</v>
      </c>
      <c r="AN237" s="179">
        <v>4</v>
      </c>
      <c r="AO237" s="179">
        <v>1</v>
      </c>
      <c r="AP237" s="179">
        <v>1</v>
      </c>
      <c r="AQ237" s="118"/>
      <c r="AR237" s="96">
        <f t="shared" si="32"/>
        <v>68</v>
      </c>
      <c r="AS237" s="96">
        <f t="shared" si="33"/>
        <v>33</v>
      </c>
    </row>
    <row r="238" spans="2:45" ht="15.75" customHeight="1">
      <c r="B238" s="168" t="s">
        <v>389</v>
      </c>
      <c r="C238" s="116" t="s">
        <v>380</v>
      </c>
      <c r="D238" s="120">
        <v>1</v>
      </c>
      <c r="E238" s="116" t="s">
        <v>377</v>
      </c>
      <c r="F238" s="119" t="s">
        <v>377</v>
      </c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80">
        <v>3</v>
      </c>
      <c r="T238" s="179">
        <v>5</v>
      </c>
      <c r="U238" s="179">
        <v>7</v>
      </c>
      <c r="V238" s="179">
        <v>7</v>
      </c>
      <c r="W238" s="179">
        <v>4</v>
      </c>
      <c r="X238" s="179">
        <v>4</v>
      </c>
      <c r="Y238" s="179">
        <v>6</v>
      </c>
      <c r="Z238" s="179">
        <v>5</v>
      </c>
      <c r="AA238" s="179">
        <v>1</v>
      </c>
      <c r="AB238" s="179">
        <v>11</v>
      </c>
      <c r="AC238" s="179">
        <v>6</v>
      </c>
      <c r="AD238" s="181">
        <v>6</v>
      </c>
      <c r="AE238" s="180">
        <v>5</v>
      </c>
      <c r="AF238" s="179">
        <v>2</v>
      </c>
      <c r="AG238" s="179">
        <v>6</v>
      </c>
      <c r="AH238" s="179">
        <v>4</v>
      </c>
      <c r="AI238" s="179">
        <v>5</v>
      </c>
      <c r="AJ238" s="179">
        <v>4</v>
      </c>
      <c r="AK238" s="179">
        <v>2</v>
      </c>
      <c r="AL238" s="179">
        <v>4</v>
      </c>
      <c r="AM238" s="179">
        <v>1</v>
      </c>
      <c r="AN238" s="179">
        <v>7</v>
      </c>
      <c r="AO238" s="179">
        <v>8</v>
      </c>
      <c r="AP238" s="179">
        <v>4</v>
      </c>
      <c r="AQ238" s="118"/>
      <c r="AR238" s="96">
        <f t="shared" si="32"/>
        <v>65</v>
      </c>
      <c r="AS238" s="96">
        <f t="shared" si="33"/>
        <v>52</v>
      </c>
    </row>
    <row r="239" spans="2:45" ht="15.75" customHeight="1">
      <c r="B239" s="168" t="s">
        <v>389</v>
      </c>
      <c r="C239" s="116" t="s">
        <v>381</v>
      </c>
      <c r="D239" s="120">
        <v>2</v>
      </c>
      <c r="E239" s="116" t="s">
        <v>377</v>
      </c>
      <c r="F239" s="119" t="s">
        <v>377</v>
      </c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80">
        <v>0</v>
      </c>
      <c r="T239" s="179">
        <v>0</v>
      </c>
      <c r="U239" s="179">
        <v>0</v>
      </c>
      <c r="V239" s="179">
        <v>0</v>
      </c>
      <c r="W239" s="179">
        <v>0</v>
      </c>
      <c r="X239" s="179">
        <v>2</v>
      </c>
      <c r="Y239" s="179">
        <v>1</v>
      </c>
      <c r="Z239" s="179">
        <v>0</v>
      </c>
      <c r="AA239" s="179">
        <v>1</v>
      </c>
      <c r="AB239" s="179">
        <v>6</v>
      </c>
      <c r="AC239" s="179">
        <v>6</v>
      </c>
      <c r="AD239" s="181">
        <v>2</v>
      </c>
      <c r="AE239" s="180">
        <v>2</v>
      </c>
      <c r="AF239" s="179">
        <v>4</v>
      </c>
      <c r="AG239" s="179">
        <v>6</v>
      </c>
      <c r="AH239" s="179">
        <v>8</v>
      </c>
      <c r="AI239" s="179">
        <v>5</v>
      </c>
      <c r="AJ239" s="179">
        <v>2</v>
      </c>
      <c r="AK239" s="179">
        <v>2</v>
      </c>
      <c r="AL239" s="179">
        <v>4</v>
      </c>
      <c r="AM239" s="179">
        <v>5</v>
      </c>
      <c r="AN239" s="179">
        <v>7</v>
      </c>
      <c r="AO239" s="179">
        <v>6</v>
      </c>
      <c r="AP239" s="179">
        <v>5</v>
      </c>
      <c r="AQ239" s="118"/>
      <c r="AR239" s="96">
        <f t="shared" si="32"/>
        <v>18</v>
      </c>
      <c r="AS239" s="96">
        <f t="shared" si="33"/>
        <v>56</v>
      </c>
    </row>
    <row r="240" spans="2:45" ht="15.75" customHeight="1">
      <c r="B240" s="168" t="s">
        <v>389</v>
      </c>
      <c r="C240" s="116" t="s">
        <v>382</v>
      </c>
      <c r="D240" s="120">
        <v>2</v>
      </c>
      <c r="E240" s="116" t="s">
        <v>377</v>
      </c>
      <c r="F240" s="119" t="s">
        <v>377</v>
      </c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80">
        <v>13</v>
      </c>
      <c r="T240" s="179">
        <v>17</v>
      </c>
      <c r="U240" s="179">
        <v>19</v>
      </c>
      <c r="V240" s="179">
        <v>17</v>
      </c>
      <c r="W240" s="179">
        <v>10</v>
      </c>
      <c r="X240" s="179">
        <v>11</v>
      </c>
      <c r="Y240" s="179">
        <v>8</v>
      </c>
      <c r="Z240" s="179">
        <v>9</v>
      </c>
      <c r="AA240" s="179">
        <v>13</v>
      </c>
      <c r="AB240" s="179">
        <v>25</v>
      </c>
      <c r="AC240" s="179">
        <v>22</v>
      </c>
      <c r="AD240" s="181">
        <v>14</v>
      </c>
      <c r="AE240" s="180">
        <v>6</v>
      </c>
      <c r="AF240" s="179">
        <v>13</v>
      </c>
      <c r="AG240" s="179">
        <v>14</v>
      </c>
      <c r="AH240" s="179">
        <v>12</v>
      </c>
      <c r="AI240" s="179">
        <v>16</v>
      </c>
      <c r="AJ240" s="179">
        <v>14</v>
      </c>
      <c r="AK240" s="179">
        <v>7</v>
      </c>
      <c r="AL240" s="179">
        <v>5</v>
      </c>
      <c r="AM240" s="179">
        <v>12</v>
      </c>
      <c r="AN240" s="179">
        <v>16</v>
      </c>
      <c r="AO240" s="179">
        <v>17</v>
      </c>
      <c r="AP240" s="179">
        <v>7</v>
      </c>
      <c r="AQ240" s="118"/>
      <c r="AR240" s="96">
        <f t="shared" si="32"/>
        <v>178</v>
      </c>
      <c r="AS240" s="96">
        <f t="shared" si="33"/>
        <v>139</v>
      </c>
    </row>
    <row r="241" spans="2:45" ht="15.75" customHeight="1">
      <c r="B241" s="168" t="s">
        <v>389</v>
      </c>
      <c r="C241" s="116" t="s">
        <v>383</v>
      </c>
      <c r="D241" s="120">
        <v>1</v>
      </c>
      <c r="E241" s="116" t="s">
        <v>377</v>
      </c>
      <c r="F241" s="119" t="s">
        <v>377</v>
      </c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80">
        <v>0</v>
      </c>
      <c r="T241" s="179">
        <v>0</v>
      </c>
      <c r="U241" s="179">
        <v>0</v>
      </c>
      <c r="V241" s="179">
        <v>0</v>
      </c>
      <c r="W241" s="179">
        <v>0</v>
      </c>
      <c r="X241" s="179">
        <v>0</v>
      </c>
      <c r="Y241" s="179">
        <v>0</v>
      </c>
      <c r="Z241" s="179">
        <v>0</v>
      </c>
      <c r="AA241" s="179">
        <v>0</v>
      </c>
      <c r="AB241" s="179">
        <v>0</v>
      </c>
      <c r="AC241" s="179">
        <v>0</v>
      </c>
      <c r="AD241" s="181">
        <v>0</v>
      </c>
      <c r="AE241" s="180">
        <v>0</v>
      </c>
      <c r="AF241" s="179">
        <v>0</v>
      </c>
      <c r="AG241" s="179">
        <v>0</v>
      </c>
      <c r="AH241" s="179">
        <v>0</v>
      </c>
      <c r="AI241" s="179">
        <v>2</v>
      </c>
      <c r="AJ241" s="179">
        <v>0</v>
      </c>
      <c r="AK241" s="179">
        <v>0</v>
      </c>
      <c r="AL241" s="179">
        <v>0</v>
      </c>
      <c r="AM241" s="179">
        <v>2</v>
      </c>
      <c r="AN241" s="179">
        <v>1</v>
      </c>
      <c r="AO241" s="179">
        <v>0</v>
      </c>
      <c r="AP241" s="179">
        <v>0</v>
      </c>
      <c r="AQ241" s="118"/>
      <c r="AR241" s="96">
        <f t="shared" si="32"/>
        <v>0</v>
      </c>
      <c r="AS241" s="96">
        <f t="shared" si="33"/>
        <v>5</v>
      </c>
    </row>
    <row r="242" spans="2:45" ht="15.75" customHeight="1">
      <c r="B242" s="168" t="s">
        <v>389</v>
      </c>
      <c r="C242" s="116" t="s">
        <v>384</v>
      </c>
      <c r="D242" s="120">
        <v>1</v>
      </c>
      <c r="E242" s="116" t="s">
        <v>385</v>
      </c>
      <c r="F242" s="119" t="s">
        <v>385</v>
      </c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80">
        <v>13</v>
      </c>
      <c r="T242" s="179">
        <v>13</v>
      </c>
      <c r="U242" s="179">
        <v>17</v>
      </c>
      <c r="V242" s="179">
        <v>16</v>
      </c>
      <c r="W242" s="179">
        <v>17</v>
      </c>
      <c r="X242" s="179">
        <v>17</v>
      </c>
      <c r="Y242" s="179">
        <v>19</v>
      </c>
      <c r="Z242" s="179">
        <v>17</v>
      </c>
      <c r="AA242" s="179">
        <v>20</v>
      </c>
      <c r="AB242" s="179">
        <v>24</v>
      </c>
      <c r="AC242" s="179">
        <v>23</v>
      </c>
      <c r="AD242" s="181">
        <v>17</v>
      </c>
      <c r="AE242" s="180">
        <v>11</v>
      </c>
      <c r="AF242" s="179">
        <v>9</v>
      </c>
      <c r="AG242" s="179">
        <v>15</v>
      </c>
      <c r="AH242" s="179">
        <v>17</v>
      </c>
      <c r="AI242" s="179">
        <v>23</v>
      </c>
      <c r="AJ242" s="179">
        <v>25</v>
      </c>
      <c r="AK242" s="179">
        <v>12</v>
      </c>
      <c r="AL242" s="179">
        <v>15</v>
      </c>
      <c r="AM242" s="179">
        <v>19</v>
      </c>
      <c r="AN242" s="179">
        <v>19</v>
      </c>
      <c r="AO242" s="179">
        <v>14</v>
      </c>
      <c r="AP242" s="179">
        <v>12</v>
      </c>
      <c r="AQ242" s="118"/>
      <c r="AR242" s="96">
        <f t="shared" si="32"/>
        <v>213</v>
      </c>
      <c r="AS242" s="96">
        <f t="shared" si="33"/>
        <v>191</v>
      </c>
    </row>
    <row r="243" spans="2:45" ht="15.75" customHeight="1">
      <c r="B243" s="171" t="s">
        <v>389</v>
      </c>
      <c r="C243" s="172" t="s">
        <v>386</v>
      </c>
      <c r="D243" s="173">
        <v>1</v>
      </c>
      <c r="E243" s="174" t="s">
        <v>348</v>
      </c>
      <c r="F243" s="175" t="s">
        <v>363</v>
      </c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3">
        <v>0</v>
      </c>
      <c r="T243" s="182">
        <v>0</v>
      </c>
      <c r="U243" s="182">
        <v>0</v>
      </c>
      <c r="V243" s="182">
        <v>0</v>
      </c>
      <c r="W243" s="182">
        <v>0</v>
      </c>
      <c r="X243" s="182">
        <v>0</v>
      </c>
      <c r="Y243" s="182">
        <v>0</v>
      </c>
      <c r="Z243" s="182">
        <v>0</v>
      </c>
      <c r="AA243" s="182">
        <v>0</v>
      </c>
      <c r="AB243" s="182">
        <v>0</v>
      </c>
      <c r="AC243" s="182">
        <v>0</v>
      </c>
      <c r="AD243" s="184">
        <v>0</v>
      </c>
      <c r="AE243" s="183">
        <v>0</v>
      </c>
      <c r="AF243" s="182">
        <v>0</v>
      </c>
      <c r="AG243" s="182">
        <v>0</v>
      </c>
      <c r="AH243" s="182">
        <v>0</v>
      </c>
      <c r="AI243" s="182">
        <v>0</v>
      </c>
      <c r="AJ243" s="182">
        <v>1</v>
      </c>
      <c r="AK243" s="182">
        <v>0</v>
      </c>
      <c r="AL243" s="182">
        <v>0</v>
      </c>
      <c r="AM243" s="182">
        <v>0</v>
      </c>
      <c r="AN243" s="182">
        <v>0</v>
      </c>
      <c r="AO243" s="182">
        <v>0</v>
      </c>
      <c r="AP243" s="182">
        <v>0</v>
      </c>
      <c r="AQ243" s="118"/>
      <c r="AR243" s="96">
        <f t="shared" si="32"/>
        <v>0</v>
      </c>
      <c r="AS243" s="96">
        <f t="shared" si="33"/>
        <v>1</v>
      </c>
    </row>
    <row r="244" spans="2:45" ht="15.75" customHeight="1">
      <c r="B244" s="168" t="s">
        <v>252</v>
      </c>
      <c r="C244" s="116" t="s">
        <v>347</v>
      </c>
      <c r="D244" s="120">
        <v>1</v>
      </c>
      <c r="E244" s="116" t="s">
        <v>348</v>
      </c>
      <c r="F244" s="119" t="s">
        <v>349</v>
      </c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80">
        <v>3</v>
      </c>
      <c r="T244" s="179">
        <v>1</v>
      </c>
      <c r="U244" s="179">
        <v>3</v>
      </c>
      <c r="V244" s="179">
        <v>5</v>
      </c>
      <c r="W244" s="179">
        <v>3</v>
      </c>
      <c r="X244" s="179">
        <v>2</v>
      </c>
      <c r="Y244" s="179">
        <v>3</v>
      </c>
      <c r="Z244" s="179">
        <v>1</v>
      </c>
      <c r="AA244" s="179">
        <v>1</v>
      </c>
      <c r="AB244" s="179">
        <v>2</v>
      </c>
      <c r="AC244" s="179">
        <v>4</v>
      </c>
      <c r="AD244" s="181">
        <v>1</v>
      </c>
      <c r="AE244" s="180">
        <v>3</v>
      </c>
      <c r="AF244" s="179">
        <v>0</v>
      </c>
      <c r="AG244" s="179">
        <v>3</v>
      </c>
      <c r="AH244" s="179">
        <v>3</v>
      </c>
      <c r="AI244" s="179">
        <v>4</v>
      </c>
      <c r="AJ244" s="179">
        <v>1</v>
      </c>
      <c r="AK244" s="179">
        <v>1</v>
      </c>
      <c r="AL244" s="179">
        <v>0</v>
      </c>
      <c r="AM244" s="179">
        <v>1</v>
      </c>
      <c r="AN244" s="179">
        <v>6</v>
      </c>
      <c r="AO244" s="179">
        <v>5</v>
      </c>
      <c r="AP244" s="179">
        <v>3</v>
      </c>
      <c r="AQ244" s="118"/>
      <c r="AR244" s="96">
        <f t="shared" si="32"/>
        <v>29</v>
      </c>
      <c r="AS244" s="96">
        <f t="shared" si="33"/>
        <v>30</v>
      </c>
    </row>
    <row r="245" spans="2:45" ht="15.75" customHeight="1">
      <c r="B245" s="168" t="s">
        <v>252</v>
      </c>
      <c r="C245" s="116" t="s">
        <v>350</v>
      </c>
      <c r="D245" s="120">
        <v>2</v>
      </c>
      <c r="E245" s="116" t="s">
        <v>348</v>
      </c>
      <c r="F245" s="119" t="s">
        <v>349</v>
      </c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80">
        <v>0</v>
      </c>
      <c r="T245" s="179">
        <v>1</v>
      </c>
      <c r="U245" s="179">
        <v>4</v>
      </c>
      <c r="V245" s="179">
        <v>1</v>
      </c>
      <c r="W245" s="179">
        <v>3</v>
      </c>
      <c r="X245" s="179">
        <v>3</v>
      </c>
      <c r="Y245" s="179">
        <v>4</v>
      </c>
      <c r="Z245" s="179">
        <v>1</v>
      </c>
      <c r="AA245" s="179">
        <v>5</v>
      </c>
      <c r="AB245" s="179">
        <v>5</v>
      </c>
      <c r="AC245" s="179">
        <v>3</v>
      </c>
      <c r="AD245" s="181">
        <v>1</v>
      </c>
      <c r="AE245" s="180">
        <v>0</v>
      </c>
      <c r="AF245" s="179">
        <v>0</v>
      </c>
      <c r="AG245" s="179">
        <v>1</v>
      </c>
      <c r="AH245" s="179">
        <v>2</v>
      </c>
      <c r="AI245" s="179">
        <v>3</v>
      </c>
      <c r="AJ245" s="179">
        <v>2</v>
      </c>
      <c r="AK245" s="179">
        <v>1</v>
      </c>
      <c r="AL245" s="179">
        <v>4</v>
      </c>
      <c r="AM245" s="179">
        <v>2</v>
      </c>
      <c r="AN245" s="179">
        <v>6</v>
      </c>
      <c r="AO245" s="179">
        <v>3</v>
      </c>
      <c r="AP245" s="179">
        <v>0</v>
      </c>
      <c r="AQ245" s="118"/>
      <c r="AR245" s="96">
        <f t="shared" si="32"/>
        <v>31</v>
      </c>
      <c r="AS245" s="96">
        <f t="shared" si="33"/>
        <v>24</v>
      </c>
    </row>
    <row r="246" spans="2:45" ht="15.75" customHeight="1">
      <c r="B246" s="168" t="s">
        <v>252</v>
      </c>
      <c r="C246" s="116" t="s">
        <v>351</v>
      </c>
      <c r="D246" s="120">
        <v>2</v>
      </c>
      <c r="E246" s="116" t="s">
        <v>348</v>
      </c>
      <c r="F246" s="119" t="s">
        <v>349</v>
      </c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80">
        <v>1</v>
      </c>
      <c r="T246" s="179">
        <v>4</v>
      </c>
      <c r="U246" s="179">
        <v>4</v>
      </c>
      <c r="V246" s="179">
        <v>5</v>
      </c>
      <c r="W246" s="179">
        <v>4</v>
      </c>
      <c r="X246" s="179">
        <v>11</v>
      </c>
      <c r="Y246" s="179">
        <v>5</v>
      </c>
      <c r="Z246" s="179">
        <v>2</v>
      </c>
      <c r="AA246" s="179">
        <v>2</v>
      </c>
      <c r="AB246" s="179">
        <v>8</v>
      </c>
      <c r="AC246" s="179">
        <v>3</v>
      </c>
      <c r="AD246" s="181">
        <v>3</v>
      </c>
      <c r="AE246" s="180">
        <v>3</v>
      </c>
      <c r="AF246" s="179">
        <v>1</v>
      </c>
      <c r="AG246" s="179">
        <v>3</v>
      </c>
      <c r="AH246" s="179">
        <v>3</v>
      </c>
      <c r="AI246" s="179">
        <v>8</v>
      </c>
      <c r="AJ246" s="179">
        <v>5</v>
      </c>
      <c r="AK246" s="179">
        <v>1</v>
      </c>
      <c r="AL246" s="179">
        <v>3</v>
      </c>
      <c r="AM246" s="179">
        <v>1</v>
      </c>
      <c r="AN246" s="179">
        <v>7</v>
      </c>
      <c r="AO246" s="179">
        <v>2</v>
      </c>
      <c r="AP246" s="179">
        <v>4</v>
      </c>
      <c r="AQ246" s="118"/>
      <c r="AR246" s="96">
        <f t="shared" si="32"/>
        <v>52</v>
      </c>
      <c r="AS246" s="96">
        <f t="shared" si="33"/>
        <v>41</v>
      </c>
    </row>
    <row r="247" spans="2:45" ht="15.75" customHeight="1">
      <c r="B247" s="168" t="s">
        <v>252</v>
      </c>
      <c r="C247" s="116" t="s">
        <v>352</v>
      </c>
      <c r="D247" s="120">
        <v>1</v>
      </c>
      <c r="E247" s="116" t="s">
        <v>348</v>
      </c>
      <c r="F247" s="119" t="s">
        <v>349</v>
      </c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80">
        <v>3</v>
      </c>
      <c r="T247" s="179">
        <v>3</v>
      </c>
      <c r="U247" s="179">
        <v>8</v>
      </c>
      <c r="V247" s="179">
        <v>4</v>
      </c>
      <c r="W247" s="179">
        <v>7</v>
      </c>
      <c r="X247" s="179">
        <v>7</v>
      </c>
      <c r="Y247" s="179">
        <v>5</v>
      </c>
      <c r="Z247" s="179">
        <v>5</v>
      </c>
      <c r="AA247" s="179">
        <v>2</v>
      </c>
      <c r="AB247" s="179">
        <v>8</v>
      </c>
      <c r="AC247" s="179">
        <v>9</v>
      </c>
      <c r="AD247" s="181">
        <v>7</v>
      </c>
      <c r="AE247" s="180">
        <v>5</v>
      </c>
      <c r="AF247" s="179">
        <v>5</v>
      </c>
      <c r="AG247" s="179">
        <v>9</v>
      </c>
      <c r="AH247" s="179">
        <v>5</v>
      </c>
      <c r="AI247" s="179">
        <v>8</v>
      </c>
      <c r="AJ247" s="179">
        <v>7</v>
      </c>
      <c r="AK247" s="179">
        <v>4</v>
      </c>
      <c r="AL247" s="179">
        <v>6</v>
      </c>
      <c r="AM247" s="179">
        <v>4</v>
      </c>
      <c r="AN247" s="179">
        <v>11</v>
      </c>
      <c r="AO247" s="179">
        <v>8</v>
      </c>
      <c r="AP247" s="179">
        <v>3</v>
      </c>
      <c r="AQ247" s="118"/>
      <c r="AR247" s="96">
        <f t="shared" si="32"/>
        <v>68</v>
      </c>
      <c r="AS247" s="96">
        <f t="shared" si="33"/>
        <v>75</v>
      </c>
    </row>
    <row r="248" spans="2:45" ht="15.75" customHeight="1">
      <c r="B248" s="168" t="s">
        <v>252</v>
      </c>
      <c r="C248" s="116" t="s">
        <v>353</v>
      </c>
      <c r="D248" s="120">
        <v>1</v>
      </c>
      <c r="E248" s="116" t="s">
        <v>348</v>
      </c>
      <c r="F248" s="119" t="s">
        <v>349</v>
      </c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80">
        <v>2</v>
      </c>
      <c r="T248" s="179">
        <v>2</v>
      </c>
      <c r="U248" s="179">
        <v>2</v>
      </c>
      <c r="V248" s="179">
        <v>3</v>
      </c>
      <c r="W248" s="179">
        <v>2</v>
      </c>
      <c r="X248" s="179">
        <v>2</v>
      </c>
      <c r="Y248" s="179">
        <v>1</v>
      </c>
      <c r="Z248" s="179">
        <v>0</v>
      </c>
      <c r="AA248" s="179">
        <v>0</v>
      </c>
      <c r="AB248" s="179">
        <v>3</v>
      </c>
      <c r="AC248" s="179">
        <v>2</v>
      </c>
      <c r="AD248" s="181">
        <v>0</v>
      </c>
      <c r="AE248" s="180">
        <v>0</v>
      </c>
      <c r="AF248" s="179">
        <v>2</v>
      </c>
      <c r="AG248" s="179">
        <v>1</v>
      </c>
      <c r="AH248" s="179">
        <v>0</v>
      </c>
      <c r="AI248" s="179">
        <v>3</v>
      </c>
      <c r="AJ248" s="179">
        <v>3</v>
      </c>
      <c r="AK248" s="179">
        <v>0</v>
      </c>
      <c r="AL248" s="179">
        <v>0</v>
      </c>
      <c r="AM248" s="179">
        <v>0</v>
      </c>
      <c r="AN248" s="179">
        <v>3</v>
      </c>
      <c r="AO248" s="179">
        <v>2</v>
      </c>
      <c r="AP248" s="179">
        <v>2</v>
      </c>
      <c r="AQ248" s="118"/>
      <c r="AR248" s="96">
        <f t="shared" si="32"/>
        <v>19</v>
      </c>
      <c r="AS248" s="96">
        <f t="shared" si="33"/>
        <v>16</v>
      </c>
    </row>
    <row r="249" spans="2:45" ht="15.75" customHeight="1">
      <c r="B249" s="168" t="s">
        <v>252</v>
      </c>
      <c r="C249" s="116" t="s">
        <v>354</v>
      </c>
      <c r="D249" s="120">
        <v>1</v>
      </c>
      <c r="E249" s="116" t="s">
        <v>348</v>
      </c>
      <c r="F249" s="119" t="s">
        <v>355</v>
      </c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80">
        <v>5</v>
      </c>
      <c r="T249" s="179">
        <v>6</v>
      </c>
      <c r="U249" s="179">
        <v>9</v>
      </c>
      <c r="V249" s="179">
        <v>6</v>
      </c>
      <c r="W249" s="179">
        <v>4</v>
      </c>
      <c r="X249" s="179">
        <v>9</v>
      </c>
      <c r="Y249" s="179">
        <v>12</v>
      </c>
      <c r="Z249" s="179">
        <v>6</v>
      </c>
      <c r="AA249" s="179">
        <v>8</v>
      </c>
      <c r="AB249" s="179">
        <v>8</v>
      </c>
      <c r="AC249" s="179">
        <v>10</v>
      </c>
      <c r="AD249" s="181">
        <v>1</v>
      </c>
      <c r="AE249" s="180">
        <v>5</v>
      </c>
      <c r="AF249" s="179">
        <v>6</v>
      </c>
      <c r="AG249" s="179">
        <v>5</v>
      </c>
      <c r="AH249" s="179">
        <v>6</v>
      </c>
      <c r="AI249" s="179">
        <v>9</v>
      </c>
      <c r="AJ249" s="179">
        <v>6</v>
      </c>
      <c r="AK249" s="179">
        <v>5</v>
      </c>
      <c r="AL249" s="179">
        <v>5</v>
      </c>
      <c r="AM249" s="179">
        <v>6</v>
      </c>
      <c r="AN249" s="179">
        <v>8</v>
      </c>
      <c r="AO249" s="179">
        <v>7</v>
      </c>
      <c r="AP249" s="179">
        <v>6</v>
      </c>
      <c r="AQ249" s="118"/>
      <c r="AR249" s="96">
        <f t="shared" si="32"/>
        <v>84</v>
      </c>
      <c r="AS249" s="96">
        <f t="shared" si="33"/>
        <v>74</v>
      </c>
    </row>
    <row r="250" spans="2:45" ht="15.75" customHeight="1">
      <c r="B250" s="168" t="s">
        <v>252</v>
      </c>
      <c r="C250" s="116" t="s">
        <v>356</v>
      </c>
      <c r="D250" s="120">
        <v>1</v>
      </c>
      <c r="E250" s="116" t="s">
        <v>348</v>
      </c>
      <c r="F250" s="119" t="s">
        <v>355</v>
      </c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80">
        <v>1</v>
      </c>
      <c r="T250" s="179">
        <v>0</v>
      </c>
      <c r="U250" s="179">
        <v>0</v>
      </c>
      <c r="V250" s="179">
        <v>1</v>
      </c>
      <c r="W250" s="179">
        <v>1</v>
      </c>
      <c r="X250" s="179">
        <v>1</v>
      </c>
      <c r="Y250" s="179">
        <v>1</v>
      </c>
      <c r="Z250" s="179">
        <v>4</v>
      </c>
      <c r="AA250" s="179">
        <v>1</v>
      </c>
      <c r="AB250" s="179">
        <v>5</v>
      </c>
      <c r="AC250" s="179">
        <v>6</v>
      </c>
      <c r="AD250" s="181">
        <v>0</v>
      </c>
      <c r="AE250" s="180">
        <v>1</v>
      </c>
      <c r="AF250" s="179">
        <v>2</v>
      </c>
      <c r="AG250" s="179">
        <v>2</v>
      </c>
      <c r="AH250" s="179">
        <v>3</v>
      </c>
      <c r="AI250" s="179">
        <v>1</v>
      </c>
      <c r="AJ250" s="179">
        <v>2</v>
      </c>
      <c r="AK250" s="179">
        <v>1</v>
      </c>
      <c r="AL250" s="179">
        <v>2</v>
      </c>
      <c r="AM250" s="179">
        <v>2</v>
      </c>
      <c r="AN250" s="179">
        <v>3</v>
      </c>
      <c r="AO250" s="179">
        <v>1</v>
      </c>
      <c r="AP250" s="179">
        <v>0</v>
      </c>
      <c r="AQ250" s="118"/>
      <c r="AR250" s="96">
        <f t="shared" si="32"/>
        <v>21</v>
      </c>
      <c r="AS250" s="96">
        <f t="shared" si="33"/>
        <v>20</v>
      </c>
    </row>
    <row r="251" spans="2:45" ht="15.75" customHeight="1">
      <c r="B251" s="168" t="s">
        <v>252</v>
      </c>
      <c r="C251" s="116" t="s">
        <v>357</v>
      </c>
      <c r="D251" s="120">
        <v>2</v>
      </c>
      <c r="E251" s="116" t="s">
        <v>348</v>
      </c>
      <c r="F251" s="119" t="s">
        <v>355</v>
      </c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80">
        <v>2</v>
      </c>
      <c r="T251" s="179">
        <v>1</v>
      </c>
      <c r="U251" s="179">
        <v>4</v>
      </c>
      <c r="V251" s="179">
        <v>5</v>
      </c>
      <c r="W251" s="179">
        <v>4</v>
      </c>
      <c r="X251" s="179">
        <v>6</v>
      </c>
      <c r="Y251" s="179">
        <v>3</v>
      </c>
      <c r="Z251" s="179">
        <v>3</v>
      </c>
      <c r="AA251" s="179">
        <v>3</v>
      </c>
      <c r="AB251" s="179">
        <v>8</v>
      </c>
      <c r="AC251" s="179">
        <v>13</v>
      </c>
      <c r="AD251" s="181">
        <v>4</v>
      </c>
      <c r="AE251" s="180">
        <v>4</v>
      </c>
      <c r="AF251" s="179">
        <v>1</v>
      </c>
      <c r="AG251" s="179">
        <v>3</v>
      </c>
      <c r="AH251" s="179">
        <v>2</v>
      </c>
      <c r="AI251" s="179">
        <v>3</v>
      </c>
      <c r="AJ251" s="179">
        <v>6</v>
      </c>
      <c r="AK251" s="179">
        <v>1</v>
      </c>
      <c r="AL251" s="179">
        <v>3</v>
      </c>
      <c r="AM251" s="179">
        <v>7</v>
      </c>
      <c r="AN251" s="179">
        <v>9</v>
      </c>
      <c r="AO251" s="179">
        <v>12</v>
      </c>
      <c r="AP251" s="179">
        <v>4</v>
      </c>
      <c r="AQ251" s="118"/>
      <c r="AR251" s="96">
        <f t="shared" si="32"/>
        <v>56</v>
      </c>
      <c r="AS251" s="96">
        <f t="shared" si="33"/>
        <v>55</v>
      </c>
    </row>
    <row r="252" spans="2:45" ht="15.75" customHeight="1">
      <c r="B252" s="168" t="s">
        <v>252</v>
      </c>
      <c r="C252" s="116" t="s">
        <v>358</v>
      </c>
      <c r="D252" s="120">
        <v>1</v>
      </c>
      <c r="E252" s="116" t="s">
        <v>348</v>
      </c>
      <c r="F252" s="119" t="s">
        <v>355</v>
      </c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80">
        <v>2</v>
      </c>
      <c r="T252" s="179">
        <v>1</v>
      </c>
      <c r="U252" s="179">
        <v>3</v>
      </c>
      <c r="V252" s="179">
        <v>7</v>
      </c>
      <c r="W252" s="179">
        <v>2</v>
      </c>
      <c r="X252" s="179">
        <v>4</v>
      </c>
      <c r="Y252" s="179">
        <v>3</v>
      </c>
      <c r="Z252" s="179">
        <v>4</v>
      </c>
      <c r="AA252" s="179">
        <v>4</v>
      </c>
      <c r="AB252" s="179">
        <v>4</v>
      </c>
      <c r="AC252" s="179">
        <v>9</v>
      </c>
      <c r="AD252" s="181">
        <v>3</v>
      </c>
      <c r="AE252" s="180">
        <v>0</v>
      </c>
      <c r="AF252" s="179">
        <v>3</v>
      </c>
      <c r="AG252" s="179">
        <v>3</v>
      </c>
      <c r="AH252" s="179">
        <v>3</v>
      </c>
      <c r="AI252" s="179">
        <v>7</v>
      </c>
      <c r="AJ252" s="179">
        <v>6</v>
      </c>
      <c r="AK252" s="179">
        <v>3</v>
      </c>
      <c r="AL252" s="179">
        <v>4</v>
      </c>
      <c r="AM252" s="179">
        <v>5</v>
      </c>
      <c r="AN252" s="179">
        <v>4</v>
      </c>
      <c r="AO252" s="179">
        <v>12</v>
      </c>
      <c r="AP252" s="179">
        <v>3</v>
      </c>
      <c r="AQ252" s="118"/>
      <c r="AR252" s="96">
        <f t="shared" si="32"/>
        <v>46</v>
      </c>
      <c r="AS252" s="96">
        <f t="shared" si="33"/>
        <v>53</v>
      </c>
    </row>
    <row r="253" spans="2:45" ht="15.75" customHeight="1">
      <c r="B253" s="168" t="s">
        <v>252</v>
      </c>
      <c r="C253" s="116" t="s">
        <v>359</v>
      </c>
      <c r="D253" s="120">
        <v>1</v>
      </c>
      <c r="E253" s="116" t="s">
        <v>348</v>
      </c>
      <c r="F253" s="119" t="s">
        <v>355</v>
      </c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80">
        <v>4</v>
      </c>
      <c r="T253" s="179">
        <v>6</v>
      </c>
      <c r="U253" s="179">
        <v>13</v>
      </c>
      <c r="V253" s="179">
        <v>14</v>
      </c>
      <c r="W253" s="179">
        <v>15</v>
      </c>
      <c r="X253" s="179">
        <v>15</v>
      </c>
      <c r="Y253" s="179">
        <v>11</v>
      </c>
      <c r="Z253" s="179">
        <v>10</v>
      </c>
      <c r="AA253" s="179">
        <v>12</v>
      </c>
      <c r="AB253" s="179">
        <v>13</v>
      </c>
      <c r="AC253" s="179">
        <v>15</v>
      </c>
      <c r="AD253" s="181">
        <v>9</v>
      </c>
      <c r="AE253" s="180">
        <v>3</v>
      </c>
      <c r="AF253" s="179">
        <v>7</v>
      </c>
      <c r="AG253" s="179">
        <v>11</v>
      </c>
      <c r="AH253" s="179">
        <v>14</v>
      </c>
      <c r="AI253" s="179">
        <v>13</v>
      </c>
      <c r="AJ253" s="179">
        <v>8</v>
      </c>
      <c r="AK253" s="179">
        <v>7</v>
      </c>
      <c r="AL253" s="179">
        <v>7</v>
      </c>
      <c r="AM253" s="179">
        <v>12</v>
      </c>
      <c r="AN253" s="179">
        <v>14</v>
      </c>
      <c r="AO253" s="179">
        <v>16</v>
      </c>
      <c r="AP253" s="179">
        <v>4</v>
      </c>
      <c r="AQ253" s="118"/>
      <c r="AR253" s="96">
        <f t="shared" si="32"/>
        <v>137</v>
      </c>
      <c r="AS253" s="96">
        <f t="shared" si="33"/>
        <v>116</v>
      </c>
    </row>
    <row r="254" spans="2:45" ht="15.75" customHeight="1">
      <c r="B254" s="168" t="s">
        <v>252</v>
      </c>
      <c r="C254" s="116" t="s">
        <v>360</v>
      </c>
      <c r="D254" s="120">
        <v>2</v>
      </c>
      <c r="E254" s="116" t="s">
        <v>348</v>
      </c>
      <c r="F254" s="119" t="s">
        <v>355</v>
      </c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80">
        <v>0</v>
      </c>
      <c r="T254" s="179">
        <v>0</v>
      </c>
      <c r="U254" s="179">
        <v>0</v>
      </c>
      <c r="V254" s="179">
        <v>0</v>
      </c>
      <c r="W254" s="179">
        <v>0</v>
      </c>
      <c r="X254" s="179">
        <v>0</v>
      </c>
      <c r="Y254" s="179">
        <v>0</v>
      </c>
      <c r="Z254" s="179">
        <v>0</v>
      </c>
      <c r="AA254" s="179">
        <v>0</v>
      </c>
      <c r="AB254" s="179">
        <v>0</v>
      </c>
      <c r="AC254" s="179">
        <v>0</v>
      </c>
      <c r="AD254" s="181">
        <v>0</v>
      </c>
      <c r="AE254" s="180">
        <v>0</v>
      </c>
      <c r="AF254" s="179">
        <v>0</v>
      </c>
      <c r="AG254" s="179">
        <v>3</v>
      </c>
      <c r="AH254" s="179">
        <v>3</v>
      </c>
      <c r="AI254" s="179">
        <v>4</v>
      </c>
      <c r="AJ254" s="179">
        <v>0</v>
      </c>
      <c r="AK254" s="179">
        <v>0</v>
      </c>
      <c r="AL254" s="179">
        <v>2</v>
      </c>
      <c r="AM254" s="179">
        <v>2</v>
      </c>
      <c r="AN254" s="179">
        <v>4</v>
      </c>
      <c r="AO254" s="179">
        <v>3</v>
      </c>
      <c r="AP254" s="179">
        <v>1</v>
      </c>
      <c r="AQ254" s="118"/>
      <c r="AR254" s="96">
        <f t="shared" si="32"/>
        <v>0</v>
      </c>
      <c r="AS254" s="96">
        <f t="shared" si="33"/>
        <v>22</v>
      </c>
    </row>
    <row r="255" spans="2:45" ht="15.75" customHeight="1">
      <c r="B255" s="168" t="s">
        <v>252</v>
      </c>
      <c r="C255" s="116" t="s">
        <v>361</v>
      </c>
      <c r="D255" s="120">
        <v>1</v>
      </c>
      <c r="E255" s="116" t="s">
        <v>348</v>
      </c>
      <c r="F255" s="119" t="s">
        <v>355</v>
      </c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80">
        <v>0</v>
      </c>
      <c r="T255" s="179">
        <v>0</v>
      </c>
      <c r="U255" s="179">
        <v>1</v>
      </c>
      <c r="V255" s="179">
        <v>1</v>
      </c>
      <c r="W255" s="179">
        <v>6</v>
      </c>
      <c r="X255" s="179">
        <v>4</v>
      </c>
      <c r="Y255" s="179">
        <v>0</v>
      </c>
      <c r="Z255" s="179">
        <v>1</v>
      </c>
      <c r="AA255" s="179">
        <v>3</v>
      </c>
      <c r="AB255" s="179">
        <v>4</v>
      </c>
      <c r="AC255" s="179">
        <v>5</v>
      </c>
      <c r="AD255" s="181">
        <v>6</v>
      </c>
      <c r="AE255" s="180">
        <v>0</v>
      </c>
      <c r="AF255" s="179">
        <v>0</v>
      </c>
      <c r="AG255" s="179">
        <v>3</v>
      </c>
      <c r="AH255" s="179">
        <v>4</v>
      </c>
      <c r="AI255" s="179">
        <v>5</v>
      </c>
      <c r="AJ255" s="179">
        <v>1</v>
      </c>
      <c r="AK255" s="179">
        <v>4</v>
      </c>
      <c r="AL255" s="179">
        <v>0</v>
      </c>
      <c r="AM255" s="179">
        <v>3</v>
      </c>
      <c r="AN255" s="179">
        <v>3</v>
      </c>
      <c r="AO255" s="179">
        <v>2</v>
      </c>
      <c r="AP255" s="179">
        <v>0</v>
      </c>
      <c r="AQ255" s="118"/>
      <c r="AR255" s="96">
        <f t="shared" si="32"/>
        <v>31</v>
      </c>
      <c r="AS255" s="96">
        <f t="shared" si="33"/>
        <v>25</v>
      </c>
    </row>
    <row r="256" spans="2:45" ht="15.75" customHeight="1">
      <c r="B256" s="168" t="s">
        <v>252</v>
      </c>
      <c r="C256" s="116" t="s">
        <v>362</v>
      </c>
      <c r="D256" s="120">
        <v>1</v>
      </c>
      <c r="E256" s="116" t="s">
        <v>348</v>
      </c>
      <c r="F256" s="119" t="s">
        <v>363</v>
      </c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80">
        <v>2</v>
      </c>
      <c r="T256" s="179">
        <v>3</v>
      </c>
      <c r="U256" s="179">
        <v>5</v>
      </c>
      <c r="V256" s="179">
        <v>7</v>
      </c>
      <c r="W256" s="179">
        <v>6</v>
      </c>
      <c r="X256" s="179">
        <v>3</v>
      </c>
      <c r="Y256" s="179">
        <v>2</v>
      </c>
      <c r="Z256" s="179">
        <v>5</v>
      </c>
      <c r="AA256" s="179">
        <v>3</v>
      </c>
      <c r="AB256" s="179">
        <v>7</v>
      </c>
      <c r="AC256" s="179">
        <v>6</v>
      </c>
      <c r="AD256" s="181">
        <v>3</v>
      </c>
      <c r="AE256" s="180">
        <v>4</v>
      </c>
      <c r="AF256" s="179">
        <v>0</v>
      </c>
      <c r="AG256" s="179">
        <v>5</v>
      </c>
      <c r="AH256" s="179">
        <v>3</v>
      </c>
      <c r="AI256" s="179">
        <v>2</v>
      </c>
      <c r="AJ256" s="179">
        <v>3</v>
      </c>
      <c r="AK256" s="179">
        <v>2</v>
      </c>
      <c r="AL256" s="179">
        <v>3</v>
      </c>
      <c r="AM256" s="179">
        <v>3</v>
      </c>
      <c r="AN256" s="179">
        <v>8</v>
      </c>
      <c r="AO256" s="179">
        <v>5</v>
      </c>
      <c r="AP256" s="179">
        <v>2</v>
      </c>
      <c r="AQ256" s="118"/>
      <c r="AR256" s="96">
        <f t="shared" si="32"/>
        <v>52</v>
      </c>
      <c r="AS256" s="96">
        <f t="shared" si="33"/>
        <v>40</v>
      </c>
    </row>
    <row r="257" spans="2:45" ht="15.75" customHeight="1">
      <c r="B257" s="168" t="s">
        <v>252</v>
      </c>
      <c r="C257" s="116" t="s">
        <v>364</v>
      </c>
      <c r="D257" s="120">
        <v>1</v>
      </c>
      <c r="E257" s="116" t="s">
        <v>348</v>
      </c>
      <c r="F257" s="119" t="s">
        <v>363</v>
      </c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80">
        <v>2</v>
      </c>
      <c r="T257" s="179">
        <v>3</v>
      </c>
      <c r="U257" s="179">
        <v>2</v>
      </c>
      <c r="V257" s="179">
        <v>5</v>
      </c>
      <c r="W257" s="179">
        <v>5</v>
      </c>
      <c r="X257" s="179">
        <v>2</v>
      </c>
      <c r="Y257" s="179">
        <v>2</v>
      </c>
      <c r="Z257" s="179">
        <v>1</v>
      </c>
      <c r="AA257" s="179">
        <v>4</v>
      </c>
      <c r="AB257" s="179">
        <v>3</v>
      </c>
      <c r="AC257" s="179">
        <v>5</v>
      </c>
      <c r="AD257" s="181">
        <v>3</v>
      </c>
      <c r="AE257" s="180">
        <v>3</v>
      </c>
      <c r="AF257" s="179">
        <v>0</v>
      </c>
      <c r="AG257" s="179">
        <v>1</v>
      </c>
      <c r="AH257" s="179">
        <v>2</v>
      </c>
      <c r="AI257" s="179">
        <v>1</v>
      </c>
      <c r="AJ257" s="179">
        <v>3</v>
      </c>
      <c r="AK257" s="179">
        <v>0</v>
      </c>
      <c r="AL257" s="179">
        <v>3</v>
      </c>
      <c r="AM257" s="179">
        <v>2</v>
      </c>
      <c r="AN257" s="179">
        <v>4</v>
      </c>
      <c r="AO257" s="179">
        <v>2</v>
      </c>
      <c r="AP257" s="179">
        <v>2</v>
      </c>
      <c r="AQ257" s="118"/>
      <c r="AR257" s="96">
        <f t="shared" si="32"/>
        <v>37</v>
      </c>
      <c r="AS257" s="96">
        <f t="shared" si="33"/>
        <v>23</v>
      </c>
    </row>
    <row r="258" spans="2:45" ht="15.75" customHeight="1">
      <c r="B258" s="168" t="s">
        <v>252</v>
      </c>
      <c r="C258" s="116" t="s">
        <v>365</v>
      </c>
      <c r="D258" s="120">
        <v>1</v>
      </c>
      <c r="E258" s="116" t="s">
        <v>348</v>
      </c>
      <c r="F258" s="119" t="s">
        <v>363</v>
      </c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80">
        <v>4</v>
      </c>
      <c r="T258" s="179">
        <v>3</v>
      </c>
      <c r="U258" s="179">
        <v>3</v>
      </c>
      <c r="V258" s="179">
        <v>7</v>
      </c>
      <c r="W258" s="179">
        <v>10</v>
      </c>
      <c r="X258" s="179">
        <v>7</v>
      </c>
      <c r="Y258" s="179">
        <v>3</v>
      </c>
      <c r="Z258" s="179">
        <v>6</v>
      </c>
      <c r="AA258" s="179">
        <v>4</v>
      </c>
      <c r="AB258" s="179">
        <v>9</v>
      </c>
      <c r="AC258" s="179">
        <v>11</v>
      </c>
      <c r="AD258" s="181">
        <v>8</v>
      </c>
      <c r="AE258" s="180">
        <v>4</v>
      </c>
      <c r="AF258" s="179">
        <v>6</v>
      </c>
      <c r="AG258" s="179">
        <v>10</v>
      </c>
      <c r="AH258" s="179">
        <v>5</v>
      </c>
      <c r="AI258" s="179">
        <v>8</v>
      </c>
      <c r="AJ258" s="179">
        <v>11</v>
      </c>
      <c r="AK258" s="179">
        <v>6</v>
      </c>
      <c r="AL258" s="179">
        <v>5</v>
      </c>
      <c r="AM258" s="179">
        <v>3</v>
      </c>
      <c r="AN258" s="179">
        <v>8</v>
      </c>
      <c r="AO258" s="179">
        <v>7</v>
      </c>
      <c r="AP258" s="179">
        <v>3</v>
      </c>
      <c r="AQ258" s="118"/>
      <c r="AR258" s="96">
        <f t="shared" si="32"/>
        <v>75</v>
      </c>
      <c r="AS258" s="96">
        <f t="shared" si="33"/>
        <v>76</v>
      </c>
    </row>
    <row r="259" spans="2:45" ht="15.75" customHeight="1">
      <c r="B259" s="168" t="s">
        <v>252</v>
      </c>
      <c r="C259" s="116" t="s">
        <v>366</v>
      </c>
      <c r="D259" s="120">
        <v>1</v>
      </c>
      <c r="E259" s="116" t="s">
        <v>348</v>
      </c>
      <c r="F259" s="119" t="s">
        <v>363</v>
      </c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80">
        <v>0</v>
      </c>
      <c r="T259" s="179">
        <v>2</v>
      </c>
      <c r="U259" s="179">
        <v>3</v>
      </c>
      <c r="V259" s="179">
        <v>2</v>
      </c>
      <c r="W259" s="179">
        <v>3</v>
      </c>
      <c r="X259" s="179">
        <v>3</v>
      </c>
      <c r="Y259" s="179">
        <v>3</v>
      </c>
      <c r="Z259" s="179">
        <v>4</v>
      </c>
      <c r="AA259" s="179">
        <v>2</v>
      </c>
      <c r="AB259" s="179">
        <v>6</v>
      </c>
      <c r="AC259" s="179">
        <v>4</v>
      </c>
      <c r="AD259" s="181">
        <v>2</v>
      </c>
      <c r="AE259" s="180">
        <v>1</v>
      </c>
      <c r="AF259" s="179">
        <v>3</v>
      </c>
      <c r="AG259" s="179">
        <v>2</v>
      </c>
      <c r="AH259" s="179">
        <v>3</v>
      </c>
      <c r="AI259" s="179">
        <v>2</v>
      </c>
      <c r="AJ259" s="179">
        <v>2</v>
      </c>
      <c r="AK259" s="179">
        <v>1</v>
      </c>
      <c r="AL259" s="179">
        <v>1</v>
      </c>
      <c r="AM259" s="179">
        <v>1</v>
      </c>
      <c r="AN259" s="179">
        <v>5</v>
      </c>
      <c r="AO259" s="179">
        <v>3</v>
      </c>
      <c r="AP259" s="179">
        <v>1</v>
      </c>
      <c r="AQ259" s="118"/>
      <c r="AR259" s="96">
        <f t="shared" si="32"/>
        <v>34</v>
      </c>
      <c r="AS259" s="96">
        <f t="shared" si="33"/>
        <v>25</v>
      </c>
    </row>
    <row r="260" spans="2:45" ht="15.75" customHeight="1">
      <c r="B260" s="168" t="s">
        <v>252</v>
      </c>
      <c r="C260" s="116" t="s">
        <v>367</v>
      </c>
      <c r="D260" s="120">
        <v>1</v>
      </c>
      <c r="E260" s="116" t="s">
        <v>348</v>
      </c>
      <c r="F260" s="119" t="s">
        <v>363</v>
      </c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80">
        <v>4</v>
      </c>
      <c r="T260" s="179">
        <v>1</v>
      </c>
      <c r="U260" s="179">
        <v>1</v>
      </c>
      <c r="V260" s="179">
        <v>4</v>
      </c>
      <c r="W260" s="179">
        <v>4</v>
      </c>
      <c r="X260" s="179">
        <v>2</v>
      </c>
      <c r="Y260" s="179">
        <v>2</v>
      </c>
      <c r="Z260" s="179">
        <v>3</v>
      </c>
      <c r="AA260" s="179">
        <v>1</v>
      </c>
      <c r="AB260" s="179">
        <v>3</v>
      </c>
      <c r="AC260" s="179">
        <v>1</v>
      </c>
      <c r="AD260" s="181">
        <v>2</v>
      </c>
      <c r="AE260" s="180">
        <v>3</v>
      </c>
      <c r="AF260" s="179">
        <v>0</v>
      </c>
      <c r="AG260" s="179">
        <v>4</v>
      </c>
      <c r="AH260" s="179">
        <v>2</v>
      </c>
      <c r="AI260" s="179">
        <v>6</v>
      </c>
      <c r="AJ260" s="179">
        <v>1</v>
      </c>
      <c r="AK260" s="179">
        <v>0</v>
      </c>
      <c r="AL260" s="179">
        <v>1</v>
      </c>
      <c r="AM260" s="179">
        <v>1</v>
      </c>
      <c r="AN260" s="179">
        <v>3</v>
      </c>
      <c r="AO260" s="179">
        <v>1</v>
      </c>
      <c r="AP260" s="179">
        <v>0</v>
      </c>
      <c r="AQ260" s="118"/>
      <c r="AR260" s="96">
        <f t="shared" si="32"/>
        <v>28</v>
      </c>
      <c r="AS260" s="96">
        <f t="shared" si="33"/>
        <v>22</v>
      </c>
    </row>
    <row r="261" spans="2:45" ht="15.75" customHeight="1">
      <c r="B261" s="168" t="s">
        <v>252</v>
      </c>
      <c r="C261" s="116" t="s">
        <v>368</v>
      </c>
      <c r="D261" s="120">
        <v>2</v>
      </c>
      <c r="E261" s="116" t="s">
        <v>369</v>
      </c>
      <c r="F261" s="119" t="s">
        <v>369</v>
      </c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80">
        <v>1</v>
      </c>
      <c r="T261" s="179">
        <v>2</v>
      </c>
      <c r="U261" s="179">
        <v>10</v>
      </c>
      <c r="V261" s="179">
        <v>5</v>
      </c>
      <c r="W261" s="179">
        <v>8</v>
      </c>
      <c r="X261" s="179">
        <v>4</v>
      </c>
      <c r="Y261" s="179">
        <v>2</v>
      </c>
      <c r="Z261" s="179">
        <v>1</v>
      </c>
      <c r="AA261" s="179">
        <v>7</v>
      </c>
      <c r="AB261" s="179">
        <v>12</v>
      </c>
      <c r="AC261" s="179">
        <v>17</v>
      </c>
      <c r="AD261" s="181">
        <v>6</v>
      </c>
      <c r="AE261" s="180">
        <v>1</v>
      </c>
      <c r="AF261" s="179">
        <v>1</v>
      </c>
      <c r="AG261" s="179">
        <v>12</v>
      </c>
      <c r="AH261" s="179">
        <v>5</v>
      </c>
      <c r="AI261" s="179">
        <v>9</v>
      </c>
      <c r="AJ261" s="179">
        <v>3</v>
      </c>
      <c r="AK261" s="179">
        <v>3</v>
      </c>
      <c r="AL261" s="179">
        <v>3</v>
      </c>
      <c r="AM261" s="179">
        <v>5</v>
      </c>
      <c r="AN261" s="179">
        <v>11</v>
      </c>
      <c r="AO261" s="179">
        <v>11</v>
      </c>
      <c r="AP261" s="179">
        <v>0</v>
      </c>
      <c r="AQ261" s="118"/>
      <c r="AR261" s="96">
        <f t="shared" si="32"/>
        <v>75</v>
      </c>
      <c r="AS261" s="96">
        <f t="shared" si="33"/>
        <v>64</v>
      </c>
    </row>
    <row r="262" spans="2:45" ht="15.75" customHeight="1">
      <c r="B262" s="168" t="s">
        <v>252</v>
      </c>
      <c r="C262" s="116" t="s">
        <v>451</v>
      </c>
      <c r="D262" s="120">
        <v>1</v>
      </c>
      <c r="E262" s="116" t="s">
        <v>369</v>
      </c>
      <c r="F262" s="119" t="s">
        <v>369</v>
      </c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80">
        <v>1</v>
      </c>
      <c r="T262" s="179">
        <v>2</v>
      </c>
      <c r="U262" s="179">
        <v>4</v>
      </c>
      <c r="V262" s="179">
        <v>5</v>
      </c>
      <c r="W262" s="179">
        <v>6</v>
      </c>
      <c r="X262" s="179">
        <v>5</v>
      </c>
      <c r="Y262" s="179">
        <v>7</v>
      </c>
      <c r="Z262" s="179">
        <v>4</v>
      </c>
      <c r="AA262" s="179">
        <v>6</v>
      </c>
      <c r="AB262" s="179">
        <v>12</v>
      </c>
      <c r="AC262" s="179">
        <v>9</v>
      </c>
      <c r="AD262" s="181">
        <v>6</v>
      </c>
      <c r="AE262" s="180">
        <v>5</v>
      </c>
      <c r="AF262" s="179">
        <v>0</v>
      </c>
      <c r="AG262" s="179">
        <v>10</v>
      </c>
      <c r="AH262" s="179">
        <v>9</v>
      </c>
      <c r="AI262" s="179">
        <v>7</v>
      </c>
      <c r="AJ262" s="179">
        <v>4</v>
      </c>
      <c r="AK262" s="179">
        <v>3</v>
      </c>
      <c r="AL262" s="179">
        <v>4</v>
      </c>
      <c r="AM262" s="179">
        <v>1</v>
      </c>
      <c r="AN262" s="179">
        <v>6</v>
      </c>
      <c r="AO262" s="179">
        <v>8</v>
      </c>
      <c r="AP262" s="179">
        <v>3</v>
      </c>
      <c r="AQ262" s="118"/>
      <c r="AR262" s="96">
        <f t="shared" si="32"/>
        <v>67</v>
      </c>
      <c r="AS262" s="96">
        <f t="shared" si="33"/>
        <v>60</v>
      </c>
    </row>
    <row r="263" spans="2:45" ht="15.75" customHeight="1">
      <c r="B263" s="168" t="s">
        <v>252</v>
      </c>
      <c r="C263" s="116" t="s">
        <v>371</v>
      </c>
      <c r="D263" s="120">
        <v>2</v>
      </c>
      <c r="E263" s="116" t="s">
        <v>369</v>
      </c>
      <c r="F263" s="119" t="s">
        <v>369</v>
      </c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80">
        <v>0</v>
      </c>
      <c r="T263" s="179">
        <v>0</v>
      </c>
      <c r="U263" s="179">
        <v>0</v>
      </c>
      <c r="V263" s="179">
        <v>0</v>
      </c>
      <c r="W263" s="179">
        <v>0</v>
      </c>
      <c r="X263" s="179">
        <v>0</v>
      </c>
      <c r="Y263" s="179">
        <v>0</v>
      </c>
      <c r="Z263" s="179">
        <v>0</v>
      </c>
      <c r="AA263" s="179">
        <v>0</v>
      </c>
      <c r="AB263" s="179">
        <v>0</v>
      </c>
      <c r="AC263" s="179">
        <v>0</v>
      </c>
      <c r="AD263" s="181">
        <v>0</v>
      </c>
      <c r="AE263" s="180">
        <v>0</v>
      </c>
      <c r="AF263" s="179">
        <v>0</v>
      </c>
      <c r="AG263" s="179">
        <v>0</v>
      </c>
      <c r="AH263" s="179">
        <v>0</v>
      </c>
      <c r="AI263" s="179">
        <v>0</v>
      </c>
      <c r="AJ263" s="179">
        <v>0</v>
      </c>
      <c r="AK263" s="179">
        <v>0</v>
      </c>
      <c r="AL263" s="179">
        <v>0</v>
      </c>
      <c r="AM263" s="179">
        <v>0</v>
      </c>
      <c r="AN263" s="179">
        <v>0</v>
      </c>
      <c r="AO263" s="179">
        <v>0</v>
      </c>
      <c r="AP263" s="179">
        <v>0</v>
      </c>
      <c r="AQ263" s="118"/>
      <c r="AR263" s="96">
        <f t="shared" si="32"/>
        <v>0</v>
      </c>
      <c r="AS263" s="96">
        <f t="shared" si="33"/>
        <v>0</v>
      </c>
    </row>
    <row r="264" spans="2:45" ht="15.75" customHeight="1">
      <c r="B264" s="168" t="s">
        <v>252</v>
      </c>
      <c r="C264" s="116" t="s">
        <v>372</v>
      </c>
      <c r="D264" s="120">
        <v>1</v>
      </c>
      <c r="E264" s="116" t="s">
        <v>369</v>
      </c>
      <c r="F264" s="119" t="s">
        <v>369</v>
      </c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80">
        <v>1</v>
      </c>
      <c r="T264" s="179">
        <v>0</v>
      </c>
      <c r="U264" s="179">
        <v>0</v>
      </c>
      <c r="V264" s="179">
        <v>4</v>
      </c>
      <c r="W264" s="179">
        <v>1</v>
      </c>
      <c r="X264" s="179">
        <v>1</v>
      </c>
      <c r="Y264" s="179">
        <v>0</v>
      </c>
      <c r="Z264" s="179">
        <v>1</v>
      </c>
      <c r="AA264" s="179">
        <v>1</v>
      </c>
      <c r="AB264" s="179">
        <v>2</v>
      </c>
      <c r="AC264" s="179">
        <v>7</v>
      </c>
      <c r="AD264" s="181">
        <v>3</v>
      </c>
      <c r="AE264" s="180">
        <v>4</v>
      </c>
      <c r="AF264" s="179">
        <v>1</v>
      </c>
      <c r="AG264" s="179">
        <v>0</v>
      </c>
      <c r="AH264" s="179">
        <v>0</v>
      </c>
      <c r="AI264" s="179">
        <v>5</v>
      </c>
      <c r="AJ264" s="179">
        <v>0</v>
      </c>
      <c r="AK264" s="179">
        <v>1</v>
      </c>
      <c r="AL264" s="179">
        <v>1</v>
      </c>
      <c r="AM264" s="179">
        <v>2</v>
      </c>
      <c r="AN264" s="179">
        <v>3</v>
      </c>
      <c r="AO264" s="179">
        <v>1</v>
      </c>
      <c r="AP264" s="179">
        <v>1</v>
      </c>
      <c r="AQ264" s="118"/>
      <c r="AR264" s="96">
        <f t="shared" si="32"/>
        <v>21</v>
      </c>
      <c r="AS264" s="96">
        <f t="shared" si="33"/>
        <v>19</v>
      </c>
    </row>
    <row r="265" spans="2:45" ht="15.75" customHeight="1">
      <c r="B265" s="168" t="s">
        <v>252</v>
      </c>
      <c r="C265" s="116" t="s">
        <v>373</v>
      </c>
      <c r="D265" s="120">
        <v>1</v>
      </c>
      <c r="E265" s="116" t="s">
        <v>369</v>
      </c>
      <c r="F265" s="119" t="s">
        <v>369</v>
      </c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80">
        <v>1</v>
      </c>
      <c r="T265" s="179">
        <v>0</v>
      </c>
      <c r="U265" s="179">
        <v>2</v>
      </c>
      <c r="V265" s="179">
        <v>4</v>
      </c>
      <c r="W265" s="179">
        <v>5</v>
      </c>
      <c r="X265" s="179">
        <v>7</v>
      </c>
      <c r="Y265" s="179">
        <v>2</v>
      </c>
      <c r="Z265" s="179">
        <v>1</v>
      </c>
      <c r="AA265" s="179">
        <v>5</v>
      </c>
      <c r="AB265" s="179">
        <v>12</v>
      </c>
      <c r="AC265" s="179">
        <v>10</v>
      </c>
      <c r="AD265" s="181">
        <v>6</v>
      </c>
      <c r="AE265" s="180">
        <v>2</v>
      </c>
      <c r="AF265" s="179">
        <v>1</v>
      </c>
      <c r="AG265" s="179">
        <v>8</v>
      </c>
      <c r="AH265" s="179">
        <v>7</v>
      </c>
      <c r="AI265" s="179">
        <v>4</v>
      </c>
      <c r="AJ265" s="179">
        <v>0</v>
      </c>
      <c r="AK265" s="179">
        <v>2</v>
      </c>
      <c r="AL265" s="179">
        <v>0</v>
      </c>
      <c r="AM265" s="179">
        <v>3</v>
      </c>
      <c r="AN265" s="179">
        <v>6</v>
      </c>
      <c r="AO265" s="179">
        <v>6</v>
      </c>
      <c r="AP265" s="179">
        <v>4</v>
      </c>
      <c r="AQ265" s="118"/>
      <c r="AR265" s="96">
        <f t="shared" si="32"/>
        <v>55</v>
      </c>
      <c r="AS265" s="96">
        <f t="shared" si="33"/>
        <v>43</v>
      </c>
    </row>
    <row r="266" spans="2:45" ht="15.75" customHeight="1">
      <c r="B266" s="168" t="s">
        <v>252</v>
      </c>
      <c r="C266" s="116" t="s">
        <v>374</v>
      </c>
      <c r="D266" s="120">
        <v>2</v>
      </c>
      <c r="E266" s="116" t="s">
        <v>369</v>
      </c>
      <c r="F266" s="119" t="s">
        <v>369</v>
      </c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80">
        <v>1</v>
      </c>
      <c r="T266" s="179">
        <v>1</v>
      </c>
      <c r="U266" s="179">
        <v>9</v>
      </c>
      <c r="V266" s="179">
        <v>3</v>
      </c>
      <c r="W266" s="179">
        <v>5</v>
      </c>
      <c r="X266" s="179">
        <v>3</v>
      </c>
      <c r="Y266" s="179">
        <v>0</v>
      </c>
      <c r="Z266" s="179">
        <v>3</v>
      </c>
      <c r="AA266" s="179">
        <v>8</v>
      </c>
      <c r="AB266" s="179">
        <v>10</v>
      </c>
      <c r="AC266" s="179">
        <v>17</v>
      </c>
      <c r="AD266" s="181">
        <v>6</v>
      </c>
      <c r="AE266" s="180">
        <v>0</v>
      </c>
      <c r="AF266" s="179">
        <v>0</v>
      </c>
      <c r="AG266" s="179">
        <v>2</v>
      </c>
      <c r="AH266" s="179">
        <v>2</v>
      </c>
      <c r="AI266" s="179">
        <v>3</v>
      </c>
      <c r="AJ266" s="179">
        <v>5</v>
      </c>
      <c r="AK266" s="179">
        <v>0</v>
      </c>
      <c r="AL266" s="179">
        <v>2</v>
      </c>
      <c r="AM266" s="179">
        <v>4</v>
      </c>
      <c r="AN266" s="179">
        <v>8</v>
      </c>
      <c r="AO266" s="179">
        <v>7</v>
      </c>
      <c r="AP266" s="179">
        <v>5</v>
      </c>
      <c r="AQ266" s="118"/>
      <c r="AR266" s="96">
        <f t="shared" si="32"/>
        <v>66</v>
      </c>
      <c r="AS266" s="96">
        <f t="shared" si="33"/>
        <v>38</v>
      </c>
    </row>
    <row r="267" spans="2:45" ht="15.75" customHeight="1">
      <c r="B267" s="168" t="s">
        <v>252</v>
      </c>
      <c r="C267" s="116" t="s">
        <v>375</v>
      </c>
      <c r="D267" s="120">
        <v>1</v>
      </c>
      <c r="E267" s="116" t="s">
        <v>369</v>
      </c>
      <c r="F267" s="119" t="s">
        <v>369</v>
      </c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80">
        <v>0</v>
      </c>
      <c r="T267" s="179">
        <v>0</v>
      </c>
      <c r="U267" s="179">
        <v>0</v>
      </c>
      <c r="V267" s="179">
        <v>0</v>
      </c>
      <c r="W267" s="179">
        <v>0</v>
      </c>
      <c r="X267" s="179">
        <v>0</v>
      </c>
      <c r="Y267" s="179">
        <v>0</v>
      </c>
      <c r="Z267" s="179">
        <v>0</v>
      </c>
      <c r="AA267" s="179">
        <v>0</v>
      </c>
      <c r="AB267" s="179">
        <v>0</v>
      </c>
      <c r="AC267" s="179">
        <v>3</v>
      </c>
      <c r="AD267" s="181">
        <v>0</v>
      </c>
      <c r="AE267" s="180">
        <v>1</v>
      </c>
      <c r="AF267" s="179">
        <v>1</v>
      </c>
      <c r="AG267" s="179">
        <v>5</v>
      </c>
      <c r="AH267" s="179">
        <v>1</v>
      </c>
      <c r="AI267" s="179">
        <v>4</v>
      </c>
      <c r="AJ267" s="179">
        <v>1</v>
      </c>
      <c r="AK267" s="179">
        <v>0</v>
      </c>
      <c r="AL267" s="179">
        <v>1</v>
      </c>
      <c r="AM267" s="179">
        <v>1</v>
      </c>
      <c r="AN267" s="179">
        <v>1</v>
      </c>
      <c r="AO267" s="179">
        <v>2</v>
      </c>
      <c r="AP267" s="179">
        <v>0</v>
      </c>
      <c r="AQ267" s="118"/>
      <c r="AR267" s="96">
        <f t="shared" si="32"/>
        <v>3</v>
      </c>
      <c r="AS267" s="96">
        <f t="shared" si="33"/>
        <v>18</v>
      </c>
    </row>
    <row r="268" spans="2:45" ht="15.75" customHeight="1">
      <c r="B268" s="168" t="s">
        <v>252</v>
      </c>
      <c r="C268" s="116" t="s">
        <v>376</v>
      </c>
      <c r="D268" s="120">
        <v>1</v>
      </c>
      <c r="E268" s="116" t="s">
        <v>377</v>
      </c>
      <c r="F268" s="119" t="s">
        <v>377</v>
      </c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80">
        <v>5</v>
      </c>
      <c r="T268" s="179">
        <v>5</v>
      </c>
      <c r="U268" s="179">
        <v>4</v>
      </c>
      <c r="V268" s="179">
        <v>3</v>
      </c>
      <c r="W268" s="179">
        <v>6</v>
      </c>
      <c r="X268" s="179">
        <v>1</v>
      </c>
      <c r="Y268" s="179">
        <v>6</v>
      </c>
      <c r="Z268" s="179">
        <v>2</v>
      </c>
      <c r="AA268" s="179">
        <v>3</v>
      </c>
      <c r="AB268" s="179">
        <v>9</v>
      </c>
      <c r="AC268" s="179">
        <v>5</v>
      </c>
      <c r="AD268" s="181">
        <v>3</v>
      </c>
      <c r="AE268" s="180">
        <v>2</v>
      </c>
      <c r="AF268" s="179">
        <v>5</v>
      </c>
      <c r="AG268" s="179">
        <v>5</v>
      </c>
      <c r="AH268" s="179">
        <v>5</v>
      </c>
      <c r="AI268" s="179">
        <v>8</v>
      </c>
      <c r="AJ268" s="179">
        <v>4</v>
      </c>
      <c r="AK268" s="179">
        <v>2</v>
      </c>
      <c r="AL268" s="179">
        <v>5</v>
      </c>
      <c r="AM268" s="179">
        <v>2</v>
      </c>
      <c r="AN268" s="179">
        <v>2</v>
      </c>
      <c r="AO268" s="179">
        <v>6</v>
      </c>
      <c r="AP268" s="179">
        <v>4</v>
      </c>
      <c r="AQ268" s="118"/>
      <c r="AR268" s="96">
        <f t="shared" si="32"/>
        <v>52</v>
      </c>
      <c r="AS268" s="96">
        <f t="shared" si="33"/>
        <v>50</v>
      </c>
    </row>
    <row r="269" spans="2:45" ht="15.75" customHeight="1">
      <c r="B269" s="168" t="s">
        <v>252</v>
      </c>
      <c r="C269" s="116" t="s">
        <v>378</v>
      </c>
      <c r="D269" s="120">
        <v>1</v>
      </c>
      <c r="E269" s="116" t="s">
        <v>377</v>
      </c>
      <c r="F269" s="119" t="s">
        <v>377</v>
      </c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80">
        <v>3</v>
      </c>
      <c r="T269" s="179">
        <v>6</v>
      </c>
      <c r="U269" s="179">
        <v>4</v>
      </c>
      <c r="V269" s="179">
        <v>3</v>
      </c>
      <c r="W269" s="179">
        <v>6</v>
      </c>
      <c r="X269" s="179">
        <v>3</v>
      </c>
      <c r="Y269" s="179">
        <v>5</v>
      </c>
      <c r="Z269" s="179">
        <v>0</v>
      </c>
      <c r="AA269" s="179">
        <v>0</v>
      </c>
      <c r="AB269" s="179">
        <v>4</v>
      </c>
      <c r="AC269" s="179">
        <v>3</v>
      </c>
      <c r="AD269" s="181">
        <v>7</v>
      </c>
      <c r="AE269" s="180">
        <v>1</v>
      </c>
      <c r="AF269" s="179">
        <v>3</v>
      </c>
      <c r="AG269" s="179">
        <v>1</v>
      </c>
      <c r="AH269" s="179">
        <v>3</v>
      </c>
      <c r="AI269" s="179">
        <v>3</v>
      </c>
      <c r="AJ269" s="179">
        <v>5</v>
      </c>
      <c r="AK269" s="179">
        <v>2</v>
      </c>
      <c r="AL269" s="179">
        <v>2</v>
      </c>
      <c r="AM269" s="179">
        <v>2</v>
      </c>
      <c r="AN269" s="179">
        <v>3</v>
      </c>
      <c r="AO269" s="179">
        <v>3</v>
      </c>
      <c r="AP269" s="179">
        <v>1</v>
      </c>
      <c r="AQ269" s="118"/>
      <c r="AR269" s="96">
        <f t="shared" si="32"/>
        <v>44</v>
      </c>
      <c r="AS269" s="96">
        <f t="shared" si="33"/>
        <v>29</v>
      </c>
    </row>
    <row r="270" spans="2:45" ht="15.75" customHeight="1">
      <c r="B270" s="168" t="s">
        <v>252</v>
      </c>
      <c r="C270" s="116" t="s">
        <v>452</v>
      </c>
      <c r="D270" s="120">
        <v>1</v>
      </c>
      <c r="E270" s="116" t="s">
        <v>377</v>
      </c>
      <c r="F270" s="119" t="s">
        <v>377</v>
      </c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80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81"/>
      <c r="AE270" s="180">
        <v>0</v>
      </c>
      <c r="AF270" s="179">
        <v>0</v>
      </c>
      <c r="AG270" s="179">
        <v>0</v>
      </c>
      <c r="AH270" s="179">
        <v>0</v>
      </c>
      <c r="AI270" s="179">
        <v>0</v>
      </c>
      <c r="AJ270" s="179">
        <v>0</v>
      </c>
      <c r="AK270" s="179">
        <v>0</v>
      </c>
      <c r="AL270" s="179">
        <v>0</v>
      </c>
      <c r="AM270" s="179">
        <v>0</v>
      </c>
      <c r="AN270" s="179">
        <v>0</v>
      </c>
      <c r="AO270" s="179">
        <v>0</v>
      </c>
      <c r="AP270" s="179">
        <v>0</v>
      </c>
      <c r="AQ270" s="118"/>
      <c r="AR270" s="96">
        <f t="shared" si="32"/>
        <v>0</v>
      </c>
      <c r="AS270" s="96">
        <f t="shared" si="33"/>
        <v>0</v>
      </c>
    </row>
    <row r="271" spans="2:45" ht="15.75" customHeight="1">
      <c r="B271" s="168" t="s">
        <v>252</v>
      </c>
      <c r="C271" s="116" t="s">
        <v>379</v>
      </c>
      <c r="D271" s="120">
        <v>1</v>
      </c>
      <c r="E271" s="116" t="s">
        <v>377</v>
      </c>
      <c r="F271" s="119" t="s">
        <v>377</v>
      </c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80">
        <v>2</v>
      </c>
      <c r="T271" s="179">
        <v>5</v>
      </c>
      <c r="U271" s="179">
        <v>4</v>
      </c>
      <c r="V271" s="179">
        <v>3</v>
      </c>
      <c r="W271" s="179">
        <v>3</v>
      </c>
      <c r="X271" s="179">
        <v>5</v>
      </c>
      <c r="Y271" s="179">
        <v>2</v>
      </c>
      <c r="Z271" s="179">
        <v>5</v>
      </c>
      <c r="AA271" s="179">
        <v>2</v>
      </c>
      <c r="AB271" s="179">
        <v>3</v>
      </c>
      <c r="AC271" s="179">
        <v>4</v>
      </c>
      <c r="AD271" s="181">
        <v>2</v>
      </c>
      <c r="AE271" s="180">
        <v>2</v>
      </c>
      <c r="AF271" s="179">
        <v>1</v>
      </c>
      <c r="AG271" s="179">
        <v>3</v>
      </c>
      <c r="AH271" s="179">
        <v>1</v>
      </c>
      <c r="AI271" s="179">
        <v>3</v>
      </c>
      <c r="AJ271" s="179">
        <v>1</v>
      </c>
      <c r="AK271" s="179">
        <v>0</v>
      </c>
      <c r="AL271" s="179">
        <v>3</v>
      </c>
      <c r="AM271" s="179">
        <v>0</v>
      </c>
      <c r="AN271" s="179">
        <v>4</v>
      </c>
      <c r="AO271" s="179">
        <v>1</v>
      </c>
      <c r="AP271" s="179">
        <v>2</v>
      </c>
      <c r="AQ271" s="118"/>
      <c r="AR271" s="96">
        <f t="shared" si="32"/>
        <v>40</v>
      </c>
      <c r="AS271" s="96">
        <f t="shared" si="33"/>
        <v>21</v>
      </c>
    </row>
    <row r="272" spans="2:45" ht="15.75" customHeight="1">
      <c r="B272" s="168" t="s">
        <v>252</v>
      </c>
      <c r="C272" s="116" t="s">
        <v>380</v>
      </c>
      <c r="D272" s="120">
        <v>1</v>
      </c>
      <c r="E272" s="116" t="s">
        <v>377</v>
      </c>
      <c r="F272" s="119" t="s">
        <v>377</v>
      </c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80">
        <v>0</v>
      </c>
      <c r="T272" s="179">
        <v>4</v>
      </c>
      <c r="U272" s="179">
        <v>7</v>
      </c>
      <c r="V272" s="179">
        <v>5</v>
      </c>
      <c r="W272" s="179">
        <v>4</v>
      </c>
      <c r="X272" s="179">
        <v>2</v>
      </c>
      <c r="Y272" s="179">
        <v>4</v>
      </c>
      <c r="Z272" s="179">
        <v>4</v>
      </c>
      <c r="AA272" s="179">
        <v>0</v>
      </c>
      <c r="AB272" s="179">
        <v>9</v>
      </c>
      <c r="AC272" s="179">
        <v>5</v>
      </c>
      <c r="AD272" s="181">
        <v>3</v>
      </c>
      <c r="AE272" s="180">
        <v>4</v>
      </c>
      <c r="AF272" s="179">
        <v>3</v>
      </c>
      <c r="AG272" s="179">
        <v>3</v>
      </c>
      <c r="AH272" s="179">
        <v>3</v>
      </c>
      <c r="AI272" s="179">
        <v>4</v>
      </c>
      <c r="AJ272" s="179">
        <v>3</v>
      </c>
      <c r="AK272" s="179">
        <v>2</v>
      </c>
      <c r="AL272" s="179">
        <v>5</v>
      </c>
      <c r="AM272" s="179">
        <v>1</v>
      </c>
      <c r="AN272" s="179">
        <v>6</v>
      </c>
      <c r="AO272" s="179">
        <v>5</v>
      </c>
      <c r="AP272" s="179">
        <v>5</v>
      </c>
      <c r="AQ272" s="118"/>
      <c r="AR272" s="96">
        <f t="shared" si="32"/>
        <v>47</v>
      </c>
      <c r="AS272" s="96">
        <f t="shared" si="33"/>
        <v>44</v>
      </c>
    </row>
    <row r="273" spans="2:45" ht="15.75" customHeight="1">
      <c r="B273" s="168" t="s">
        <v>252</v>
      </c>
      <c r="C273" s="116" t="s">
        <v>381</v>
      </c>
      <c r="D273" s="120">
        <v>2</v>
      </c>
      <c r="E273" s="116" t="s">
        <v>377</v>
      </c>
      <c r="F273" s="119" t="s">
        <v>377</v>
      </c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80">
        <v>0</v>
      </c>
      <c r="T273" s="179">
        <v>0</v>
      </c>
      <c r="U273" s="179">
        <v>0</v>
      </c>
      <c r="V273" s="179">
        <v>0</v>
      </c>
      <c r="W273" s="179">
        <v>0</v>
      </c>
      <c r="X273" s="179">
        <v>1</v>
      </c>
      <c r="Y273" s="179">
        <v>1</v>
      </c>
      <c r="Z273" s="179">
        <v>0</v>
      </c>
      <c r="AA273" s="179">
        <v>1</v>
      </c>
      <c r="AB273" s="179">
        <v>4</v>
      </c>
      <c r="AC273" s="179">
        <v>3</v>
      </c>
      <c r="AD273" s="181">
        <v>3</v>
      </c>
      <c r="AE273" s="180">
        <v>1</v>
      </c>
      <c r="AF273" s="179">
        <v>3</v>
      </c>
      <c r="AG273" s="179">
        <v>3</v>
      </c>
      <c r="AH273" s="179">
        <v>5</v>
      </c>
      <c r="AI273" s="179">
        <v>3</v>
      </c>
      <c r="AJ273" s="179">
        <v>2</v>
      </c>
      <c r="AK273" s="179">
        <v>3</v>
      </c>
      <c r="AL273" s="179">
        <v>4</v>
      </c>
      <c r="AM273" s="179">
        <v>4</v>
      </c>
      <c r="AN273" s="179">
        <v>6</v>
      </c>
      <c r="AO273" s="179">
        <v>4</v>
      </c>
      <c r="AP273" s="179">
        <v>4</v>
      </c>
      <c r="AQ273" s="118"/>
      <c r="AR273" s="96">
        <f t="shared" si="32"/>
        <v>13</v>
      </c>
      <c r="AS273" s="96">
        <f t="shared" si="33"/>
        <v>42</v>
      </c>
    </row>
    <row r="274" spans="2:45" ht="15.75" customHeight="1">
      <c r="B274" s="168" t="s">
        <v>252</v>
      </c>
      <c r="C274" s="116" t="s">
        <v>382</v>
      </c>
      <c r="D274" s="120">
        <v>2</v>
      </c>
      <c r="E274" s="116" t="s">
        <v>377</v>
      </c>
      <c r="F274" s="119" t="s">
        <v>377</v>
      </c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80">
        <v>6</v>
      </c>
      <c r="T274" s="179">
        <v>9</v>
      </c>
      <c r="U274" s="179">
        <v>10</v>
      </c>
      <c r="V274" s="179">
        <v>15</v>
      </c>
      <c r="W274" s="179">
        <v>9</v>
      </c>
      <c r="X274" s="179">
        <v>6</v>
      </c>
      <c r="Y274" s="179">
        <v>6</v>
      </c>
      <c r="Z274" s="179">
        <v>6</v>
      </c>
      <c r="AA274" s="179">
        <v>9</v>
      </c>
      <c r="AB274" s="179">
        <v>14</v>
      </c>
      <c r="AC274" s="179">
        <v>15</v>
      </c>
      <c r="AD274" s="181">
        <v>8</v>
      </c>
      <c r="AE274" s="180">
        <v>3</v>
      </c>
      <c r="AF274" s="179">
        <v>8</v>
      </c>
      <c r="AG274" s="179">
        <v>11</v>
      </c>
      <c r="AH274" s="179">
        <v>6</v>
      </c>
      <c r="AI274" s="179">
        <v>13</v>
      </c>
      <c r="AJ274" s="179">
        <v>13</v>
      </c>
      <c r="AK274" s="179">
        <v>8</v>
      </c>
      <c r="AL274" s="179">
        <v>6</v>
      </c>
      <c r="AM274" s="179">
        <v>8</v>
      </c>
      <c r="AN274" s="179">
        <v>9</v>
      </c>
      <c r="AO274" s="179">
        <v>16</v>
      </c>
      <c r="AP274" s="179">
        <v>8</v>
      </c>
      <c r="AQ274" s="118"/>
      <c r="AR274" s="96">
        <f t="shared" si="32"/>
        <v>113</v>
      </c>
      <c r="AS274" s="96">
        <f t="shared" si="33"/>
        <v>109</v>
      </c>
    </row>
    <row r="275" spans="2:45" ht="15.75" customHeight="1">
      <c r="B275" s="168" t="s">
        <v>252</v>
      </c>
      <c r="C275" s="116" t="s">
        <v>383</v>
      </c>
      <c r="D275" s="120">
        <v>1</v>
      </c>
      <c r="E275" s="116" t="s">
        <v>377</v>
      </c>
      <c r="F275" s="119" t="s">
        <v>377</v>
      </c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80">
        <v>0</v>
      </c>
      <c r="T275" s="179">
        <v>0</v>
      </c>
      <c r="U275" s="179">
        <v>0</v>
      </c>
      <c r="V275" s="179">
        <v>0</v>
      </c>
      <c r="W275" s="179">
        <v>0</v>
      </c>
      <c r="X275" s="179">
        <v>0</v>
      </c>
      <c r="Y275" s="179">
        <v>0</v>
      </c>
      <c r="Z275" s="179">
        <v>0</v>
      </c>
      <c r="AA275" s="179">
        <v>0</v>
      </c>
      <c r="AB275" s="179">
        <v>0</v>
      </c>
      <c r="AC275" s="179">
        <v>0</v>
      </c>
      <c r="AD275" s="181">
        <v>0</v>
      </c>
      <c r="AE275" s="180">
        <v>0</v>
      </c>
      <c r="AF275" s="179">
        <v>0</v>
      </c>
      <c r="AG275" s="179">
        <v>0</v>
      </c>
      <c r="AH275" s="179">
        <v>0</v>
      </c>
      <c r="AI275" s="179">
        <v>1</v>
      </c>
      <c r="AJ275" s="179">
        <v>0</v>
      </c>
      <c r="AK275" s="179">
        <v>0</v>
      </c>
      <c r="AL275" s="179">
        <v>0</v>
      </c>
      <c r="AM275" s="179">
        <v>2</v>
      </c>
      <c r="AN275" s="179">
        <v>2</v>
      </c>
      <c r="AO275" s="179">
        <v>0</v>
      </c>
      <c r="AP275" s="179">
        <v>1</v>
      </c>
      <c r="AQ275" s="118"/>
      <c r="AR275" s="96">
        <f t="shared" si="32"/>
        <v>0</v>
      </c>
      <c r="AS275" s="96">
        <f t="shared" si="33"/>
        <v>6</v>
      </c>
    </row>
    <row r="276" spans="2:45" ht="15.75" customHeight="1">
      <c r="B276" s="168" t="s">
        <v>252</v>
      </c>
      <c r="C276" s="116" t="s">
        <v>384</v>
      </c>
      <c r="D276" s="120">
        <v>1</v>
      </c>
      <c r="E276" s="116" t="s">
        <v>385</v>
      </c>
      <c r="F276" s="119" t="s">
        <v>385</v>
      </c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80">
        <v>0</v>
      </c>
      <c r="T276" s="179">
        <v>0</v>
      </c>
      <c r="U276" s="179">
        <v>0</v>
      </c>
      <c r="V276" s="179">
        <v>0</v>
      </c>
      <c r="W276" s="179">
        <v>0</v>
      </c>
      <c r="X276" s="179">
        <v>0</v>
      </c>
      <c r="Y276" s="179">
        <v>0</v>
      </c>
      <c r="Z276" s="179">
        <v>0</v>
      </c>
      <c r="AA276" s="179">
        <v>0</v>
      </c>
      <c r="AB276" s="179">
        <v>0</v>
      </c>
      <c r="AC276" s="179">
        <v>2</v>
      </c>
      <c r="AD276" s="181">
        <v>0</v>
      </c>
      <c r="AE276" s="180">
        <v>2</v>
      </c>
      <c r="AF276" s="179">
        <v>2</v>
      </c>
      <c r="AG276" s="179">
        <v>1</v>
      </c>
      <c r="AH276" s="179">
        <v>5</v>
      </c>
      <c r="AI276" s="179">
        <v>4</v>
      </c>
      <c r="AJ276" s="179">
        <v>8</v>
      </c>
      <c r="AK276" s="179">
        <v>6</v>
      </c>
      <c r="AL276" s="179">
        <v>9</v>
      </c>
      <c r="AM276" s="179">
        <v>12</v>
      </c>
      <c r="AN276" s="179">
        <v>15</v>
      </c>
      <c r="AO276" s="179">
        <v>11</v>
      </c>
      <c r="AP276" s="179">
        <v>9</v>
      </c>
      <c r="AQ276" s="118"/>
      <c r="AR276" s="96">
        <f t="shared" si="32"/>
        <v>2</v>
      </c>
      <c r="AS276" s="96">
        <f t="shared" si="33"/>
        <v>84</v>
      </c>
    </row>
    <row r="277" spans="2:45" ht="15.75" customHeight="1">
      <c r="B277" s="185" t="s">
        <v>252</v>
      </c>
      <c r="C277" s="186" t="s">
        <v>386</v>
      </c>
      <c r="D277" s="187">
        <v>1</v>
      </c>
      <c r="E277" s="188" t="s">
        <v>348</v>
      </c>
      <c r="F277" s="189" t="s">
        <v>363</v>
      </c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5">
        <v>0</v>
      </c>
      <c r="T277" s="166">
        <v>0</v>
      </c>
      <c r="U277" s="166">
        <v>0</v>
      </c>
      <c r="V277" s="166">
        <v>0</v>
      </c>
      <c r="W277" s="166">
        <v>0</v>
      </c>
      <c r="X277" s="166">
        <v>0</v>
      </c>
      <c r="Y277" s="166">
        <v>0</v>
      </c>
      <c r="Z277" s="166">
        <v>0</v>
      </c>
      <c r="AA277" s="166">
        <v>0</v>
      </c>
      <c r="AB277" s="166">
        <v>0</v>
      </c>
      <c r="AC277" s="166">
        <v>0</v>
      </c>
      <c r="AD277" s="167">
        <v>0</v>
      </c>
      <c r="AE277" s="165">
        <v>0</v>
      </c>
      <c r="AF277" s="166">
        <v>0</v>
      </c>
      <c r="AG277" s="166">
        <v>0</v>
      </c>
      <c r="AH277" s="166">
        <v>0</v>
      </c>
      <c r="AI277" s="166">
        <v>0</v>
      </c>
      <c r="AJ277" s="166">
        <v>1</v>
      </c>
      <c r="AK277" s="166">
        <v>0</v>
      </c>
      <c r="AL277" s="166">
        <v>0</v>
      </c>
      <c r="AM277" s="166">
        <v>0</v>
      </c>
      <c r="AN277" s="166">
        <v>0</v>
      </c>
      <c r="AO277" s="166">
        <v>0</v>
      </c>
      <c r="AP277" s="166">
        <v>0</v>
      </c>
      <c r="AQ277" s="118"/>
      <c r="AR277" s="96">
        <f t="shared" si="32"/>
        <v>0</v>
      </c>
      <c r="AS277" s="96">
        <f t="shared" si="33"/>
        <v>1</v>
      </c>
    </row>
    <row r="278" spans="2:45" ht="15.75" customHeight="1">
      <c r="B278" s="168" t="s">
        <v>390</v>
      </c>
      <c r="C278" s="116" t="s">
        <v>347</v>
      </c>
      <c r="D278" s="120">
        <v>1</v>
      </c>
      <c r="E278" s="116" t="s">
        <v>348</v>
      </c>
      <c r="F278" s="119" t="s">
        <v>349</v>
      </c>
      <c r="G278" s="169">
        <v>3</v>
      </c>
      <c r="H278" s="153">
        <v>2</v>
      </c>
      <c r="I278" s="153">
        <v>3</v>
      </c>
      <c r="J278" s="153">
        <v>2</v>
      </c>
      <c r="K278" s="153">
        <v>4</v>
      </c>
      <c r="L278" s="153">
        <v>2</v>
      </c>
      <c r="M278" s="153">
        <v>3</v>
      </c>
      <c r="N278" s="153">
        <v>2</v>
      </c>
      <c r="O278" s="153">
        <v>4</v>
      </c>
      <c r="P278" s="153">
        <v>4</v>
      </c>
      <c r="Q278" s="153">
        <v>4</v>
      </c>
      <c r="R278" s="153">
        <v>2</v>
      </c>
      <c r="S278" s="169">
        <v>1</v>
      </c>
      <c r="T278" s="153">
        <v>1</v>
      </c>
      <c r="U278" s="153">
        <v>2</v>
      </c>
      <c r="V278" s="153">
        <v>4</v>
      </c>
      <c r="W278" s="153">
        <v>4</v>
      </c>
      <c r="X278" s="153">
        <v>2</v>
      </c>
      <c r="Y278" s="153">
        <v>1</v>
      </c>
      <c r="Z278" s="153">
        <v>3</v>
      </c>
      <c r="AA278" s="153">
        <v>1</v>
      </c>
      <c r="AB278" s="153">
        <v>2</v>
      </c>
      <c r="AC278" s="153">
        <v>3</v>
      </c>
      <c r="AD278" s="170">
        <v>2</v>
      </c>
      <c r="AE278" s="169">
        <v>2</v>
      </c>
      <c r="AF278" s="153">
        <v>1</v>
      </c>
      <c r="AG278" s="153">
        <v>2</v>
      </c>
      <c r="AH278" s="153">
        <v>1</v>
      </c>
      <c r="AI278" s="153">
        <v>2</v>
      </c>
      <c r="AJ278" s="153">
        <v>1</v>
      </c>
      <c r="AK278" s="153">
        <v>1</v>
      </c>
      <c r="AL278" s="153">
        <v>4</v>
      </c>
      <c r="AM278" s="153">
        <v>1</v>
      </c>
      <c r="AN278" s="153">
        <v>3</v>
      </c>
      <c r="AO278" s="153">
        <v>4</v>
      </c>
      <c r="AP278" s="153">
        <v>2</v>
      </c>
      <c r="AQ278" s="151"/>
      <c r="AR278" s="96">
        <f t="shared" si="32"/>
        <v>26</v>
      </c>
      <c r="AS278" s="96">
        <f t="shared" si="33"/>
        <v>24</v>
      </c>
    </row>
    <row r="279" spans="2:45" ht="15.75" customHeight="1">
      <c r="B279" s="168" t="s">
        <v>390</v>
      </c>
      <c r="C279" s="116" t="s">
        <v>350</v>
      </c>
      <c r="D279" s="120">
        <v>2</v>
      </c>
      <c r="E279" s="116" t="s">
        <v>348</v>
      </c>
      <c r="F279" s="119" t="s">
        <v>349</v>
      </c>
      <c r="G279" s="153">
        <v>3</v>
      </c>
      <c r="H279" s="153">
        <v>2</v>
      </c>
      <c r="I279" s="153">
        <v>3</v>
      </c>
      <c r="J279" s="153">
        <v>4</v>
      </c>
      <c r="K279" s="153">
        <v>3</v>
      </c>
      <c r="L279" s="153">
        <v>4</v>
      </c>
      <c r="M279" s="153">
        <v>4</v>
      </c>
      <c r="N279" s="153">
        <v>3</v>
      </c>
      <c r="O279" s="153">
        <v>6</v>
      </c>
      <c r="P279" s="153">
        <v>4</v>
      </c>
      <c r="Q279" s="153">
        <v>7</v>
      </c>
      <c r="R279" s="153">
        <v>5</v>
      </c>
      <c r="S279" s="169">
        <v>0</v>
      </c>
      <c r="T279" s="153">
        <v>1</v>
      </c>
      <c r="U279" s="153">
        <v>3</v>
      </c>
      <c r="V279" s="153">
        <v>5</v>
      </c>
      <c r="W279" s="153">
        <v>3</v>
      </c>
      <c r="X279" s="153">
        <v>5</v>
      </c>
      <c r="Y279" s="153">
        <v>1</v>
      </c>
      <c r="Z279" s="153">
        <v>1</v>
      </c>
      <c r="AA279" s="153">
        <v>4</v>
      </c>
      <c r="AB279" s="153">
        <v>5</v>
      </c>
      <c r="AC279" s="153">
        <v>5</v>
      </c>
      <c r="AD279" s="170">
        <v>3</v>
      </c>
      <c r="AE279" s="169">
        <v>2</v>
      </c>
      <c r="AF279" s="153">
        <v>3</v>
      </c>
      <c r="AG279" s="153">
        <v>2</v>
      </c>
      <c r="AH279" s="153">
        <v>3</v>
      </c>
      <c r="AI279" s="153">
        <v>2</v>
      </c>
      <c r="AJ279" s="153">
        <v>2</v>
      </c>
      <c r="AK279" s="153">
        <v>2</v>
      </c>
      <c r="AL279" s="153">
        <v>2</v>
      </c>
      <c r="AM279" s="153">
        <v>4</v>
      </c>
      <c r="AN279" s="153">
        <v>4</v>
      </c>
      <c r="AO279" s="153">
        <v>6</v>
      </c>
      <c r="AP279" s="153">
        <v>1</v>
      </c>
      <c r="AQ279" s="151"/>
      <c r="AR279" s="96">
        <f t="shared" si="32"/>
        <v>36</v>
      </c>
      <c r="AS279" s="96">
        <f t="shared" si="33"/>
        <v>33</v>
      </c>
    </row>
    <row r="280" spans="2:45" ht="15.75" customHeight="1">
      <c r="B280" s="168" t="s">
        <v>390</v>
      </c>
      <c r="C280" s="116" t="s">
        <v>351</v>
      </c>
      <c r="D280" s="120">
        <v>2</v>
      </c>
      <c r="E280" s="116" t="s">
        <v>348</v>
      </c>
      <c r="F280" s="119" t="s">
        <v>349</v>
      </c>
      <c r="G280" s="153">
        <v>3</v>
      </c>
      <c r="H280" s="153">
        <v>2</v>
      </c>
      <c r="I280" s="153">
        <v>4</v>
      </c>
      <c r="J280" s="153">
        <v>5</v>
      </c>
      <c r="K280" s="153">
        <v>4</v>
      </c>
      <c r="L280" s="153">
        <v>4</v>
      </c>
      <c r="M280" s="153">
        <v>4</v>
      </c>
      <c r="N280" s="153">
        <v>2</v>
      </c>
      <c r="O280" s="153">
        <v>6</v>
      </c>
      <c r="P280" s="153">
        <v>3</v>
      </c>
      <c r="Q280" s="153">
        <v>3</v>
      </c>
      <c r="R280" s="153">
        <v>4</v>
      </c>
      <c r="S280" s="169">
        <v>1</v>
      </c>
      <c r="T280" s="153">
        <v>2</v>
      </c>
      <c r="U280" s="153">
        <v>1</v>
      </c>
      <c r="V280" s="153">
        <v>4</v>
      </c>
      <c r="W280" s="153">
        <v>2</v>
      </c>
      <c r="X280" s="153">
        <v>4</v>
      </c>
      <c r="Y280" s="153">
        <v>3</v>
      </c>
      <c r="Z280" s="153">
        <v>1</v>
      </c>
      <c r="AA280" s="153">
        <v>2</v>
      </c>
      <c r="AB280" s="153">
        <v>4</v>
      </c>
      <c r="AC280" s="153">
        <v>5</v>
      </c>
      <c r="AD280" s="170">
        <v>2</v>
      </c>
      <c r="AE280" s="169">
        <v>3</v>
      </c>
      <c r="AF280" s="153">
        <v>2</v>
      </c>
      <c r="AG280" s="153">
        <v>3</v>
      </c>
      <c r="AH280" s="153">
        <v>2</v>
      </c>
      <c r="AI280" s="153">
        <v>5</v>
      </c>
      <c r="AJ280" s="153">
        <v>2</v>
      </c>
      <c r="AK280" s="153">
        <v>1</v>
      </c>
      <c r="AL280" s="153">
        <v>1</v>
      </c>
      <c r="AM280" s="153">
        <v>3</v>
      </c>
      <c r="AN280" s="153">
        <v>4</v>
      </c>
      <c r="AO280" s="153">
        <v>4</v>
      </c>
      <c r="AP280" s="153">
        <v>1</v>
      </c>
      <c r="AQ280" s="151"/>
      <c r="AR280" s="96">
        <f t="shared" si="32"/>
        <v>31</v>
      </c>
      <c r="AS280" s="96">
        <f t="shared" si="33"/>
        <v>31</v>
      </c>
    </row>
    <row r="281" spans="2:45" ht="15.75" customHeight="1">
      <c r="B281" s="168" t="s">
        <v>390</v>
      </c>
      <c r="C281" s="116" t="s">
        <v>352</v>
      </c>
      <c r="D281" s="120">
        <v>1</v>
      </c>
      <c r="E281" s="116" t="s">
        <v>348</v>
      </c>
      <c r="F281" s="119" t="s">
        <v>349</v>
      </c>
      <c r="G281" s="153">
        <v>0</v>
      </c>
      <c r="H281" s="153">
        <v>0</v>
      </c>
      <c r="I281" s="153">
        <v>3</v>
      </c>
      <c r="J281" s="153">
        <v>4</v>
      </c>
      <c r="K281" s="153">
        <v>4</v>
      </c>
      <c r="L281" s="153">
        <v>4</v>
      </c>
      <c r="M281" s="153">
        <v>1</v>
      </c>
      <c r="N281" s="153">
        <v>3</v>
      </c>
      <c r="O281" s="153">
        <v>5</v>
      </c>
      <c r="P281" s="153">
        <v>4</v>
      </c>
      <c r="Q281" s="153">
        <v>4</v>
      </c>
      <c r="R281" s="153">
        <v>3</v>
      </c>
      <c r="S281" s="169">
        <v>2</v>
      </c>
      <c r="T281" s="153">
        <v>3</v>
      </c>
      <c r="U281" s="153">
        <v>5</v>
      </c>
      <c r="V281" s="153">
        <v>3</v>
      </c>
      <c r="W281" s="153">
        <v>4</v>
      </c>
      <c r="X281" s="153">
        <v>4</v>
      </c>
      <c r="Y281" s="153">
        <v>2</v>
      </c>
      <c r="Z281" s="153">
        <v>5</v>
      </c>
      <c r="AA281" s="153">
        <v>4</v>
      </c>
      <c r="AB281" s="153">
        <v>4</v>
      </c>
      <c r="AC281" s="153">
        <v>4</v>
      </c>
      <c r="AD281" s="170">
        <v>2</v>
      </c>
      <c r="AE281" s="169">
        <v>3</v>
      </c>
      <c r="AF281" s="153">
        <v>2</v>
      </c>
      <c r="AG281" s="153">
        <v>3</v>
      </c>
      <c r="AH281" s="153">
        <v>3</v>
      </c>
      <c r="AI281" s="153">
        <v>4</v>
      </c>
      <c r="AJ281" s="153">
        <v>3</v>
      </c>
      <c r="AK281" s="153">
        <v>1</v>
      </c>
      <c r="AL281" s="153">
        <v>3</v>
      </c>
      <c r="AM281" s="153">
        <v>1</v>
      </c>
      <c r="AN281" s="153">
        <v>4</v>
      </c>
      <c r="AO281" s="153">
        <v>5</v>
      </c>
      <c r="AP281" s="153">
        <v>2</v>
      </c>
      <c r="AQ281" s="151"/>
      <c r="AR281" s="96">
        <f t="shared" si="32"/>
        <v>42</v>
      </c>
      <c r="AS281" s="96">
        <f t="shared" si="33"/>
        <v>34</v>
      </c>
    </row>
    <row r="282" spans="2:45" ht="15.75" customHeight="1">
      <c r="B282" s="168" t="s">
        <v>390</v>
      </c>
      <c r="C282" s="116" t="s">
        <v>353</v>
      </c>
      <c r="D282" s="120">
        <v>1</v>
      </c>
      <c r="E282" s="116" t="s">
        <v>348</v>
      </c>
      <c r="F282" s="119" t="s">
        <v>349</v>
      </c>
      <c r="G282" s="153">
        <v>2</v>
      </c>
      <c r="H282" s="153">
        <v>0</v>
      </c>
      <c r="I282" s="153">
        <v>2</v>
      </c>
      <c r="J282" s="153">
        <v>4</v>
      </c>
      <c r="K282" s="153">
        <v>2</v>
      </c>
      <c r="L282" s="153">
        <v>4</v>
      </c>
      <c r="M282" s="153">
        <v>2</v>
      </c>
      <c r="N282" s="153">
        <v>3</v>
      </c>
      <c r="O282" s="153">
        <v>5</v>
      </c>
      <c r="P282" s="153">
        <v>4</v>
      </c>
      <c r="Q282" s="153">
        <v>4</v>
      </c>
      <c r="R282" s="153">
        <v>3</v>
      </c>
      <c r="S282" s="169">
        <v>3</v>
      </c>
      <c r="T282" s="153">
        <v>2</v>
      </c>
      <c r="U282" s="153">
        <v>2</v>
      </c>
      <c r="V282" s="153">
        <v>3</v>
      </c>
      <c r="W282" s="153">
        <v>1</v>
      </c>
      <c r="X282" s="153">
        <v>2</v>
      </c>
      <c r="Y282" s="153">
        <v>1</v>
      </c>
      <c r="Z282" s="153">
        <v>1</v>
      </c>
      <c r="AA282" s="153">
        <v>1</v>
      </c>
      <c r="AB282" s="153">
        <v>3</v>
      </c>
      <c r="AC282" s="153">
        <v>2</v>
      </c>
      <c r="AD282" s="170">
        <v>1</v>
      </c>
      <c r="AE282" s="169">
        <v>2</v>
      </c>
      <c r="AF282" s="153">
        <v>3</v>
      </c>
      <c r="AG282" s="153">
        <v>0</v>
      </c>
      <c r="AH282" s="153">
        <v>4</v>
      </c>
      <c r="AI282" s="153">
        <v>4</v>
      </c>
      <c r="AJ282" s="153">
        <v>2</v>
      </c>
      <c r="AK282" s="153">
        <v>0</v>
      </c>
      <c r="AL282" s="153">
        <v>2</v>
      </c>
      <c r="AM282" s="153">
        <v>1</v>
      </c>
      <c r="AN282" s="153">
        <v>4</v>
      </c>
      <c r="AO282" s="153">
        <v>5</v>
      </c>
      <c r="AP282" s="153">
        <v>2</v>
      </c>
      <c r="AQ282" s="151"/>
      <c r="AR282" s="96">
        <f t="shared" si="32"/>
        <v>22</v>
      </c>
      <c r="AS282" s="96">
        <f t="shared" si="33"/>
        <v>29</v>
      </c>
    </row>
    <row r="283" spans="2:45" ht="15.75" customHeight="1">
      <c r="B283" s="168" t="s">
        <v>390</v>
      </c>
      <c r="C283" s="116" t="s">
        <v>354</v>
      </c>
      <c r="D283" s="120">
        <v>1</v>
      </c>
      <c r="E283" s="116" t="s">
        <v>348</v>
      </c>
      <c r="F283" s="119" t="s">
        <v>355</v>
      </c>
      <c r="G283" s="153">
        <v>4</v>
      </c>
      <c r="H283" s="153">
        <v>2</v>
      </c>
      <c r="I283" s="153">
        <v>4</v>
      </c>
      <c r="J283" s="153">
        <v>5</v>
      </c>
      <c r="K283" s="153">
        <v>4</v>
      </c>
      <c r="L283" s="153">
        <v>4</v>
      </c>
      <c r="M283" s="153">
        <v>5</v>
      </c>
      <c r="N283" s="153">
        <v>4</v>
      </c>
      <c r="O283" s="153">
        <v>5</v>
      </c>
      <c r="P283" s="153">
        <v>4</v>
      </c>
      <c r="Q283" s="153">
        <v>3</v>
      </c>
      <c r="R283" s="153">
        <v>5</v>
      </c>
      <c r="S283" s="169">
        <v>2</v>
      </c>
      <c r="T283" s="153">
        <v>2</v>
      </c>
      <c r="U283" s="153">
        <v>5</v>
      </c>
      <c r="V283" s="153">
        <v>3</v>
      </c>
      <c r="W283" s="153">
        <v>4</v>
      </c>
      <c r="X283" s="153">
        <v>5</v>
      </c>
      <c r="Y283" s="153">
        <v>4</v>
      </c>
      <c r="Z283" s="153">
        <v>5</v>
      </c>
      <c r="AA283" s="153">
        <v>3</v>
      </c>
      <c r="AB283" s="153">
        <v>4</v>
      </c>
      <c r="AC283" s="153">
        <v>4</v>
      </c>
      <c r="AD283" s="170">
        <v>2</v>
      </c>
      <c r="AE283" s="169">
        <v>4</v>
      </c>
      <c r="AF283" s="153">
        <v>2</v>
      </c>
      <c r="AG283" s="153">
        <v>4</v>
      </c>
      <c r="AH283" s="153">
        <v>4</v>
      </c>
      <c r="AI283" s="153">
        <v>5</v>
      </c>
      <c r="AJ283" s="153">
        <v>4</v>
      </c>
      <c r="AK283" s="153">
        <v>4</v>
      </c>
      <c r="AL283" s="153">
        <v>5</v>
      </c>
      <c r="AM283" s="153">
        <v>4</v>
      </c>
      <c r="AN283" s="153">
        <v>4</v>
      </c>
      <c r="AO283" s="153">
        <v>5</v>
      </c>
      <c r="AP283" s="153">
        <v>4</v>
      </c>
      <c r="AQ283" s="151"/>
      <c r="AR283" s="96">
        <f t="shared" si="32"/>
        <v>43</v>
      </c>
      <c r="AS283" s="96">
        <f t="shared" si="33"/>
        <v>49</v>
      </c>
    </row>
    <row r="284" spans="2:45" ht="15.75" customHeight="1">
      <c r="B284" s="168" t="s">
        <v>390</v>
      </c>
      <c r="C284" s="116" t="s">
        <v>356</v>
      </c>
      <c r="D284" s="120">
        <v>1</v>
      </c>
      <c r="E284" s="116" t="s">
        <v>348</v>
      </c>
      <c r="F284" s="119" t="s">
        <v>355</v>
      </c>
      <c r="G284" s="153">
        <v>2</v>
      </c>
      <c r="H284" s="153">
        <v>0</v>
      </c>
      <c r="I284" s="153">
        <v>3</v>
      </c>
      <c r="J284" s="153">
        <v>4</v>
      </c>
      <c r="K284" s="153">
        <v>3</v>
      </c>
      <c r="L284" s="153">
        <v>1</v>
      </c>
      <c r="M284" s="153">
        <v>2</v>
      </c>
      <c r="N284" s="153">
        <v>2</v>
      </c>
      <c r="O284" s="153">
        <v>2</v>
      </c>
      <c r="P284" s="153">
        <v>3</v>
      </c>
      <c r="Q284" s="153">
        <v>3</v>
      </c>
      <c r="R284" s="153">
        <v>3</v>
      </c>
      <c r="S284" s="169">
        <v>2</v>
      </c>
      <c r="T284" s="153">
        <v>1</v>
      </c>
      <c r="U284" s="153">
        <v>0</v>
      </c>
      <c r="V284" s="153">
        <v>4</v>
      </c>
      <c r="W284" s="153">
        <v>1</v>
      </c>
      <c r="X284" s="153">
        <v>0</v>
      </c>
      <c r="Y284" s="153">
        <v>2</v>
      </c>
      <c r="Z284" s="153">
        <v>3</v>
      </c>
      <c r="AA284" s="153">
        <v>4</v>
      </c>
      <c r="AB284" s="153">
        <v>3</v>
      </c>
      <c r="AC284" s="153">
        <v>4</v>
      </c>
      <c r="AD284" s="170">
        <v>1</v>
      </c>
      <c r="AE284" s="169">
        <v>2</v>
      </c>
      <c r="AF284" s="153">
        <v>3</v>
      </c>
      <c r="AG284" s="153">
        <v>3</v>
      </c>
      <c r="AH284" s="153">
        <v>4</v>
      </c>
      <c r="AI284" s="153">
        <v>2</v>
      </c>
      <c r="AJ284" s="153">
        <v>3</v>
      </c>
      <c r="AK284" s="153">
        <v>1</v>
      </c>
      <c r="AL284" s="153">
        <v>1</v>
      </c>
      <c r="AM284" s="153">
        <v>1</v>
      </c>
      <c r="AN284" s="153">
        <v>3</v>
      </c>
      <c r="AO284" s="153">
        <v>3</v>
      </c>
      <c r="AP284" s="153">
        <v>2</v>
      </c>
      <c r="AQ284" s="151"/>
      <c r="AR284" s="96">
        <f t="shared" si="32"/>
        <v>25</v>
      </c>
      <c r="AS284" s="96">
        <f t="shared" si="33"/>
        <v>28</v>
      </c>
    </row>
    <row r="285" spans="2:45" ht="15.75" customHeight="1">
      <c r="B285" s="168" t="s">
        <v>390</v>
      </c>
      <c r="C285" s="116" t="s">
        <v>357</v>
      </c>
      <c r="D285" s="120">
        <v>2</v>
      </c>
      <c r="E285" s="116" t="s">
        <v>348</v>
      </c>
      <c r="F285" s="119" t="s">
        <v>355</v>
      </c>
      <c r="G285" s="153">
        <v>3</v>
      </c>
      <c r="H285" s="153">
        <v>1</v>
      </c>
      <c r="I285" s="153">
        <v>5</v>
      </c>
      <c r="J285" s="153">
        <v>9</v>
      </c>
      <c r="K285" s="153">
        <v>6</v>
      </c>
      <c r="L285" s="153">
        <v>8</v>
      </c>
      <c r="M285" s="153">
        <v>4</v>
      </c>
      <c r="N285" s="153">
        <v>3</v>
      </c>
      <c r="O285" s="153">
        <v>9</v>
      </c>
      <c r="P285" s="153">
        <v>8</v>
      </c>
      <c r="Q285" s="153">
        <v>7</v>
      </c>
      <c r="R285" s="153">
        <v>5</v>
      </c>
      <c r="S285" s="169">
        <v>2</v>
      </c>
      <c r="T285" s="153">
        <v>2</v>
      </c>
      <c r="U285" s="153">
        <v>5</v>
      </c>
      <c r="V285" s="153">
        <v>7</v>
      </c>
      <c r="W285" s="153">
        <v>6</v>
      </c>
      <c r="X285" s="153">
        <v>4</v>
      </c>
      <c r="Y285" s="153">
        <v>0</v>
      </c>
      <c r="Z285" s="153">
        <v>5</v>
      </c>
      <c r="AA285" s="153">
        <v>5</v>
      </c>
      <c r="AB285" s="153">
        <v>8</v>
      </c>
      <c r="AC285" s="153">
        <v>8</v>
      </c>
      <c r="AD285" s="170">
        <v>3</v>
      </c>
      <c r="AE285" s="169">
        <v>2</v>
      </c>
      <c r="AF285" s="153">
        <v>0</v>
      </c>
      <c r="AG285" s="153">
        <v>4</v>
      </c>
      <c r="AH285" s="153">
        <v>5</v>
      </c>
      <c r="AI285" s="153">
        <v>5</v>
      </c>
      <c r="AJ285" s="153">
        <v>3</v>
      </c>
      <c r="AK285" s="153">
        <v>3</v>
      </c>
      <c r="AL285" s="153">
        <v>2</v>
      </c>
      <c r="AM285" s="153">
        <v>2</v>
      </c>
      <c r="AN285" s="153">
        <v>7</v>
      </c>
      <c r="AO285" s="153">
        <v>6</v>
      </c>
      <c r="AP285" s="153">
        <v>2</v>
      </c>
      <c r="AQ285" s="151"/>
      <c r="AR285" s="96">
        <f t="shared" si="32"/>
        <v>55</v>
      </c>
      <c r="AS285" s="96">
        <f t="shared" si="33"/>
        <v>41</v>
      </c>
    </row>
    <row r="286" spans="2:45" ht="15.75" customHeight="1">
      <c r="B286" s="168" t="s">
        <v>390</v>
      </c>
      <c r="C286" s="116" t="s">
        <v>358</v>
      </c>
      <c r="D286" s="120">
        <v>1</v>
      </c>
      <c r="E286" s="116" t="s">
        <v>348</v>
      </c>
      <c r="F286" s="119" t="s">
        <v>355</v>
      </c>
      <c r="G286" s="153">
        <v>2</v>
      </c>
      <c r="H286" s="153">
        <v>1</v>
      </c>
      <c r="I286" s="153">
        <v>2</v>
      </c>
      <c r="J286" s="153">
        <v>4</v>
      </c>
      <c r="K286" s="153">
        <v>4</v>
      </c>
      <c r="L286" s="153">
        <v>4</v>
      </c>
      <c r="M286" s="153">
        <v>2</v>
      </c>
      <c r="N286" s="153">
        <v>1</v>
      </c>
      <c r="O286" s="153">
        <v>3</v>
      </c>
      <c r="P286" s="153">
        <v>4</v>
      </c>
      <c r="Q286" s="153">
        <v>3</v>
      </c>
      <c r="R286" s="153">
        <v>4</v>
      </c>
      <c r="S286" s="169">
        <v>1</v>
      </c>
      <c r="T286" s="153">
        <v>0</v>
      </c>
      <c r="U286" s="153">
        <v>3</v>
      </c>
      <c r="V286" s="153">
        <v>4</v>
      </c>
      <c r="W286" s="153">
        <v>4</v>
      </c>
      <c r="X286" s="153">
        <v>2</v>
      </c>
      <c r="Y286" s="153">
        <v>1</v>
      </c>
      <c r="Z286" s="153">
        <v>3</v>
      </c>
      <c r="AA286" s="153">
        <v>3</v>
      </c>
      <c r="AB286" s="153">
        <v>4</v>
      </c>
      <c r="AC286" s="153">
        <v>4</v>
      </c>
      <c r="AD286" s="170">
        <v>2</v>
      </c>
      <c r="AE286" s="169">
        <v>1</v>
      </c>
      <c r="AF286" s="153">
        <v>1</v>
      </c>
      <c r="AG286" s="153">
        <v>3</v>
      </c>
      <c r="AH286" s="153">
        <v>2</v>
      </c>
      <c r="AI286" s="153">
        <v>5</v>
      </c>
      <c r="AJ286" s="153">
        <v>4</v>
      </c>
      <c r="AK286" s="153">
        <v>3</v>
      </c>
      <c r="AL286" s="153">
        <v>3</v>
      </c>
      <c r="AM286" s="153">
        <v>4</v>
      </c>
      <c r="AN286" s="153">
        <v>4</v>
      </c>
      <c r="AO286" s="153">
        <v>5</v>
      </c>
      <c r="AP286" s="153">
        <v>3</v>
      </c>
      <c r="AQ286" s="151"/>
      <c r="AR286" s="96">
        <f t="shared" si="32"/>
        <v>31</v>
      </c>
      <c r="AS286" s="96">
        <f t="shared" si="33"/>
        <v>38</v>
      </c>
    </row>
    <row r="287" spans="2:45" ht="15.75" customHeight="1">
      <c r="B287" s="168" t="s">
        <v>390</v>
      </c>
      <c r="C287" s="116" t="s">
        <v>359</v>
      </c>
      <c r="D287" s="120">
        <v>1</v>
      </c>
      <c r="E287" s="116" t="s">
        <v>348</v>
      </c>
      <c r="F287" s="119" t="s">
        <v>355</v>
      </c>
      <c r="G287" s="153">
        <v>1</v>
      </c>
      <c r="H287" s="153">
        <v>2</v>
      </c>
      <c r="I287" s="153">
        <v>4</v>
      </c>
      <c r="J287" s="153">
        <v>5</v>
      </c>
      <c r="K287" s="153">
        <v>4</v>
      </c>
      <c r="L287" s="153">
        <v>3</v>
      </c>
      <c r="M287" s="153">
        <v>4</v>
      </c>
      <c r="N287" s="153">
        <v>3</v>
      </c>
      <c r="O287" s="153">
        <v>5</v>
      </c>
      <c r="P287" s="153">
        <v>4</v>
      </c>
      <c r="Q287" s="153">
        <v>3</v>
      </c>
      <c r="R287" s="153">
        <v>4</v>
      </c>
      <c r="S287" s="169">
        <v>3</v>
      </c>
      <c r="T287" s="153">
        <v>4</v>
      </c>
      <c r="U287" s="153">
        <v>5</v>
      </c>
      <c r="V287" s="153">
        <v>4</v>
      </c>
      <c r="W287" s="153">
        <v>4</v>
      </c>
      <c r="X287" s="153">
        <v>5</v>
      </c>
      <c r="Y287" s="153">
        <v>4</v>
      </c>
      <c r="Z287" s="153">
        <v>5</v>
      </c>
      <c r="AA287" s="153">
        <v>4</v>
      </c>
      <c r="AB287" s="153">
        <v>4</v>
      </c>
      <c r="AC287" s="153">
        <v>5</v>
      </c>
      <c r="AD287" s="170">
        <v>3</v>
      </c>
      <c r="AE287" s="169">
        <v>1</v>
      </c>
      <c r="AF287" s="153">
        <v>4</v>
      </c>
      <c r="AG287" s="153">
        <v>5</v>
      </c>
      <c r="AH287" s="153">
        <v>4</v>
      </c>
      <c r="AI287" s="153">
        <v>5</v>
      </c>
      <c r="AJ287" s="153">
        <v>4</v>
      </c>
      <c r="AK287" s="153">
        <v>4</v>
      </c>
      <c r="AL287" s="153">
        <v>3</v>
      </c>
      <c r="AM287" s="153">
        <v>4</v>
      </c>
      <c r="AN287" s="153">
        <v>4</v>
      </c>
      <c r="AO287" s="153">
        <v>5</v>
      </c>
      <c r="AP287" s="153">
        <v>2</v>
      </c>
      <c r="AQ287" s="151"/>
      <c r="AR287" s="96">
        <f t="shared" si="32"/>
        <v>50</v>
      </c>
      <c r="AS287" s="96">
        <f t="shared" si="33"/>
        <v>45</v>
      </c>
    </row>
    <row r="288" spans="2:45" ht="15.75" customHeight="1">
      <c r="B288" s="168" t="s">
        <v>390</v>
      </c>
      <c r="C288" s="116" t="s">
        <v>360</v>
      </c>
      <c r="D288" s="120">
        <v>2</v>
      </c>
      <c r="E288" s="116" t="s">
        <v>348</v>
      </c>
      <c r="F288" s="119" t="s">
        <v>355</v>
      </c>
      <c r="G288" s="153">
        <v>0</v>
      </c>
      <c r="H288" s="153">
        <v>0</v>
      </c>
      <c r="I288" s="153">
        <v>0</v>
      </c>
      <c r="J288" s="153">
        <v>0</v>
      </c>
      <c r="K288" s="153">
        <v>0</v>
      </c>
      <c r="L288" s="153">
        <v>0</v>
      </c>
      <c r="M288" s="153">
        <v>0</v>
      </c>
      <c r="N288" s="153">
        <v>0</v>
      </c>
      <c r="O288" s="153">
        <v>0</v>
      </c>
      <c r="P288" s="153">
        <v>0</v>
      </c>
      <c r="Q288" s="153">
        <v>0</v>
      </c>
      <c r="R288" s="153">
        <v>0</v>
      </c>
      <c r="S288" s="169">
        <v>0</v>
      </c>
      <c r="T288" s="153">
        <v>0</v>
      </c>
      <c r="U288" s="153">
        <v>0</v>
      </c>
      <c r="V288" s="153">
        <v>0</v>
      </c>
      <c r="W288" s="153">
        <v>0</v>
      </c>
      <c r="X288" s="153">
        <v>0</v>
      </c>
      <c r="Y288" s="153">
        <v>0</v>
      </c>
      <c r="Z288" s="153">
        <v>0</v>
      </c>
      <c r="AA288" s="153">
        <v>0</v>
      </c>
      <c r="AB288" s="153">
        <v>0</v>
      </c>
      <c r="AC288" s="153">
        <v>0</v>
      </c>
      <c r="AD288" s="170">
        <v>0</v>
      </c>
      <c r="AE288" s="169">
        <v>0</v>
      </c>
      <c r="AF288" s="153">
        <v>0</v>
      </c>
      <c r="AG288" s="153">
        <v>3</v>
      </c>
      <c r="AH288" s="153">
        <v>2</v>
      </c>
      <c r="AI288" s="153">
        <v>1</v>
      </c>
      <c r="AJ288" s="153">
        <v>1</v>
      </c>
      <c r="AK288" s="153">
        <v>0</v>
      </c>
      <c r="AL288" s="153">
        <v>2</v>
      </c>
      <c r="AM288" s="153">
        <v>2</v>
      </c>
      <c r="AN288" s="153">
        <v>3</v>
      </c>
      <c r="AO288" s="153">
        <v>2</v>
      </c>
      <c r="AP288" s="153">
        <v>1</v>
      </c>
      <c r="AQ288" s="151"/>
      <c r="AR288" s="96">
        <f t="shared" si="32"/>
        <v>0</v>
      </c>
      <c r="AS288" s="96">
        <f t="shared" si="33"/>
        <v>17</v>
      </c>
    </row>
    <row r="289" spans="2:45" ht="15.75" customHeight="1">
      <c r="B289" s="168" t="s">
        <v>390</v>
      </c>
      <c r="C289" s="116" t="s">
        <v>361</v>
      </c>
      <c r="D289" s="120">
        <v>1</v>
      </c>
      <c r="E289" s="116" t="s">
        <v>348</v>
      </c>
      <c r="F289" s="119" t="s">
        <v>355</v>
      </c>
      <c r="G289" s="153">
        <v>0</v>
      </c>
      <c r="H289" s="153">
        <v>1</v>
      </c>
      <c r="I289" s="153">
        <v>1</v>
      </c>
      <c r="J289" s="153">
        <v>3</v>
      </c>
      <c r="K289" s="153">
        <v>2</v>
      </c>
      <c r="L289" s="153">
        <v>2</v>
      </c>
      <c r="M289" s="153">
        <v>0</v>
      </c>
      <c r="N289" s="153">
        <v>1</v>
      </c>
      <c r="O289" s="153">
        <v>4</v>
      </c>
      <c r="P289" s="153">
        <v>4</v>
      </c>
      <c r="Q289" s="153">
        <v>2</v>
      </c>
      <c r="R289" s="153">
        <v>2</v>
      </c>
      <c r="S289" s="169">
        <v>1</v>
      </c>
      <c r="T289" s="153">
        <v>0</v>
      </c>
      <c r="U289" s="153">
        <v>1</v>
      </c>
      <c r="V289" s="153">
        <v>1</v>
      </c>
      <c r="W289" s="153">
        <v>4</v>
      </c>
      <c r="X289" s="153">
        <v>2</v>
      </c>
      <c r="Y289" s="153">
        <v>0</v>
      </c>
      <c r="Z289" s="153">
        <v>2</v>
      </c>
      <c r="AA289" s="153">
        <v>3</v>
      </c>
      <c r="AB289" s="153">
        <v>2</v>
      </c>
      <c r="AC289" s="153">
        <v>4</v>
      </c>
      <c r="AD289" s="170">
        <v>1</v>
      </c>
      <c r="AE289" s="169">
        <v>1</v>
      </c>
      <c r="AF289" s="153">
        <v>0</v>
      </c>
      <c r="AG289" s="153">
        <v>2</v>
      </c>
      <c r="AH289" s="153">
        <v>3</v>
      </c>
      <c r="AI289" s="153">
        <v>4</v>
      </c>
      <c r="AJ289" s="153">
        <v>2</v>
      </c>
      <c r="AK289" s="153">
        <v>1</v>
      </c>
      <c r="AL289" s="153">
        <v>1</v>
      </c>
      <c r="AM289" s="153">
        <v>2</v>
      </c>
      <c r="AN289" s="153">
        <v>4</v>
      </c>
      <c r="AO289" s="153">
        <v>4</v>
      </c>
      <c r="AP289" s="153">
        <v>0</v>
      </c>
      <c r="AQ289" s="151"/>
      <c r="AR289" s="96">
        <f t="shared" si="32"/>
        <v>21</v>
      </c>
      <c r="AS289" s="96">
        <f t="shared" si="33"/>
        <v>24</v>
      </c>
    </row>
    <row r="290" spans="2:45" ht="15.75" customHeight="1">
      <c r="B290" s="168" t="s">
        <v>390</v>
      </c>
      <c r="C290" s="116" t="s">
        <v>362</v>
      </c>
      <c r="D290" s="120">
        <v>1</v>
      </c>
      <c r="E290" s="116" t="s">
        <v>348</v>
      </c>
      <c r="F290" s="119" t="s">
        <v>363</v>
      </c>
      <c r="G290" s="153">
        <v>2</v>
      </c>
      <c r="H290" s="153">
        <v>1</v>
      </c>
      <c r="I290" s="153">
        <v>2</v>
      </c>
      <c r="J290" s="153">
        <v>3</v>
      </c>
      <c r="K290" s="153">
        <v>4</v>
      </c>
      <c r="L290" s="153">
        <v>4</v>
      </c>
      <c r="M290" s="153">
        <v>3</v>
      </c>
      <c r="N290" s="153">
        <v>1</v>
      </c>
      <c r="O290" s="153">
        <v>3</v>
      </c>
      <c r="P290" s="153">
        <v>4</v>
      </c>
      <c r="Q290" s="153">
        <v>3</v>
      </c>
      <c r="R290" s="153">
        <v>3</v>
      </c>
      <c r="S290" s="169">
        <v>2</v>
      </c>
      <c r="T290" s="153">
        <v>2</v>
      </c>
      <c r="U290" s="153">
        <v>4</v>
      </c>
      <c r="V290" s="153">
        <v>4</v>
      </c>
      <c r="W290" s="153">
        <v>4</v>
      </c>
      <c r="X290" s="153">
        <v>3</v>
      </c>
      <c r="Y290" s="153">
        <v>0</v>
      </c>
      <c r="Z290" s="153">
        <v>4</v>
      </c>
      <c r="AA290" s="153">
        <v>3</v>
      </c>
      <c r="AB290" s="153">
        <v>3</v>
      </c>
      <c r="AC290" s="153">
        <v>4</v>
      </c>
      <c r="AD290" s="170">
        <v>2</v>
      </c>
      <c r="AE290" s="169">
        <v>4</v>
      </c>
      <c r="AF290" s="153">
        <v>3</v>
      </c>
      <c r="AG290" s="153">
        <v>4</v>
      </c>
      <c r="AH290" s="153">
        <v>2</v>
      </c>
      <c r="AI290" s="153">
        <v>2</v>
      </c>
      <c r="AJ290" s="153">
        <v>4</v>
      </c>
      <c r="AK290" s="153">
        <v>1</v>
      </c>
      <c r="AL290" s="153">
        <v>1</v>
      </c>
      <c r="AM290" s="153">
        <v>3</v>
      </c>
      <c r="AN290" s="153">
        <v>4</v>
      </c>
      <c r="AO290" s="153">
        <v>3</v>
      </c>
      <c r="AP290" s="153">
        <v>3</v>
      </c>
      <c r="AQ290" s="151"/>
      <c r="AR290" s="96">
        <f t="shared" si="32"/>
        <v>35</v>
      </c>
      <c r="AS290" s="96">
        <f t="shared" si="33"/>
        <v>34</v>
      </c>
    </row>
    <row r="291" spans="2:45" ht="15.75" customHeight="1">
      <c r="B291" s="168" t="s">
        <v>390</v>
      </c>
      <c r="C291" s="116" t="s">
        <v>364</v>
      </c>
      <c r="D291" s="120">
        <v>1</v>
      </c>
      <c r="E291" s="116" t="s">
        <v>348</v>
      </c>
      <c r="F291" s="119" t="s">
        <v>363</v>
      </c>
      <c r="G291" s="153">
        <v>0</v>
      </c>
      <c r="H291" s="153">
        <v>1</v>
      </c>
      <c r="I291" s="153">
        <v>0</v>
      </c>
      <c r="J291" s="153">
        <v>3</v>
      </c>
      <c r="K291" s="153">
        <v>4</v>
      </c>
      <c r="L291" s="153">
        <v>2</v>
      </c>
      <c r="M291" s="153">
        <v>2</v>
      </c>
      <c r="N291" s="153">
        <v>2</v>
      </c>
      <c r="O291" s="153">
        <v>5</v>
      </c>
      <c r="P291" s="153">
        <v>4</v>
      </c>
      <c r="Q291" s="153">
        <v>2</v>
      </c>
      <c r="R291" s="153">
        <v>2</v>
      </c>
      <c r="S291" s="169">
        <v>1</v>
      </c>
      <c r="T291" s="153">
        <v>0</v>
      </c>
      <c r="U291" s="153">
        <v>1</v>
      </c>
      <c r="V291" s="153">
        <v>4</v>
      </c>
      <c r="W291" s="153">
        <v>3</v>
      </c>
      <c r="X291" s="153">
        <v>2</v>
      </c>
      <c r="Y291" s="153">
        <v>0</v>
      </c>
      <c r="Z291" s="153">
        <v>3</v>
      </c>
      <c r="AA291" s="153">
        <v>3</v>
      </c>
      <c r="AB291" s="153">
        <v>4</v>
      </c>
      <c r="AC291" s="153">
        <v>5</v>
      </c>
      <c r="AD291" s="170">
        <v>2</v>
      </c>
      <c r="AE291" s="169">
        <v>2</v>
      </c>
      <c r="AF291" s="153">
        <v>2</v>
      </c>
      <c r="AG291" s="153">
        <v>1</v>
      </c>
      <c r="AH291" s="153">
        <v>1</v>
      </c>
      <c r="AI291" s="153">
        <v>3</v>
      </c>
      <c r="AJ291" s="153">
        <v>4</v>
      </c>
      <c r="AK291" s="153">
        <v>0</v>
      </c>
      <c r="AL291" s="153">
        <v>2</v>
      </c>
      <c r="AM291" s="153">
        <v>3</v>
      </c>
      <c r="AN291" s="153">
        <v>4</v>
      </c>
      <c r="AO291" s="153">
        <v>4</v>
      </c>
      <c r="AP291" s="153">
        <v>2</v>
      </c>
      <c r="AQ291" s="151"/>
      <c r="AR291" s="96">
        <f t="shared" si="32"/>
        <v>28</v>
      </c>
      <c r="AS291" s="96">
        <f t="shared" si="33"/>
        <v>28</v>
      </c>
    </row>
    <row r="292" spans="2:45" ht="15.75" customHeight="1">
      <c r="B292" s="168" t="s">
        <v>390</v>
      </c>
      <c r="C292" s="116" t="s">
        <v>365</v>
      </c>
      <c r="D292" s="120">
        <v>1</v>
      </c>
      <c r="E292" s="116" t="s">
        <v>348</v>
      </c>
      <c r="F292" s="119" t="s">
        <v>363</v>
      </c>
      <c r="G292" s="153">
        <v>0</v>
      </c>
      <c r="H292" s="153">
        <v>0</v>
      </c>
      <c r="I292" s="153">
        <v>1</v>
      </c>
      <c r="J292" s="153">
        <v>2</v>
      </c>
      <c r="K292" s="153">
        <v>4</v>
      </c>
      <c r="L292" s="153">
        <v>2</v>
      </c>
      <c r="M292" s="153">
        <v>1</v>
      </c>
      <c r="N292" s="153">
        <v>4</v>
      </c>
      <c r="O292" s="153">
        <v>5</v>
      </c>
      <c r="P292" s="153">
        <v>4</v>
      </c>
      <c r="Q292" s="153">
        <v>3</v>
      </c>
      <c r="R292" s="153">
        <v>3</v>
      </c>
      <c r="S292" s="169">
        <v>2</v>
      </c>
      <c r="T292" s="153">
        <v>2</v>
      </c>
      <c r="U292" s="153">
        <v>5</v>
      </c>
      <c r="V292" s="153">
        <v>4</v>
      </c>
      <c r="W292" s="153">
        <v>3</v>
      </c>
      <c r="X292" s="153">
        <v>5</v>
      </c>
      <c r="Y292" s="153">
        <v>3</v>
      </c>
      <c r="Z292" s="153">
        <v>5</v>
      </c>
      <c r="AA292" s="153">
        <v>4</v>
      </c>
      <c r="AB292" s="153">
        <v>4</v>
      </c>
      <c r="AC292" s="153">
        <v>5</v>
      </c>
      <c r="AD292" s="170">
        <v>3</v>
      </c>
      <c r="AE292" s="169">
        <v>3</v>
      </c>
      <c r="AF292" s="153">
        <v>2</v>
      </c>
      <c r="AG292" s="153">
        <v>5</v>
      </c>
      <c r="AH292" s="153">
        <v>4</v>
      </c>
      <c r="AI292" s="153">
        <v>5</v>
      </c>
      <c r="AJ292" s="153">
        <v>4</v>
      </c>
      <c r="AK292" s="153">
        <v>2</v>
      </c>
      <c r="AL292" s="153">
        <v>2</v>
      </c>
      <c r="AM292" s="153">
        <v>4</v>
      </c>
      <c r="AN292" s="153">
        <v>4</v>
      </c>
      <c r="AO292" s="153">
        <v>5</v>
      </c>
      <c r="AP292" s="153">
        <v>3</v>
      </c>
      <c r="AQ292" s="151"/>
      <c r="AR292" s="96">
        <f t="shared" si="32"/>
        <v>45</v>
      </c>
      <c r="AS292" s="96">
        <f t="shared" si="33"/>
        <v>43</v>
      </c>
    </row>
    <row r="293" spans="2:45" ht="15.75" customHeight="1">
      <c r="B293" s="168" t="s">
        <v>390</v>
      </c>
      <c r="C293" s="116" t="s">
        <v>366</v>
      </c>
      <c r="D293" s="120">
        <v>1</v>
      </c>
      <c r="E293" s="116" t="s">
        <v>348</v>
      </c>
      <c r="F293" s="119" t="s">
        <v>363</v>
      </c>
      <c r="G293" s="153">
        <v>0</v>
      </c>
      <c r="H293" s="153">
        <v>0</v>
      </c>
      <c r="I293" s="153">
        <v>0</v>
      </c>
      <c r="J293" s="153">
        <v>0</v>
      </c>
      <c r="K293" s="153">
        <v>0</v>
      </c>
      <c r="L293" s="153">
        <v>0</v>
      </c>
      <c r="M293" s="153">
        <v>0</v>
      </c>
      <c r="N293" s="153">
        <v>0</v>
      </c>
      <c r="O293" s="153">
        <v>1</v>
      </c>
      <c r="P293" s="153">
        <v>0</v>
      </c>
      <c r="Q293" s="153">
        <v>1</v>
      </c>
      <c r="R293" s="153">
        <v>0</v>
      </c>
      <c r="S293" s="169">
        <v>1</v>
      </c>
      <c r="T293" s="153">
        <v>1</v>
      </c>
      <c r="U293" s="153">
        <v>2</v>
      </c>
      <c r="V293" s="153">
        <v>2</v>
      </c>
      <c r="W293" s="153">
        <v>3</v>
      </c>
      <c r="X293" s="153">
        <v>3</v>
      </c>
      <c r="Y293" s="153">
        <v>1</v>
      </c>
      <c r="Z293" s="153">
        <v>3</v>
      </c>
      <c r="AA293" s="153">
        <v>3</v>
      </c>
      <c r="AB293" s="153">
        <v>4</v>
      </c>
      <c r="AC293" s="153">
        <v>3</v>
      </c>
      <c r="AD293" s="170">
        <v>3</v>
      </c>
      <c r="AE293" s="169">
        <v>2</v>
      </c>
      <c r="AF293" s="153">
        <v>1</v>
      </c>
      <c r="AG293" s="153">
        <v>1</v>
      </c>
      <c r="AH293" s="153">
        <v>3</v>
      </c>
      <c r="AI293" s="153">
        <v>2</v>
      </c>
      <c r="AJ293" s="153">
        <v>2</v>
      </c>
      <c r="AK293" s="153">
        <v>1</v>
      </c>
      <c r="AL293" s="153">
        <v>0</v>
      </c>
      <c r="AM293" s="153">
        <v>2</v>
      </c>
      <c r="AN293" s="153">
        <v>4</v>
      </c>
      <c r="AO293" s="153">
        <v>0</v>
      </c>
      <c r="AP293" s="153">
        <v>2</v>
      </c>
      <c r="AQ293" s="151"/>
      <c r="AR293" s="96">
        <f t="shared" si="32"/>
        <v>29</v>
      </c>
      <c r="AS293" s="96">
        <f t="shared" si="33"/>
        <v>20</v>
      </c>
    </row>
    <row r="294" spans="2:45" ht="15.75" customHeight="1">
      <c r="B294" s="168" t="s">
        <v>390</v>
      </c>
      <c r="C294" s="116" t="s">
        <v>367</v>
      </c>
      <c r="D294" s="120">
        <v>1</v>
      </c>
      <c r="E294" s="116" t="s">
        <v>348</v>
      </c>
      <c r="F294" s="119" t="s">
        <v>363</v>
      </c>
      <c r="G294" s="153">
        <v>2</v>
      </c>
      <c r="H294" s="153">
        <v>1</v>
      </c>
      <c r="I294" s="153">
        <v>1</v>
      </c>
      <c r="J294" s="153">
        <v>2</v>
      </c>
      <c r="K294" s="153">
        <v>2</v>
      </c>
      <c r="L294" s="153">
        <v>0</v>
      </c>
      <c r="M294" s="153">
        <v>1</v>
      </c>
      <c r="N294" s="153">
        <v>2</v>
      </c>
      <c r="O294" s="153">
        <v>5</v>
      </c>
      <c r="P294" s="153">
        <v>3</v>
      </c>
      <c r="Q294" s="153">
        <v>2</v>
      </c>
      <c r="R294" s="153">
        <v>1</v>
      </c>
      <c r="S294" s="169">
        <v>4</v>
      </c>
      <c r="T294" s="153">
        <v>2</v>
      </c>
      <c r="U294" s="153">
        <v>1</v>
      </c>
      <c r="V294" s="153">
        <v>3</v>
      </c>
      <c r="W294" s="153">
        <v>2</v>
      </c>
      <c r="X294" s="153">
        <v>1</v>
      </c>
      <c r="Y294" s="153">
        <v>0</v>
      </c>
      <c r="Z294" s="153">
        <v>3</v>
      </c>
      <c r="AA294" s="153">
        <v>1</v>
      </c>
      <c r="AB294" s="153">
        <v>4</v>
      </c>
      <c r="AC294" s="153">
        <v>2</v>
      </c>
      <c r="AD294" s="170">
        <v>1</v>
      </c>
      <c r="AE294" s="169">
        <v>3</v>
      </c>
      <c r="AF294" s="153">
        <v>0</v>
      </c>
      <c r="AG294" s="153">
        <v>1</v>
      </c>
      <c r="AH294" s="153">
        <v>1</v>
      </c>
      <c r="AI294" s="153">
        <v>2</v>
      </c>
      <c r="AJ294" s="153">
        <v>2</v>
      </c>
      <c r="AK294" s="153">
        <v>1</v>
      </c>
      <c r="AL294" s="153">
        <v>1</v>
      </c>
      <c r="AM294" s="153">
        <v>1</v>
      </c>
      <c r="AN294" s="153">
        <v>2</v>
      </c>
      <c r="AO294" s="153">
        <v>4</v>
      </c>
      <c r="AP294" s="153">
        <v>1</v>
      </c>
      <c r="AQ294" s="151"/>
      <c r="AR294" s="96">
        <f t="shared" si="32"/>
        <v>24</v>
      </c>
      <c r="AS294" s="96">
        <f t="shared" si="33"/>
        <v>19</v>
      </c>
    </row>
    <row r="295" spans="2:45" ht="15.75" customHeight="1">
      <c r="B295" s="168" t="s">
        <v>390</v>
      </c>
      <c r="C295" s="116" t="s">
        <v>368</v>
      </c>
      <c r="D295" s="120">
        <v>2</v>
      </c>
      <c r="E295" s="116" t="s">
        <v>369</v>
      </c>
      <c r="F295" s="119" t="s">
        <v>369</v>
      </c>
      <c r="G295" s="153">
        <v>1</v>
      </c>
      <c r="H295" s="153">
        <v>1</v>
      </c>
      <c r="I295" s="153">
        <v>6</v>
      </c>
      <c r="J295" s="153">
        <v>4</v>
      </c>
      <c r="K295" s="153">
        <v>3</v>
      </c>
      <c r="L295" s="153">
        <v>3</v>
      </c>
      <c r="M295" s="153">
        <v>0</v>
      </c>
      <c r="N295" s="153">
        <v>0</v>
      </c>
      <c r="O295" s="153">
        <v>5</v>
      </c>
      <c r="P295" s="153">
        <v>6</v>
      </c>
      <c r="Q295" s="153">
        <v>6</v>
      </c>
      <c r="R295" s="153">
        <v>5</v>
      </c>
      <c r="S295" s="169">
        <v>1</v>
      </c>
      <c r="T295" s="153">
        <v>2</v>
      </c>
      <c r="U295" s="153">
        <v>6</v>
      </c>
      <c r="V295" s="153">
        <v>7</v>
      </c>
      <c r="W295" s="153">
        <v>5</v>
      </c>
      <c r="X295" s="153">
        <v>3</v>
      </c>
      <c r="Y295" s="153">
        <v>0</v>
      </c>
      <c r="Z295" s="153">
        <v>0</v>
      </c>
      <c r="AA295" s="153">
        <v>2</v>
      </c>
      <c r="AB295" s="153">
        <v>7</v>
      </c>
      <c r="AC295" s="153">
        <v>8</v>
      </c>
      <c r="AD295" s="170">
        <v>2</v>
      </c>
      <c r="AE295" s="169">
        <v>0</v>
      </c>
      <c r="AF295" s="153">
        <v>0</v>
      </c>
      <c r="AG295" s="153">
        <v>5</v>
      </c>
      <c r="AH295" s="153">
        <v>4</v>
      </c>
      <c r="AI295" s="153">
        <v>5</v>
      </c>
      <c r="AJ295" s="153">
        <v>0</v>
      </c>
      <c r="AK295" s="153">
        <v>2</v>
      </c>
      <c r="AL295" s="153">
        <v>2</v>
      </c>
      <c r="AM295" s="153">
        <v>5</v>
      </c>
      <c r="AN295" s="153">
        <v>7</v>
      </c>
      <c r="AO295" s="153">
        <v>8</v>
      </c>
      <c r="AP295" s="153">
        <v>4</v>
      </c>
      <c r="AQ295" s="151"/>
      <c r="AR295" s="96">
        <f t="shared" si="32"/>
        <v>43</v>
      </c>
      <c r="AS295" s="96">
        <f t="shared" si="33"/>
        <v>42</v>
      </c>
    </row>
    <row r="296" spans="2:45" ht="15.75" customHeight="1">
      <c r="B296" s="168" t="s">
        <v>390</v>
      </c>
      <c r="C296" s="116" t="s">
        <v>451</v>
      </c>
      <c r="D296" s="120">
        <v>1</v>
      </c>
      <c r="E296" s="116" t="s">
        <v>369</v>
      </c>
      <c r="F296" s="119" t="s">
        <v>369</v>
      </c>
      <c r="G296" s="153">
        <v>2</v>
      </c>
      <c r="H296" s="153">
        <v>2</v>
      </c>
      <c r="I296" s="153">
        <v>3</v>
      </c>
      <c r="J296" s="153">
        <v>3</v>
      </c>
      <c r="K296" s="153">
        <v>3</v>
      </c>
      <c r="L296" s="153">
        <v>3</v>
      </c>
      <c r="M296" s="153">
        <v>3</v>
      </c>
      <c r="N296" s="153">
        <v>3</v>
      </c>
      <c r="O296" s="153">
        <v>5</v>
      </c>
      <c r="P296" s="153">
        <v>4</v>
      </c>
      <c r="Q296" s="153">
        <v>3</v>
      </c>
      <c r="R296" s="153">
        <v>4</v>
      </c>
      <c r="S296" s="169">
        <v>1</v>
      </c>
      <c r="T296" s="153">
        <v>1</v>
      </c>
      <c r="U296" s="153">
        <v>3</v>
      </c>
      <c r="V296" s="153">
        <v>4</v>
      </c>
      <c r="W296" s="153">
        <v>3</v>
      </c>
      <c r="X296" s="153">
        <v>5</v>
      </c>
      <c r="Y296" s="153">
        <v>2</v>
      </c>
      <c r="Z296" s="153">
        <v>2</v>
      </c>
      <c r="AA296" s="153">
        <v>4</v>
      </c>
      <c r="AB296" s="153">
        <v>4</v>
      </c>
      <c r="AC296" s="153">
        <v>5</v>
      </c>
      <c r="AD296" s="170">
        <v>3</v>
      </c>
      <c r="AE296" s="169">
        <v>0</v>
      </c>
      <c r="AF296" s="153">
        <v>1</v>
      </c>
      <c r="AG296" s="153">
        <v>4</v>
      </c>
      <c r="AH296" s="153">
        <v>4</v>
      </c>
      <c r="AI296" s="153">
        <v>2</v>
      </c>
      <c r="AJ296" s="153">
        <v>2</v>
      </c>
      <c r="AK296" s="153">
        <v>3</v>
      </c>
      <c r="AL296" s="153">
        <v>1</v>
      </c>
      <c r="AM296" s="153">
        <v>2</v>
      </c>
      <c r="AN296" s="153">
        <v>3</v>
      </c>
      <c r="AO296" s="153">
        <v>4</v>
      </c>
      <c r="AP296" s="153">
        <v>0</v>
      </c>
      <c r="AQ296" s="151"/>
      <c r="AR296" s="96">
        <f t="shared" ref="AR296:AR359" si="34">SUM(S296:AD296)</f>
        <v>37</v>
      </c>
      <c r="AS296" s="96">
        <f t="shared" si="33"/>
        <v>26</v>
      </c>
    </row>
    <row r="297" spans="2:45" ht="15.75" customHeight="1">
      <c r="B297" s="168" t="s">
        <v>390</v>
      </c>
      <c r="C297" s="116" t="s">
        <v>371</v>
      </c>
      <c r="D297" s="120">
        <v>2</v>
      </c>
      <c r="E297" s="116" t="s">
        <v>369</v>
      </c>
      <c r="F297" s="119" t="s">
        <v>369</v>
      </c>
      <c r="G297" s="153">
        <v>0</v>
      </c>
      <c r="H297" s="153">
        <v>0</v>
      </c>
      <c r="I297" s="153">
        <v>0</v>
      </c>
      <c r="J297" s="153">
        <v>0</v>
      </c>
      <c r="K297" s="153">
        <v>0</v>
      </c>
      <c r="L297" s="153">
        <v>0</v>
      </c>
      <c r="M297" s="153">
        <v>0</v>
      </c>
      <c r="N297" s="153">
        <v>0</v>
      </c>
      <c r="O297" s="153">
        <v>0</v>
      </c>
      <c r="P297" s="153">
        <v>0</v>
      </c>
      <c r="Q297" s="153">
        <v>0</v>
      </c>
      <c r="R297" s="153">
        <v>0</v>
      </c>
      <c r="S297" s="169">
        <v>0</v>
      </c>
      <c r="T297" s="153">
        <v>0</v>
      </c>
      <c r="U297" s="153">
        <v>0</v>
      </c>
      <c r="V297" s="153">
        <v>0</v>
      </c>
      <c r="W297" s="153">
        <v>0</v>
      </c>
      <c r="X297" s="153">
        <v>0</v>
      </c>
      <c r="Y297" s="153">
        <v>0</v>
      </c>
      <c r="Z297" s="153">
        <v>0</v>
      </c>
      <c r="AA297" s="153">
        <v>0</v>
      </c>
      <c r="AB297" s="153">
        <v>0</v>
      </c>
      <c r="AC297" s="153">
        <v>0</v>
      </c>
      <c r="AD297" s="170">
        <v>0</v>
      </c>
      <c r="AE297" s="169">
        <v>0</v>
      </c>
      <c r="AF297" s="153">
        <v>0</v>
      </c>
      <c r="AG297" s="153">
        <v>0</v>
      </c>
      <c r="AH297" s="153">
        <v>0</v>
      </c>
      <c r="AI297" s="153">
        <v>0</v>
      </c>
      <c r="AJ297" s="153">
        <v>0</v>
      </c>
      <c r="AK297" s="153">
        <v>0</v>
      </c>
      <c r="AL297" s="153">
        <v>0</v>
      </c>
      <c r="AM297" s="153">
        <v>0</v>
      </c>
      <c r="AN297" s="153">
        <v>0</v>
      </c>
      <c r="AO297" s="153">
        <v>0</v>
      </c>
      <c r="AP297" s="153">
        <v>0</v>
      </c>
      <c r="AQ297" s="151"/>
      <c r="AR297" s="96">
        <f t="shared" si="34"/>
        <v>0</v>
      </c>
      <c r="AS297" s="96">
        <f t="shared" ref="AS297:AS360" si="35">SUM(AE297:AP297)</f>
        <v>0</v>
      </c>
    </row>
    <row r="298" spans="2:45" ht="15.75" customHeight="1">
      <c r="B298" s="168" t="s">
        <v>390</v>
      </c>
      <c r="C298" s="116" t="s">
        <v>372</v>
      </c>
      <c r="D298" s="120">
        <v>1</v>
      </c>
      <c r="E298" s="116" t="s">
        <v>369</v>
      </c>
      <c r="F298" s="119" t="s">
        <v>369</v>
      </c>
      <c r="G298" s="153">
        <v>1</v>
      </c>
      <c r="H298" s="153">
        <v>1</v>
      </c>
      <c r="I298" s="153">
        <v>2</v>
      </c>
      <c r="J298" s="153">
        <v>2</v>
      </c>
      <c r="K298" s="153">
        <v>2</v>
      </c>
      <c r="L298" s="153">
        <v>2</v>
      </c>
      <c r="M298" s="153">
        <v>3</v>
      </c>
      <c r="N298" s="153">
        <v>1</v>
      </c>
      <c r="O298" s="153">
        <v>3</v>
      </c>
      <c r="P298" s="153">
        <v>3</v>
      </c>
      <c r="Q298" s="153">
        <v>3</v>
      </c>
      <c r="R298" s="153">
        <v>3</v>
      </c>
      <c r="S298" s="169">
        <v>0</v>
      </c>
      <c r="T298" s="153">
        <v>2</v>
      </c>
      <c r="U298" s="153">
        <v>3</v>
      </c>
      <c r="V298" s="153">
        <v>2</v>
      </c>
      <c r="W298" s="153">
        <v>2</v>
      </c>
      <c r="X298" s="153">
        <v>2</v>
      </c>
      <c r="Y298" s="153">
        <v>0</v>
      </c>
      <c r="Z298" s="153">
        <v>1</v>
      </c>
      <c r="AA298" s="153">
        <v>2</v>
      </c>
      <c r="AB298" s="153">
        <v>4</v>
      </c>
      <c r="AC298" s="153">
        <v>4</v>
      </c>
      <c r="AD298" s="170">
        <v>1</v>
      </c>
      <c r="AE298" s="169">
        <v>3</v>
      </c>
      <c r="AF298" s="153">
        <v>2</v>
      </c>
      <c r="AG298" s="153">
        <v>1</v>
      </c>
      <c r="AH298" s="153">
        <v>0</v>
      </c>
      <c r="AI298" s="153">
        <v>2</v>
      </c>
      <c r="AJ298" s="153">
        <v>0</v>
      </c>
      <c r="AK298" s="153">
        <v>2</v>
      </c>
      <c r="AL298" s="153">
        <v>0</v>
      </c>
      <c r="AM298" s="153">
        <v>1</v>
      </c>
      <c r="AN298" s="153">
        <v>3</v>
      </c>
      <c r="AO298" s="153">
        <v>1</v>
      </c>
      <c r="AP298" s="153">
        <v>2</v>
      </c>
      <c r="AQ298" s="151"/>
      <c r="AR298" s="96">
        <f t="shared" si="34"/>
        <v>23</v>
      </c>
      <c r="AS298" s="96">
        <f t="shared" si="35"/>
        <v>17</v>
      </c>
    </row>
    <row r="299" spans="2:45" ht="15.75" customHeight="1">
      <c r="B299" s="168" t="s">
        <v>390</v>
      </c>
      <c r="C299" s="116" t="s">
        <v>373</v>
      </c>
      <c r="D299" s="120">
        <v>1</v>
      </c>
      <c r="E299" s="116" t="s">
        <v>369</v>
      </c>
      <c r="F299" s="119" t="s">
        <v>369</v>
      </c>
      <c r="G299" s="153">
        <v>0</v>
      </c>
      <c r="H299" s="153">
        <v>2</v>
      </c>
      <c r="I299" s="153">
        <v>4</v>
      </c>
      <c r="J299" s="153">
        <v>3</v>
      </c>
      <c r="K299" s="153">
        <v>2</v>
      </c>
      <c r="L299" s="153">
        <v>3</v>
      </c>
      <c r="M299" s="153">
        <v>3</v>
      </c>
      <c r="N299" s="153">
        <v>3</v>
      </c>
      <c r="O299" s="153">
        <v>5</v>
      </c>
      <c r="P299" s="153">
        <v>4</v>
      </c>
      <c r="Q299" s="153">
        <v>4</v>
      </c>
      <c r="R299" s="153">
        <v>2</v>
      </c>
      <c r="S299" s="169">
        <v>0</v>
      </c>
      <c r="T299" s="153">
        <v>0</v>
      </c>
      <c r="U299" s="153">
        <v>0</v>
      </c>
      <c r="V299" s="153">
        <v>2</v>
      </c>
      <c r="W299" s="153">
        <v>2</v>
      </c>
      <c r="X299" s="153">
        <v>3</v>
      </c>
      <c r="Y299" s="153">
        <v>2</v>
      </c>
      <c r="Z299" s="153">
        <v>0</v>
      </c>
      <c r="AA299" s="153">
        <v>3</v>
      </c>
      <c r="AB299" s="153">
        <v>4</v>
      </c>
      <c r="AC299" s="153">
        <v>5</v>
      </c>
      <c r="AD299" s="170">
        <v>2</v>
      </c>
      <c r="AE299" s="169">
        <v>1</v>
      </c>
      <c r="AF299" s="153">
        <v>0</v>
      </c>
      <c r="AG299" s="153">
        <v>3</v>
      </c>
      <c r="AH299" s="153">
        <v>4</v>
      </c>
      <c r="AI299" s="153">
        <v>2</v>
      </c>
      <c r="AJ299" s="153">
        <v>1</v>
      </c>
      <c r="AK299" s="153">
        <v>1</v>
      </c>
      <c r="AL299" s="153">
        <v>0</v>
      </c>
      <c r="AM299" s="153">
        <v>2</v>
      </c>
      <c r="AN299" s="153">
        <v>1</v>
      </c>
      <c r="AO299" s="153">
        <v>2</v>
      </c>
      <c r="AP299" s="153">
        <v>2</v>
      </c>
      <c r="AQ299" s="151"/>
      <c r="AR299" s="96">
        <f t="shared" si="34"/>
        <v>23</v>
      </c>
      <c r="AS299" s="96">
        <f t="shared" si="35"/>
        <v>19</v>
      </c>
    </row>
    <row r="300" spans="2:45" ht="15.75" customHeight="1">
      <c r="B300" s="168" t="s">
        <v>390</v>
      </c>
      <c r="C300" s="116" t="s">
        <v>374</v>
      </c>
      <c r="D300" s="120">
        <v>2</v>
      </c>
      <c r="E300" s="116" t="s">
        <v>369</v>
      </c>
      <c r="F300" s="119" t="s">
        <v>369</v>
      </c>
      <c r="G300" s="153">
        <v>1</v>
      </c>
      <c r="H300" s="153">
        <v>0</v>
      </c>
      <c r="I300" s="153">
        <v>7</v>
      </c>
      <c r="J300" s="153">
        <v>5</v>
      </c>
      <c r="K300" s="153">
        <v>4</v>
      </c>
      <c r="L300" s="153">
        <v>1</v>
      </c>
      <c r="M300" s="153">
        <v>0</v>
      </c>
      <c r="N300" s="153">
        <v>1</v>
      </c>
      <c r="O300" s="153">
        <v>5</v>
      </c>
      <c r="P300" s="153">
        <v>8</v>
      </c>
      <c r="Q300" s="153">
        <v>4</v>
      </c>
      <c r="R300" s="153">
        <v>3</v>
      </c>
      <c r="S300" s="169">
        <v>0</v>
      </c>
      <c r="T300" s="153">
        <v>1</v>
      </c>
      <c r="U300" s="153">
        <v>2</v>
      </c>
      <c r="V300" s="153">
        <v>3</v>
      </c>
      <c r="W300" s="153">
        <v>2</v>
      </c>
      <c r="X300" s="153">
        <v>4</v>
      </c>
      <c r="Y300" s="153">
        <v>2</v>
      </c>
      <c r="Z300" s="153">
        <v>2</v>
      </c>
      <c r="AA300" s="153">
        <v>4</v>
      </c>
      <c r="AB300" s="153">
        <v>8</v>
      </c>
      <c r="AC300" s="153">
        <v>7</v>
      </c>
      <c r="AD300" s="170">
        <v>5</v>
      </c>
      <c r="AE300" s="169">
        <v>0</v>
      </c>
      <c r="AF300" s="153">
        <v>2</v>
      </c>
      <c r="AG300" s="153">
        <v>3</v>
      </c>
      <c r="AH300" s="153">
        <v>3</v>
      </c>
      <c r="AI300" s="153">
        <v>2</v>
      </c>
      <c r="AJ300" s="153">
        <v>1</v>
      </c>
      <c r="AK300" s="153">
        <v>0</v>
      </c>
      <c r="AL300" s="153">
        <v>1</v>
      </c>
      <c r="AM300" s="153">
        <v>3</v>
      </c>
      <c r="AN300" s="153">
        <v>5</v>
      </c>
      <c r="AO300" s="153">
        <v>7</v>
      </c>
      <c r="AP300" s="153">
        <v>3</v>
      </c>
      <c r="AQ300" s="151"/>
      <c r="AR300" s="96">
        <f t="shared" si="34"/>
        <v>40</v>
      </c>
      <c r="AS300" s="96">
        <f t="shared" si="35"/>
        <v>30</v>
      </c>
    </row>
    <row r="301" spans="2:45" ht="15.75" customHeight="1">
      <c r="B301" s="168" t="s">
        <v>390</v>
      </c>
      <c r="C301" s="116" t="s">
        <v>375</v>
      </c>
      <c r="D301" s="120">
        <v>1</v>
      </c>
      <c r="E301" s="116" t="s">
        <v>369</v>
      </c>
      <c r="F301" s="119" t="s">
        <v>369</v>
      </c>
      <c r="G301" s="153">
        <v>0</v>
      </c>
      <c r="H301" s="153">
        <v>0</v>
      </c>
      <c r="I301" s="153">
        <v>0</v>
      </c>
      <c r="J301" s="153">
        <v>0</v>
      </c>
      <c r="K301" s="153">
        <v>0</v>
      </c>
      <c r="L301" s="153">
        <v>0</v>
      </c>
      <c r="M301" s="153">
        <v>0</v>
      </c>
      <c r="N301" s="153">
        <v>0</v>
      </c>
      <c r="O301" s="153">
        <v>0</v>
      </c>
      <c r="P301" s="153">
        <v>0</v>
      </c>
      <c r="Q301" s="153">
        <v>1</v>
      </c>
      <c r="R301" s="153">
        <v>0</v>
      </c>
      <c r="S301" s="169">
        <v>0</v>
      </c>
      <c r="T301" s="153">
        <v>0</v>
      </c>
      <c r="U301" s="153">
        <v>0</v>
      </c>
      <c r="V301" s="153">
        <v>2</v>
      </c>
      <c r="W301" s="153">
        <v>0</v>
      </c>
      <c r="X301" s="153">
        <v>0</v>
      </c>
      <c r="Y301" s="153">
        <v>0</v>
      </c>
      <c r="Z301" s="153">
        <v>0</v>
      </c>
      <c r="AA301" s="153">
        <v>0</v>
      </c>
      <c r="AB301" s="153">
        <v>2</v>
      </c>
      <c r="AC301" s="153">
        <v>2</v>
      </c>
      <c r="AD301" s="170">
        <v>1</v>
      </c>
      <c r="AE301" s="169">
        <v>1</v>
      </c>
      <c r="AF301" s="153">
        <v>0</v>
      </c>
      <c r="AG301" s="153">
        <v>4</v>
      </c>
      <c r="AH301" s="153">
        <v>2</v>
      </c>
      <c r="AI301" s="153">
        <v>4</v>
      </c>
      <c r="AJ301" s="153">
        <v>1</v>
      </c>
      <c r="AK301" s="153">
        <v>1</v>
      </c>
      <c r="AL301" s="153">
        <v>1</v>
      </c>
      <c r="AM301" s="153">
        <v>1</v>
      </c>
      <c r="AN301" s="153">
        <v>1</v>
      </c>
      <c r="AO301" s="153">
        <v>4</v>
      </c>
      <c r="AP301" s="153">
        <v>0</v>
      </c>
      <c r="AQ301" s="151"/>
      <c r="AR301" s="96">
        <f t="shared" si="34"/>
        <v>7</v>
      </c>
      <c r="AS301" s="96">
        <f t="shared" si="35"/>
        <v>20</v>
      </c>
    </row>
    <row r="302" spans="2:45" ht="15.75" customHeight="1">
      <c r="B302" s="168" t="s">
        <v>390</v>
      </c>
      <c r="C302" s="116" t="s">
        <v>376</v>
      </c>
      <c r="D302" s="120">
        <v>1</v>
      </c>
      <c r="E302" s="116" t="s">
        <v>377</v>
      </c>
      <c r="F302" s="119" t="s">
        <v>377</v>
      </c>
      <c r="G302" s="153">
        <v>2</v>
      </c>
      <c r="H302" s="153">
        <v>2</v>
      </c>
      <c r="I302" s="153">
        <v>4</v>
      </c>
      <c r="J302" s="153">
        <v>5</v>
      </c>
      <c r="K302" s="153">
        <v>2</v>
      </c>
      <c r="L302" s="153">
        <v>1</v>
      </c>
      <c r="M302" s="153">
        <v>1</v>
      </c>
      <c r="N302" s="153">
        <v>3</v>
      </c>
      <c r="O302" s="153">
        <v>4</v>
      </c>
      <c r="P302" s="153">
        <v>4</v>
      </c>
      <c r="Q302" s="153">
        <v>3</v>
      </c>
      <c r="R302" s="153">
        <v>3</v>
      </c>
      <c r="S302" s="169">
        <v>2</v>
      </c>
      <c r="T302" s="153">
        <v>4</v>
      </c>
      <c r="U302" s="153">
        <v>4</v>
      </c>
      <c r="V302" s="153">
        <v>3</v>
      </c>
      <c r="W302" s="153">
        <v>4</v>
      </c>
      <c r="X302" s="153">
        <v>1</v>
      </c>
      <c r="Y302" s="153">
        <v>3</v>
      </c>
      <c r="Z302" s="153">
        <v>3</v>
      </c>
      <c r="AA302" s="153">
        <v>0</v>
      </c>
      <c r="AB302" s="153">
        <v>3</v>
      </c>
      <c r="AC302" s="153">
        <v>4</v>
      </c>
      <c r="AD302" s="170">
        <v>1</v>
      </c>
      <c r="AE302" s="169">
        <v>0</v>
      </c>
      <c r="AF302" s="153">
        <v>3</v>
      </c>
      <c r="AG302" s="153">
        <v>5</v>
      </c>
      <c r="AH302" s="153">
        <v>3</v>
      </c>
      <c r="AI302" s="153">
        <v>5</v>
      </c>
      <c r="AJ302" s="153">
        <v>4</v>
      </c>
      <c r="AK302" s="153">
        <v>2</v>
      </c>
      <c r="AL302" s="153">
        <v>4</v>
      </c>
      <c r="AM302" s="153">
        <v>3</v>
      </c>
      <c r="AN302" s="153">
        <v>4</v>
      </c>
      <c r="AO302" s="153">
        <v>4</v>
      </c>
      <c r="AP302" s="153">
        <v>3</v>
      </c>
      <c r="AQ302" s="151"/>
      <c r="AR302" s="96">
        <f t="shared" si="34"/>
        <v>32</v>
      </c>
      <c r="AS302" s="96">
        <f t="shared" si="35"/>
        <v>40</v>
      </c>
    </row>
    <row r="303" spans="2:45" ht="15.75" customHeight="1">
      <c r="B303" s="168" t="s">
        <v>390</v>
      </c>
      <c r="C303" s="116" t="s">
        <v>378</v>
      </c>
      <c r="D303" s="120">
        <v>1</v>
      </c>
      <c r="E303" s="116" t="s">
        <v>377</v>
      </c>
      <c r="F303" s="119" t="s">
        <v>377</v>
      </c>
      <c r="G303" s="153">
        <v>2</v>
      </c>
      <c r="H303" s="153">
        <v>2</v>
      </c>
      <c r="I303" s="153">
        <v>4</v>
      </c>
      <c r="J303" s="153">
        <v>4</v>
      </c>
      <c r="K303" s="153">
        <v>3</v>
      </c>
      <c r="L303" s="153">
        <v>3</v>
      </c>
      <c r="M303" s="153">
        <v>2</v>
      </c>
      <c r="N303" s="153">
        <v>1</v>
      </c>
      <c r="O303" s="153">
        <v>4</v>
      </c>
      <c r="P303" s="153">
        <v>4</v>
      </c>
      <c r="Q303" s="153">
        <v>3</v>
      </c>
      <c r="R303" s="153">
        <v>4</v>
      </c>
      <c r="S303" s="169">
        <v>4</v>
      </c>
      <c r="T303" s="153">
        <v>4</v>
      </c>
      <c r="U303" s="153">
        <v>2</v>
      </c>
      <c r="V303" s="153">
        <v>4</v>
      </c>
      <c r="W303" s="153">
        <v>2</v>
      </c>
      <c r="X303" s="153">
        <v>4</v>
      </c>
      <c r="Y303" s="153">
        <v>4</v>
      </c>
      <c r="Z303" s="153">
        <v>1</v>
      </c>
      <c r="AA303" s="153">
        <v>0</v>
      </c>
      <c r="AB303" s="153">
        <v>3</v>
      </c>
      <c r="AC303" s="153">
        <v>4</v>
      </c>
      <c r="AD303" s="170">
        <v>4</v>
      </c>
      <c r="AE303" s="169">
        <v>1</v>
      </c>
      <c r="AF303" s="153">
        <v>3</v>
      </c>
      <c r="AG303" s="153">
        <v>5</v>
      </c>
      <c r="AH303" s="153">
        <v>4</v>
      </c>
      <c r="AI303" s="153">
        <v>4</v>
      </c>
      <c r="AJ303" s="153">
        <v>3</v>
      </c>
      <c r="AK303" s="153">
        <v>1</v>
      </c>
      <c r="AL303" s="153">
        <v>2</v>
      </c>
      <c r="AM303" s="153">
        <v>3</v>
      </c>
      <c r="AN303" s="153">
        <v>4</v>
      </c>
      <c r="AO303" s="153">
        <v>5</v>
      </c>
      <c r="AP303" s="153">
        <v>3</v>
      </c>
      <c r="AQ303" s="151"/>
      <c r="AR303" s="96">
        <f t="shared" si="34"/>
        <v>36</v>
      </c>
      <c r="AS303" s="96">
        <f t="shared" si="35"/>
        <v>38</v>
      </c>
    </row>
    <row r="304" spans="2:45" ht="15.75" customHeight="1">
      <c r="B304" s="168" t="s">
        <v>390</v>
      </c>
      <c r="C304" s="116" t="s">
        <v>452</v>
      </c>
      <c r="D304" s="120">
        <v>1</v>
      </c>
      <c r="E304" s="116" t="s">
        <v>377</v>
      </c>
      <c r="F304" s="119" t="s">
        <v>377</v>
      </c>
      <c r="G304" s="153">
        <v>0</v>
      </c>
      <c r="H304" s="153">
        <v>0</v>
      </c>
      <c r="I304" s="153">
        <v>0</v>
      </c>
      <c r="J304" s="153">
        <v>0</v>
      </c>
      <c r="K304" s="153">
        <v>0</v>
      </c>
      <c r="L304" s="153">
        <v>0</v>
      </c>
      <c r="M304" s="153">
        <v>0</v>
      </c>
      <c r="N304" s="153">
        <v>0</v>
      </c>
      <c r="O304" s="153">
        <v>0</v>
      </c>
      <c r="P304" s="153">
        <v>0</v>
      </c>
      <c r="Q304" s="153">
        <v>0</v>
      </c>
      <c r="R304" s="153">
        <v>0</v>
      </c>
      <c r="S304" s="169">
        <v>0</v>
      </c>
      <c r="T304" s="153">
        <v>0</v>
      </c>
      <c r="U304" s="153">
        <v>0</v>
      </c>
      <c r="V304" s="153">
        <v>0</v>
      </c>
      <c r="W304" s="153">
        <v>0</v>
      </c>
      <c r="X304" s="153">
        <v>0</v>
      </c>
      <c r="Y304" s="153">
        <v>0</v>
      </c>
      <c r="Z304" s="153">
        <v>0</v>
      </c>
      <c r="AA304" s="153">
        <v>0</v>
      </c>
      <c r="AB304" s="153">
        <v>0</v>
      </c>
      <c r="AC304" s="153">
        <v>0</v>
      </c>
      <c r="AD304" s="170">
        <v>0</v>
      </c>
      <c r="AE304" s="169">
        <v>0</v>
      </c>
      <c r="AF304" s="153">
        <v>0</v>
      </c>
      <c r="AG304" s="153">
        <v>0</v>
      </c>
      <c r="AH304" s="153">
        <v>0</v>
      </c>
      <c r="AI304" s="153">
        <v>0</v>
      </c>
      <c r="AJ304" s="153">
        <v>0</v>
      </c>
      <c r="AK304" s="153">
        <v>0</v>
      </c>
      <c r="AL304" s="153">
        <v>0</v>
      </c>
      <c r="AM304" s="153">
        <v>3</v>
      </c>
      <c r="AN304" s="153">
        <v>4</v>
      </c>
      <c r="AO304" s="153">
        <v>5</v>
      </c>
      <c r="AP304" s="153">
        <v>3</v>
      </c>
      <c r="AQ304" s="151"/>
      <c r="AR304" s="96">
        <f t="shared" si="34"/>
        <v>0</v>
      </c>
      <c r="AS304" s="96">
        <f t="shared" si="35"/>
        <v>15</v>
      </c>
    </row>
    <row r="305" spans="1:45" ht="15.75" customHeight="1">
      <c r="B305" s="168" t="s">
        <v>390</v>
      </c>
      <c r="C305" s="116" t="s">
        <v>379</v>
      </c>
      <c r="D305" s="120">
        <v>1</v>
      </c>
      <c r="E305" s="116" t="s">
        <v>377</v>
      </c>
      <c r="F305" s="119" t="s">
        <v>377</v>
      </c>
      <c r="G305" s="153">
        <v>3</v>
      </c>
      <c r="H305" s="153">
        <v>4</v>
      </c>
      <c r="I305" s="153">
        <v>1</v>
      </c>
      <c r="J305" s="153">
        <v>4</v>
      </c>
      <c r="K305" s="153">
        <v>1</v>
      </c>
      <c r="L305" s="153">
        <v>3</v>
      </c>
      <c r="M305" s="153">
        <v>2</v>
      </c>
      <c r="N305" s="153">
        <v>2</v>
      </c>
      <c r="O305" s="153">
        <v>2</v>
      </c>
      <c r="P305" s="153">
        <v>4</v>
      </c>
      <c r="Q305" s="153">
        <v>3</v>
      </c>
      <c r="R305" s="153">
        <v>4</v>
      </c>
      <c r="S305" s="169">
        <v>2</v>
      </c>
      <c r="T305" s="153">
        <v>4</v>
      </c>
      <c r="U305" s="153">
        <v>4</v>
      </c>
      <c r="V305" s="153">
        <v>4</v>
      </c>
      <c r="W305" s="153">
        <v>0</v>
      </c>
      <c r="X305" s="153">
        <v>4</v>
      </c>
      <c r="Y305" s="153">
        <v>1</v>
      </c>
      <c r="Z305" s="153">
        <v>4</v>
      </c>
      <c r="AA305" s="153">
        <v>2</v>
      </c>
      <c r="AB305" s="153">
        <v>4</v>
      </c>
      <c r="AC305" s="153">
        <v>4</v>
      </c>
      <c r="AD305" s="170">
        <v>3</v>
      </c>
      <c r="AE305" s="169">
        <v>3</v>
      </c>
      <c r="AF305" s="153">
        <v>1</v>
      </c>
      <c r="AG305" s="153">
        <v>3</v>
      </c>
      <c r="AH305" s="153">
        <v>3</v>
      </c>
      <c r="AI305" s="153">
        <v>3</v>
      </c>
      <c r="AJ305" s="153">
        <v>1</v>
      </c>
      <c r="AK305" s="153">
        <v>0</v>
      </c>
      <c r="AL305" s="153">
        <v>2</v>
      </c>
      <c r="AM305" s="153">
        <v>0</v>
      </c>
      <c r="AN305" s="153">
        <v>4</v>
      </c>
      <c r="AO305" s="153">
        <v>2</v>
      </c>
      <c r="AP305" s="153">
        <v>0</v>
      </c>
      <c r="AQ305" s="151"/>
      <c r="AR305" s="96">
        <f t="shared" si="34"/>
        <v>36</v>
      </c>
      <c r="AS305" s="96">
        <f t="shared" si="35"/>
        <v>22</v>
      </c>
    </row>
    <row r="306" spans="1:45" ht="15.75" customHeight="1">
      <c r="B306" s="168" t="s">
        <v>390</v>
      </c>
      <c r="C306" s="116" t="s">
        <v>380</v>
      </c>
      <c r="D306" s="120">
        <v>1</v>
      </c>
      <c r="E306" s="116" t="s">
        <v>377</v>
      </c>
      <c r="F306" s="119" t="s">
        <v>377</v>
      </c>
      <c r="G306" s="153">
        <v>3</v>
      </c>
      <c r="H306" s="153">
        <v>2</v>
      </c>
      <c r="I306" s="153">
        <v>4</v>
      </c>
      <c r="J306" s="153">
        <v>5</v>
      </c>
      <c r="K306" s="153">
        <v>4</v>
      </c>
      <c r="L306" s="153">
        <v>3</v>
      </c>
      <c r="M306" s="153">
        <v>3</v>
      </c>
      <c r="N306" s="153">
        <v>4</v>
      </c>
      <c r="O306" s="153">
        <v>4</v>
      </c>
      <c r="P306" s="153">
        <v>4</v>
      </c>
      <c r="Q306" s="153">
        <v>3</v>
      </c>
      <c r="R306" s="153">
        <v>3</v>
      </c>
      <c r="S306" s="169">
        <v>0</v>
      </c>
      <c r="T306" s="153">
        <v>3</v>
      </c>
      <c r="U306" s="153">
        <v>4</v>
      </c>
      <c r="V306" s="153">
        <v>4</v>
      </c>
      <c r="W306" s="153">
        <v>3</v>
      </c>
      <c r="X306" s="153">
        <v>3</v>
      </c>
      <c r="Y306" s="153">
        <v>2</v>
      </c>
      <c r="Z306" s="153">
        <v>3</v>
      </c>
      <c r="AA306" s="153">
        <v>1</v>
      </c>
      <c r="AB306" s="153">
        <v>4</v>
      </c>
      <c r="AC306" s="153">
        <v>5</v>
      </c>
      <c r="AD306" s="170">
        <v>2</v>
      </c>
      <c r="AE306" s="169">
        <v>3</v>
      </c>
      <c r="AF306" s="153">
        <v>2</v>
      </c>
      <c r="AG306" s="153">
        <v>5</v>
      </c>
      <c r="AH306" s="153">
        <v>3</v>
      </c>
      <c r="AI306" s="153">
        <v>3</v>
      </c>
      <c r="AJ306" s="153">
        <v>2</v>
      </c>
      <c r="AK306" s="153">
        <v>1</v>
      </c>
      <c r="AL306" s="153">
        <v>1</v>
      </c>
      <c r="AM306" s="153">
        <v>1</v>
      </c>
      <c r="AN306" s="153">
        <v>4</v>
      </c>
      <c r="AO306" s="153">
        <v>4</v>
      </c>
      <c r="AP306" s="153">
        <v>2</v>
      </c>
      <c r="AQ306" s="151"/>
      <c r="AR306" s="96">
        <f t="shared" si="34"/>
        <v>34</v>
      </c>
      <c r="AS306" s="96">
        <f t="shared" si="35"/>
        <v>31</v>
      </c>
    </row>
    <row r="307" spans="1:45" ht="15.75" customHeight="1">
      <c r="B307" s="168" t="s">
        <v>390</v>
      </c>
      <c r="C307" s="116" t="s">
        <v>381</v>
      </c>
      <c r="D307" s="120">
        <v>2</v>
      </c>
      <c r="E307" s="116" t="s">
        <v>377</v>
      </c>
      <c r="F307" s="119" t="s">
        <v>377</v>
      </c>
      <c r="G307" s="153">
        <v>0</v>
      </c>
      <c r="H307" s="153">
        <v>0</v>
      </c>
      <c r="I307" s="153">
        <v>0</v>
      </c>
      <c r="J307" s="153">
        <v>0</v>
      </c>
      <c r="K307" s="153">
        <v>0</v>
      </c>
      <c r="L307" s="153">
        <v>0</v>
      </c>
      <c r="M307" s="153">
        <v>0</v>
      </c>
      <c r="N307" s="153">
        <v>0</v>
      </c>
      <c r="O307" s="153">
        <v>1</v>
      </c>
      <c r="P307" s="153">
        <v>3</v>
      </c>
      <c r="Q307" s="153">
        <v>3</v>
      </c>
      <c r="R307" s="153">
        <v>3</v>
      </c>
      <c r="S307" s="169">
        <v>4</v>
      </c>
      <c r="T307" s="153">
        <v>3</v>
      </c>
      <c r="U307" s="153">
        <v>4</v>
      </c>
      <c r="V307" s="153">
        <v>4</v>
      </c>
      <c r="W307" s="153">
        <v>1</v>
      </c>
      <c r="X307" s="153">
        <v>1</v>
      </c>
      <c r="Y307" s="153">
        <v>1</v>
      </c>
      <c r="Z307" s="153">
        <v>0</v>
      </c>
      <c r="AA307" s="153">
        <v>1</v>
      </c>
      <c r="AB307" s="153">
        <v>4</v>
      </c>
      <c r="AC307" s="153">
        <v>5</v>
      </c>
      <c r="AD307" s="170">
        <v>2</v>
      </c>
      <c r="AE307" s="169">
        <v>1</v>
      </c>
      <c r="AF307" s="153">
        <v>3</v>
      </c>
      <c r="AG307" s="153">
        <v>5</v>
      </c>
      <c r="AH307" s="153">
        <v>3</v>
      </c>
      <c r="AI307" s="153">
        <v>5</v>
      </c>
      <c r="AJ307" s="153">
        <v>3</v>
      </c>
      <c r="AK307" s="153">
        <v>3</v>
      </c>
      <c r="AL307" s="153">
        <v>2</v>
      </c>
      <c r="AM307" s="153">
        <v>2</v>
      </c>
      <c r="AN307" s="153">
        <v>3</v>
      </c>
      <c r="AO307" s="153">
        <v>6</v>
      </c>
      <c r="AP307" s="153">
        <v>4</v>
      </c>
      <c r="AQ307" s="151"/>
      <c r="AR307" s="96">
        <f t="shared" si="34"/>
        <v>30</v>
      </c>
      <c r="AS307" s="96">
        <f t="shared" si="35"/>
        <v>40</v>
      </c>
    </row>
    <row r="308" spans="1:45" ht="15.75" customHeight="1">
      <c r="B308" s="168" t="s">
        <v>390</v>
      </c>
      <c r="C308" s="116" t="s">
        <v>382</v>
      </c>
      <c r="D308" s="120">
        <v>2</v>
      </c>
      <c r="E308" s="116" t="s">
        <v>377</v>
      </c>
      <c r="F308" s="119" t="s">
        <v>377</v>
      </c>
      <c r="G308" s="153">
        <v>7</v>
      </c>
      <c r="H308" s="153">
        <v>6</v>
      </c>
      <c r="I308" s="153">
        <v>7</v>
      </c>
      <c r="J308" s="153">
        <v>7</v>
      </c>
      <c r="K308" s="153">
        <v>5</v>
      </c>
      <c r="L308" s="153">
        <v>4</v>
      </c>
      <c r="M308" s="153">
        <v>6</v>
      </c>
      <c r="N308" s="153">
        <v>6</v>
      </c>
      <c r="O308" s="153">
        <v>8</v>
      </c>
      <c r="P308" s="153">
        <v>6</v>
      </c>
      <c r="Q308" s="153">
        <v>7</v>
      </c>
      <c r="R308" s="153">
        <v>8</v>
      </c>
      <c r="S308" s="169">
        <v>6</v>
      </c>
      <c r="T308" s="153">
        <v>8</v>
      </c>
      <c r="U308" s="153">
        <v>10</v>
      </c>
      <c r="V308" s="153">
        <v>7</v>
      </c>
      <c r="W308" s="153">
        <v>5</v>
      </c>
      <c r="X308" s="153">
        <v>7</v>
      </c>
      <c r="Y308" s="153">
        <v>2</v>
      </c>
      <c r="Z308" s="153">
        <v>5</v>
      </c>
      <c r="AA308" s="153">
        <v>6</v>
      </c>
      <c r="AB308" s="153">
        <v>8</v>
      </c>
      <c r="AC308" s="153">
        <v>9</v>
      </c>
      <c r="AD308" s="170">
        <v>7</v>
      </c>
      <c r="AE308" s="169">
        <v>6</v>
      </c>
      <c r="AF308" s="153">
        <v>6</v>
      </c>
      <c r="AG308" s="153">
        <v>7</v>
      </c>
      <c r="AH308" s="153">
        <v>5</v>
      </c>
      <c r="AI308" s="153">
        <v>7</v>
      </c>
      <c r="AJ308" s="153">
        <v>6</v>
      </c>
      <c r="AK308" s="153">
        <v>5</v>
      </c>
      <c r="AL308" s="153">
        <v>3</v>
      </c>
      <c r="AM308" s="153">
        <v>6</v>
      </c>
      <c r="AN308" s="153">
        <v>6</v>
      </c>
      <c r="AO308" s="153">
        <v>9</v>
      </c>
      <c r="AP308" s="153">
        <v>5</v>
      </c>
      <c r="AQ308" s="151"/>
      <c r="AR308" s="96">
        <f t="shared" si="34"/>
        <v>80</v>
      </c>
      <c r="AS308" s="96">
        <f t="shared" si="35"/>
        <v>71</v>
      </c>
    </row>
    <row r="309" spans="1:45" ht="15.75" customHeight="1">
      <c r="B309" s="168" t="s">
        <v>390</v>
      </c>
      <c r="C309" s="116" t="s">
        <v>383</v>
      </c>
      <c r="D309" s="120">
        <v>1</v>
      </c>
      <c r="E309" s="116" t="s">
        <v>377</v>
      </c>
      <c r="F309" s="119" t="s">
        <v>377</v>
      </c>
      <c r="G309" s="153">
        <v>0</v>
      </c>
      <c r="H309" s="153">
        <v>0</v>
      </c>
      <c r="I309" s="153">
        <v>0</v>
      </c>
      <c r="J309" s="153">
        <v>0</v>
      </c>
      <c r="K309" s="153">
        <v>0</v>
      </c>
      <c r="L309" s="153">
        <v>0</v>
      </c>
      <c r="M309" s="153">
        <v>0</v>
      </c>
      <c r="N309" s="153">
        <v>0</v>
      </c>
      <c r="O309" s="153">
        <v>0</v>
      </c>
      <c r="P309" s="153">
        <v>0</v>
      </c>
      <c r="Q309" s="153">
        <v>0</v>
      </c>
      <c r="R309" s="153">
        <v>0</v>
      </c>
      <c r="S309" s="169">
        <v>0</v>
      </c>
      <c r="T309" s="153">
        <v>0</v>
      </c>
      <c r="U309" s="153">
        <v>0</v>
      </c>
      <c r="V309" s="153">
        <v>0</v>
      </c>
      <c r="W309" s="153">
        <v>0</v>
      </c>
      <c r="X309" s="153">
        <v>0</v>
      </c>
      <c r="Y309" s="153">
        <v>0</v>
      </c>
      <c r="Z309" s="153">
        <v>0</v>
      </c>
      <c r="AA309" s="153">
        <v>0</v>
      </c>
      <c r="AB309" s="153">
        <v>0</v>
      </c>
      <c r="AC309" s="153">
        <v>0</v>
      </c>
      <c r="AD309" s="170">
        <v>0</v>
      </c>
      <c r="AE309" s="169">
        <v>1</v>
      </c>
      <c r="AF309" s="153">
        <v>1</v>
      </c>
      <c r="AG309" s="153">
        <v>2</v>
      </c>
      <c r="AH309" s="153">
        <v>3</v>
      </c>
      <c r="AI309" s="153">
        <v>2</v>
      </c>
      <c r="AJ309" s="153">
        <v>3</v>
      </c>
      <c r="AK309" s="153">
        <v>0</v>
      </c>
      <c r="AL309" s="153">
        <v>0</v>
      </c>
      <c r="AM309" s="153">
        <v>4</v>
      </c>
      <c r="AN309" s="153">
        <v>4</v>
      </c>
      <c r="AO309" s="153">
        <v>3</v>
      </c>
      <c r="AP309" s="153">
        <v>1</v>
      </c>
      <c r="AQ309" s="151"/>
      <c r="AR309" s="96">
        <f t="shared" si="34"/>
        <v>0</v>
      </c>
      <c r="AS309" s="96">
        <f t="shared" si="35"/>
        <v>24</v>
      </c>
    </row>
    <row r="310" spans="1:45" ht="15.75" customHeight="1">
      <c r="B310" s="168" t="s">
        <v>390</v>
      </c>
      <c r="C310" s="116" t="s">
        <v>384</v>
      </c>
      <c r="D310" s="120">
        <v>1</v>
      </c>
      <c r="E310" s="116" t="s">
        <v>385</v>
      </c>
      <c r="F310" s="119" t="s">
        <v>385</v>
      </c>
      <c r="G310" s="153">
        <v>3</v>
      </c>
      <c r="H310" s="153">
        <v>7</v>
      </c>
      <c r="I310" s="153">
        <v>8</v>
      </c>
      <c r="J310" s="153">
        <v>9</v>
      </c>
      <c r="K310" s="153">
        <v>7</v>
      </c>
      <c r="L310" s="153">
        <v>7</v>
      </c>
      <c r="M310" s="153">
        <v>9</v>
      </c>
      <c r="N310" s="153">
        <v>7</v>
      </c>
      <c r="O310" s="153">
        <v>10</v>
      </c>
      <c r="P310" s="153">
        <v>8</v>
      </c>
      <c r="Q310" s="153">
        <v>7</v>
      </c>
      <c r="R310" s="153">
        <v>7</v>
      </c>
      <c r="S310" s="169">
        <v>6</v>
      </c>
      <c r="T310" s="153">
        <v>7</v>
      </c>
      <c r="U310" s="153">
        <v>8</v>
      </c>
      <c r="V310" s="153">
        <v>7</v>
      </c>
      <c r="W310" s="153">
        <v>7</v>
      </c>
      <c r="X310" s="153">
        <v>10</v>
      </c>
      <c r="Y310" s="153">
        <v>6</v>
      </c>
      <c r="Z310" s="153">
        <v>9</v>
      </c>
      <c r="AA310" s="153">
        <v>6</v>
      </c>
      <c r="AB310" s="153">
        <v>8</v>
      </c>
      <c r="AC310" s="153">
        <v>7</v>
      </c>
      <c r="AD310" s="170">
        <v>5</v>
      </c>
      <c r="AE310" s="169">
        <v>3</v>
      </c>
      <c r="AF310" s="153">
        <v>4</v>
      </c>
      <c r="AG310" s="153">
        <v>7</v>
      </c>
      <c r="AH310" s="153">
        <v>6</v>
      </c>
      <c r="AI310" s="153">
        <v>8</v>
      </c>
      <c r="AJ310" s="153">
        <v>6</v>
      </c>
      <c r="AK310" s="153">
        <v>6</v>
      </c>
      <c r="AL310" s="153">
        <v>8</v>
      </c>
      <c r="AM310" s="153">
        <v>7</v>
      </c>
      <c r="AN310" s="153">
        <v>7</v>
      </c>
      <c r="AO310" s="153">
        <v>9</v>
      </c>
      <c r="AP310" s="153">
        <v>6</v>
      </c>
      <c r="AQ310" s="151"/>
      <c r="AR310" s="96">
        <f t="shared" si="34"/>
        <v>86</v>
      </c>
      <c r="AS310" s="96">
        <f t="shared" si="35"/>
        <v>77</v>
      </c>
    </row>
    <row r="311" spans="1:45" ht="15.75" customHeight="1">
      <c r="B311" s="171" t="s">
        <v>390</v>
      </c>
      <c r="C311" s="172" t="s">
        <v>386</v>
      </c>
      <c r="D311" s="173">
        <v>1</v>
      </c>
      <c r="E311" s="174" t="s">
        <v>348</v>
      </c>
      <c r="F311" s="175" t="s">
        <v>363</v>
      </c>
      <c r="G311" s="176">
        <v>0</v>
      </c>
      <c r="H311" s="176">
        <v>0</v>
      </c>
      <c r="I311" s="176">
        <v>0</v>
      </c>
      <c r="J311" s="176">
        <v>0</v>
      </c>
      <c r="K311" s="176">
        <v>0</v>
      </c>
      <c r="L311" s="176">
        <v>0</v>
      </c>
      <c r="M311" s="176">
        <v>0</v>
      </c>
      <c r="N311" s="176">
        <v>0</v>
      </c>
      <c r="O311" s="176">
        <v>0</v>
      </c>
      <c r="P311" s="176">
        <v>0</v>
      </c>
      <c r="Q311" s="176">
        <v>0</v>
      </c>
      <c r="R311" s="176">
        <v>0</v>
      </c>
      <c r="S311" s="177">
        <v>0</v>
      </c>
      <c r="T311" s="176">
        <v>0</v>
      </c>
      <c r="U311" s="176">
        <v>0</v>
      </c>
      <c r="V311" s="176">
        <v>0</v>
      </c>
      <c r="W311" s="176">
        <v>0</v>
      </c>
      <c r="X311" s="176">
        <v>0</v>
      </c>
      <c r="Y311" s="176">
        <v>0</v>
      </c>
      <c r="Z311" s="176">
        <v>0</v>
      </c>
      <c r="AA311" s="176">
        <v>0</v>
      </c>
      <c r="AB311" s="176">
        <v>0</v>
      </c>
      <c r="AC311" s="176">
        <v>0</v>
      </c>
      <c r="AD311" s="178">
        <v>0</v>
      </c>
      <c r="AE311" s="177">
        <v>0</v>
      </c>
      <c r="AF311" s="176">
        <v>0</v>
      </c>
      <c r="AG311" s="176">
        <v>0</v>
      </c>
      <c r="AH311" s="176">
        <v>3</v>
      </c>
      <c r="AI311" s="176">
        <v>5</v>
      </c>
      <c r="AJ311" s="176">
        <v>4</v>
      </c>
      <c r="AK311" s="176">
        <v>2</v>
      </c>
      <c r="AL311" s="176">
        <v>2</v>
      </c>
      <c r="AM311" s="176">
        <v>4</v>
      </c>
      <c r="AN311" s="176">
        <v>4</v>
      </c>
      <c r="AO311" s="176">
        <v>4</v>
      </c>
      <c r="AP311" s="176">
        <v>4</v>
      </c>
      <c r="AQ311" s="151"/>
      <c r="AR311" s="96">
        <f t="shared" si="34"/>
        <v>0</v>
      </c>
      <c r="AS311" s="96">
        <f t="shared" si="35"/>
        <v>32</v>
      </c>
    </row>
    <row r="312" spans="1:45" ht="15.75" customHeight="1">
      <c r="A312" s="116"/>
      <c r="B312" s="190" t="s">
        <v>391</v>
      </c>
      <c r="C312" s="116" t="s">
        <v>347</v>
      </c>
      <c r="D312" s="120">
        <v>1</v>
      </c>
      <c r="E312" s="116" t="s">
        <v>348</v>
      </c>
      <c r="F312" s="119" t="s">
        <v>349</v>
      </c>
      <c r="G312" s="191">
        <v>1</v>
      </c>
      <c r="H312" s="192">
        <v>1</v>
      </c>
      <c r="I312" s="192">
        <v>0</v>
      </c>
      <c r="J312" s="192">
        <v>2</v>
      </c>
      <c r="K312" s="192">
        <v>2</v>
      </c>
      <c r="L312" s="192">
        <v>0</v>
      </c>
      <c r="M312" s="192">
        <v>0</v>
      </c>
      <c r="N312" s="192">
        <v>3</v>
      </c>
      <c r="O312" s="192">
        <v>1</v>
      </c>
      <c r="P312" s="192">
        <v>2</v>
      </c>
      <c r="Q312" s="192">
        <v>1</v>
      </c>
      <c r="R312" s="192">
        <v>0</v>
      </c>
      <c r="S312" s="191">
        <v>0</v>
      </c>
      <c r="T312" s="192">
        <v>0</v>
      </c>
      <c r="U312" s="192">
        <v>1</v>
      </c>
      <c r="V312" s="192">
        <v>1</v>
      </c>
      <c r="W312" s="192">
        <v>2</v>
      </c>
      <c r="X312" s="192">
        <v>2</v>
      </c>
      <c r="Y312" s="192">
        <v>2</v>
      </c>
      <c r="Z312" s="192">
        <v>0</v>
      </c>
      <c r="AA312" s="192">
        <v>0</v>
      </c>
      <c r="AB312" s="192">
        <v>2</v>
      </c>
      <c r="AC312" s="192">
        <v>3</v>
      </c>
      <c r="AD312" s="193">
        <v>1</v>
      </c>
      <c r="AE312" s="191">
        <v>1</v>
      </c>
      <c r="AF312" s="192">
        <v>0</v>
      </c>
      <c r="AG312" s="192">
        <v>1</v>
      </c>
      <c r="AH312" s="192">
        <v>0</v>
      </c>
      <c r="AI312" s="192">
        <v>0</v>
      </c>
      <c r="AJ312" s="192">
        <v>0</v>
      </c>
      <c r="AK312" s="192">
        <v>0</v>
      </c>
      <c r="AL312" s="192">
        <v>0</v>
      </c>
      <c r="AM312" s="192">
        <v>0</v>
      </c>
      <c r="AN312" s="192">
        <v>3</v>
      </c>
      <c r="AO312" s="192">
        <v>2</v>
      </c>
      <c r="AP312" s="192">
        <v>0</v>
      </c>
      <c r="AQ312" s="151"/>
      <c r="AR312" s="96">
        <f t="shared" si="34"/>
        <v>14</v>
      </c>
      <c r="AS312" s="96">
        <f t="shared" si="35"/>
        <v>7</v>
      </c>
    </row>
    <row r="313" spans="1:45" ht="15.75" customHeight="1">
      <c r="A313" s="116"/>
      <c r="B313" s="190" t="s">
        <v>391</v>
      </c>
      <c r="C313" s="116" t="s">
        <v>350</v>
      </c>
      <c r="D313" s="120">
        <v>2</v>
      </c>
      <c r="E313" s="116" t="s">
        <v>348</v>
      </c>
      <c r="F313" s="119" t="s">
        <v>349</v>
      </c>
      <c r="G313" s="192">
        <v>0</v>
      </c>
      <c r="H313" s="192">
        <v>0</v>
      </c>
      <c r="I313" s="192">
        <v>1</v>
      </c>
      <c r="J313" s="192">
        <v>1</v>
      </c>
      <c r="K313" s="192">
        <v>3</v>
      </c>
      <c r="L313" s="192">
        <v>1</v>
      </c>
      <c r="M313" s="192">
        <v>2</v>
      </c>
      <c r="N313" s="192">
        <v>2</v>
      </c>
      <c r="O313" s="192">
        <v>2</v>
      </c>
      <c r="P313" s="192">
        <v>4</v>
      </c>
      <c r="Q313" s="192">
        <v>3</v>
      </c>
      <c r="R313" s="192">
        <v>1</v>
      </c>
      <c r="S313" s="191">
        <v>1</v>
      </c>
      <c r="T313" s="192">
        <v>2</v>
      </c>
      <c r="U313" s="192">
        <v>2</v>
      </c>
      <c r="V313" s="192">
        <v>1</v>
      </c>
      <c r="W313" s="192">
        <v>3</v>
      </c>
      <c r="X313" s="192">
        <v>1</v>
      </c>
      <c r="Y313" s="192">
        <v>2</v>
      </c>
      <c r="Z313" s="192">
        <v>1</v>
      </c>
      <c r="AA313" s="192">
        <v>4</v>
      </c>
      <c r="AB313" s="192">
        <v>3</v>
      </c>
      <c r="AC313" s="192">
        <v>0</v>
      </c>
      <c r="AD313" s="193">
        <v>3</v>
      </c>
      <c r="AE313" s="191">
        <v>2</v>
      </c>
      <c r="AF313" s="192">
        <v>0</v>
      </c>
      <c r="AG313" s="192">
        <v>2</v>
      </c>
      <c r="AH313" s="192">
        <v>1</v>
      </c>
      <c r="AI313" s="192">
        <v>3</v>
      </c>
      <c r="AJ313" s="192">
        <v>1</v>
      </c>
      <c r="AK313" s="192">
        <v>1</v>
      </c>
      <c r="AL313" s="192">
        <v>3</v>
      </c>
      <c r="AM313" s="192">
        <v>2</v>
      </c>
      <c r="AN313" s="192">
        <v>3</v>
      </c>
      <c r="AO313" s="192">
        <v>1</v>
      </c>
      <c r="AP313" s="192">
        <v>1</v>
      </c>
      <c r="AQ313" s="151"/>
      <c r="AR313" s="96">
        <f t="shared" si="34"/>
        <v>23</v>
      </c>
      <c r="AS313" s="96">
        <f t="shared" si="35"/>
        <v>20</v>
      </c>
    </row>
    <row r="314" spans="1:45" ht="15.75" customHeight="1">
      <c r="A314" s="116"/>
      <c r="B314" s="190" t="s">
        <v>391</v>
      </c>
      <c r="C314" s="116" t="s">
        <v>351</v>
      </c>
      <c r="D314" s="120">
        <v>2</v>
      </c>
      <c r="E314" s="116" t="s">
        <v>348</v>
      </c>
      <c r="F314" s="119" t="s">
        <v>349</v>
      </c>
      <c r="G314" s="192">
        <v>1</v>
      </c>
      <c r="H314" s="192">
        <v>1</v>
      </c>
      <c r="I314" s="192">
        <v>1</v>
      </c>
      <c r="J314" s="192">
        <v>0</v>
      </c>
      <c r="K314" s="192">
        <v>1</v>
      </c>
      <c r="L314" s="192">
        <v>2</v>
      </c>
      <c r="M314" s="192">
        <v>2</v>
      </c>
      <c r="N314" s="192">
        <v>1</v>
      </c>
      <c r="O314" s="192">
        <v>1</v>
      </c>
      <c r="P314" s="192">
        <v>5</v>
      </c>
      <c r="Q314" s="192">
        <v>0</v>
      </c>
      <c r="R314" s="192">
        <v>2</v>
      </c>
      <c r="S314" s="191">
        <v>0</v>
      </c>
      <c r="T314" s="192">
        <v>2</v>
      </c>
      <c r="U314" s="192">
        <v>1</v>
      </c>
      <c r="V314" s="192">
        <v>2</v>
      </c>
      <c r="W314" s="192">
        <v>0</v>
      </c>
      <c r="X314" s="192">
        <v>3</v>
      </c>
      <c r="Y314" s="192">
        <v>0</v>
      </c>
      <c r="Z314" s="192">
        <v>0</v>
      </c>
      <c r="AA314" s="192">
        <v>0</v>
      </c>
      <c r="AB314" s="192">
        <v>3</v>
      </c>
      <c r="AC314" s="192">
        <v>0</v>
      </c>
      <c r="AD314" s="193">
        <v>2</v>
      </c>
      <c r="AE314" s="191">
        <v>0</v>
      </c>
      <c r="AF314" s="192">
        <v>1</v>
      </c>
      <c r="AG314" s="192">
        <v>0</v>
      </c>
      <c r="AH314" s="192">
        <v>3</v>
      </c>
      <c r="AI314" s="192">
        <v>2</v>
      </c>
      <c r="AJ314" s="192">
        <v>2</v>
      </c>
      <c r="AK314" s="192">
        <v>0</v>
      </c>
      <c r="AL314" s="192">
        <v>2</v>
      </c>
      <c r="AM314" s="192">
        <v>0</v>
      </c>
      <c r="AN314" s="192">
        <v>3</v>
      </c>
      <c r="AO314" s="192">
        <v>3</v>
      </c>
      <c r="AP314" s="192">
        <v>1</v>
      </c>
      <c r="AQ314" s="151"/>
      <c r="AR314" s="96">
        <f t="shared" si="34"/>
        <v>13</v>
      </c>
      <c r="AS314" s="96">
        <f t="shared" si="35"/>
        <v>17</v>
      </c>
    </row>
    <row r="315" spans="1:45" ht="15.75" customHeight="1">
      <c r="A315" s="116"/>
      <c r="B315" s="190" t="s">
        <v>391</v>
      </c>
      <c r="C315" s="116" t="s">
        <v>352</v>
      </c>
      <c r="D315" s="120">
        <v>1</v>
      </c>
      <c r="E315" s="116" t="s">
        <v>348</v>
      </c>
      <c r="F315" s="119" t="s">
        <v>349</v>
      </c>
      <c r="G315" s="192">
        <v>1</v>
      </c>
      <c r="H315" s="192">
        <v>1</v>
      </c>
      <c r="I315" s="192">
        <v>1</v>
      </c>
      <c r="J315" s="192">
        <v>0</v>
      </c>
      <c r="K315" s="192">
        <v>2</v>
      </c>
      <c r="L315" s="192">
        <v>0</v>
      </c>
      <c r="M315" s="192">
        <v>1</v>
      </c>
      <c r="N315" s="192">
        <v>0</v>
      </c>
      <c r="O315" s="192">
        <v>2</v>
      </c>
      <c r="P315" s="192">
        <v>4</v>
      </c>
      <c r="Q315" s="192">
        <v>2</v>
      </c>
      <c r="R315" s="192">
        <v>3</v>
      </c>
      <c r="S315" s="191">
        <v>2</v>
      </c>
      <c r="T315" s="192">
        <v>3</v>
      </c>
      <c r="U315" s="192">
        <v>1</v>
      </c>
      <c r="V315" s="192">
        <v>2</v>
      </c>
      <c r="W315" s="192">
        <v>1</v>
      </c>
      <c r="X315" s="192">
        <v>2</v>
      </c>
      <c r="Y315" s="192">
        <v>1</v>
      </c>
      <c r="Z315" s="192">
        <v>3</v>
      </c>
      <c r="AA315" s="192">
        <v>0</v>
      </c>
      <c r="AB315" s="192">
        <v>3</v>
      </c>
      <c r="AC315" s="192">
        <v>3</v>
      </c>
      <c r="AD315" s="193">
        <v>3</v>
      </c>
      <c r="AE315" s="191">
        <v>3</v>
      </c>
      <c r="AF315" s="192">
        <v>2</v>
      </c>
      <c r="AG315" s="192">
        <v>4</v>
      </c>
      <c r="AH315" s="192">
        <v>0</v>
      </c>
      <c r="AI315" s="192">
        <v>2</v>
      </c>
      <c r="AJ315" s="192">
        <v>4</v>
      </c>
      <c r="AK315" s="192">
        <v>1</v>
      </c>
      <c r="AL315" s="192">
        <v>4</v>
      </c>
      <c r="AM315" s="192">
        <v>1</v>
      </c>
      <c r="AN315" s="192">
        <v>3</v>
      </c>
      <c r="AO315" s="192">
        <v>4</v>
      </c>
      <c r="AP315" s="192">
        <v>1</v>
      </c>
      <c r="AQ315" s="151"/>
      <c r="AR315" s="96">
        <f t="shared" si="34"/>
        <v>24</v>
      </c>
      <c r="AS315" s="96">
        <f t="shared" si="35"/>
        <v>29</v>
      </c>
    </row>
    <row r="316" spans="1:45" ht="15.75" customHeight="1">
      <c r="A316" s="116"/>
      <c r="B316" s="190" t="s">
        <v>391</v>
      </c>
      <c r="C316" s="116" t="s">
        <v>353</v>
      </c>
      <c r="D316" s="120">
        <v>1</v>
      </c>
      <c r="E316" s="116" t="s">
        <v>348</v>
      </c>
      <c r="F316" s="119" t="s">
        <v>349</v>
      </c>
      <c r="G316" s="192">
        <v>1</v>
      </c>
      <c r="H316" s="192">
        <v>0</v>
      </c>
      <c r="I316" s="192">
        <v>0</v>
      </c>
      <c r="J316" s="192">
        <v>0</v>
      </c>
      <c r="K316" s="192">
        <v>0</v>
      </c>
      <c r="L316" s="192">
        <v>0</v>
      </c>
      <c r="M316" s="192">
        <v>1</v>
      </c>
      <c r="N316" s="192">
        <v>0</v>
      </c>
      <c r="O316" s="192">
        <v>2</v>
      </c>
      <c r="P316" s="192">
        <v>0</v>
      </c>
      <c r="Q316" s="192">
        <v>1</v>
      </c>
      <c r="R316" s="192">
        <v>2</v>
      </c>
      <c r="S316" s="191">
        <v>1</v>
      </c>
      <c r="T316" s="192">
        <v>1</v>
      </c>
      <c r="U316" s="192">
        <v>0</v>
      </c>
      <c r="V316" s="192">
        <v>0</v>
      </c>
      <c r="W316" s="192">
        <v>0</v>
      </c>
      <c r="X316" s="192">
        <v>1</v>
      </c>
      <c r="Y316" s="192">
        <v>1</v>
      </c>
      <c r="Z316" s="192">
        <v>0</v>
      </c>
      <c r="AA316" s="192">
        <v>1</v>
      </c>
      <c r="AB316" s="192">
        <v>1</v>
      </c>
      <c r="AC316" s="192">
        <v>1</v>
      </c>
      <c r="AD316" s="193">
        <v>2</v>
      </c>
      <c r="AE316" s="191">
        <v>0</v>
      </c>
      <c r="AF316" s="192">
        <v>0</v>
      </c>
      <c r="AG316" s="192">
        <v>1</v>
      </c>
      <c r="AH316" s="192">
        <v>0</v>
      </c>
      <c r="AI316" s="192">
        <v>0</v>
      </c>
      <c r="AJ316" s="192">
        <v>2</v>
      </c>
      <c r="AK316" s="192">
        <v>0</v>
      </c>
      <c r="AL316" s="192">
        <v>1</v>
      </c>
      <c r="AM316" s="192">
        <v>2</v>
      </c>
      <c r="AN316" s="192">
        <v>1</v>
      </c>
      <c r="AO316" s="192">
        <v>0</v>
      </c>
      <c r="AP316" s="192">
        <v>1</v>
      </c>
      <c r="AQ316" s="151"/>
      <c r="AR316" s="96">
        <f t="shared" si="34"/>
        <v>9</v>
      </c>
      <c r="AS316" s="96">
        <f t="shared" si="35"/>
        <v>8</v>
      </c>
    </row>
    <row r="317" spans="1:45" ht="15.75" customHeight="1">
      <c r="A317" s="116"/>
      <c r="B317" s="190" t="s">
        <v>391</v>
      </c>
      <c r="C317" s="116" t="s">
        <v>354</v>
      </c>
      <c r="D317" s="120">
        <v>1</v>
      </c>
      <c r="E317" s="116" t="s">
        <v>348</v>
      </c>
      <c r="F317" s="119" t="s">
        <v>355</v>
      </c>
      <c r="G317" s="192">
        <v>0</v>
      </c>
      <c r="H317" s="192">
        <v>0</v>
      </c>
      <c r="I317" s="192">
        <v>2</v>
      </c>
      <c r="J317" s="192">
        <v>2</v>
      </c>
      <c r="K317" s="192">
        <v>3</v>
      </c>
      <c r="L317" s="192">
        <v>4</v>
      </c>
      <c r="M317" s="192">
        <v>1</v>
      </c>
      <c r="N317" s="192">
        <v>3</v>
      </c>
      <c r="O317" s="192">
        <v>2</v>
      </c>
      <c r="P317" s="192">
        <v>5</v>
      </c>
      <c r="Q317" s="192">
        <v>2</v>
      </c>
      <c r="R317" s="192">
        <v>4</v>
      </c>
      <c r="S317" s="191">
        <v>2</v>
      </c>
      <c r="T317" s="192">
        <v>1</v>
      </c>
      <c r="U317" s="192">
        <v>2</v>
      </c>
      <c r="V317" s="192">
        <v>0</v>
      </c>
      <c r="W317" s="192">
        <v>3</v>
      </c>
      <c r="X317" s="192">
        <v>5</v>
      </c>
      <c r="Y317" s="192">
        <v>3</v>
      </c>
      <c r="Z317" s="192">
        <v>2</v>
      </c>
      <c r="AA317" s="192">
        <v>1</v>
      </c>
      <c r="AB317" s="192">
        <v>4</v>
      </c>
      <c r="AC317" s="192">
        <v>1</v>
      </c>
      <c r="AD317" s="193">
        <v>0</v>
      </c>
      <c r="AE317" s="191">
        <v>0</v>
      </c>
      <c r="AF317" s="192">
        <v>1</v>
      </c>
      <c r="AG317" s="192">
        <v>2</v>
      </c>
      <c r="AH317" s="192">
        <v>2</v>
      </c>
      <c r="AI317" s="192">
        <v>2</v>
      </c>
      <c r="AJ317" s="192">
        <v>5</v>
      </c>
      <c r="AK317" s="192">
        <v>1</v>
      </c>
      <c r="AL317" s="192">
        <v>2</v>
      </c>
      <c r="AM317" s="192">
        <v>4</v>
      </c>
      <c r="AN317" s="192">
        <v>3</v>
      </c>
      <c r="AO317" s="192">
        <v>3</v>
      </c>
      <c r="AP317" s="192">
        <v>2</v>
      </c>
      <c r="AQ317" s="151"/>
      <c r="AR317" s="96">
        <f t="shared" si="34"/>
        <v>24</v>
      </c>
      <c r="AS317" s="96">
        <f t="shared" si="35"/>
        <v>27</v>
      </c>
    </row>
    <row r="318" spans="1:45" ht="15.75" customHeight="1">
      <c r="A318" s="116"/>
      <c r="B318" s="190" t="s">
        <v>391</v>
      </c>
      <c r="C318" s="116" t="s">
        <v>356</v>
      </c>
      <c r="D318" s="120">
        <v>1</v>
      </c>
      <c r="E318" s="116" t="s">
        <v>348</v>
      </c>
      <c r="F318" s="119" t="s">
        <v>355</v>
      </c>
      <c r="G318" s="192">
        <v>0</v>
      </c>
      <c r="H318" s="192">
        <v>0</v>
      </c>
      <c r="I318" s="192">
        <v>2</v>
      </c>
      <c r="J318" s="192">
        <v>1</v>
      </c>
      <c r="K318" s="192">
        <v>1</v>
      </c>
      <c r="L318" s="192">
        <v>2</v>
      </c>
      <c r="M318" s="192">
        <v>0</v>
      </c>
      <c r="N318" s="192">
        <v>0</v>
      </c>
      <c r="O318" s="192">
        <v>1</v>
      </c>
      <c r="P318" s="192">
        <v>1</v>
      </c>
      <c r="Q318" s="192">
        <v>0</v>
      </c>
      <c r="R318" s="192">
        <v>3</v>
      </c>
      <c r="S318" s="191">
        <v>0</v>
      </c>
      <c r="T318" s="192">
        <v>0</v>
      </c>
      <c r="U318" s="192">
        <v>1</v>
      </c>
      <c r="V318" s="192">
        <v>0</v>
      </c>
      <c r="W318" s="192">
        <v>0</v>
      </c>
      <c r="X318" s="192">
        <v>1</v>
      </c>
      <c r="Y318" s="192">
        <v>1</v>
      </c>
      <c r="Z318" s="192">
        <v>1</v>
      </c>
      <c r="AA318" s="192">
        <v>0</v>
      </c>
      <c r="AB318" s="192">
        <v>2</v>
      </c>
      <c r="AC318" s="192">
        <v>1</v>
      </c>
      <c r="AD318" s="193">
        <v>1</v>
      </c>
      <c r="AE318" s="191">
        <v>0</v>
      </c>
      <c r="AF318" s="192">
        <v>0</v>
      </c>
      <c r="AG318" s="192">
        <v>1</v>
      </c>
      <c r="AH318" s="192">
        <v>0</v>
      </c>
      <c r="AI318" s="192">
        <v>0</v>
      </c>
      <c r="AJ318" s="192">
        <v>0</v>
      </c>
      <c r="AK318" s="192">
        <v>0</v>
      </c>
      <c r="AL318" s="192">
        <v>1</v>
      </c>
      <c r="AM318" s="192">
        <v>1</v>
      </c>
      <c r="AN318" s="192">
        <v>1</v>
      </c>
      <c r="AO318" s="192">
        <v>2</v>
      </c>
      <c r="AP318" s="192">
        <v>2</v>
      </c>
      <c r="AQ318" s="151"/>
      <c r="AR318" s="96">
        <f t="shared" si="34"/>
        <v>8</v>
      </c>
      <c r="AS318" s="96">
        <f t="shared" si="35"/>
        <v>8</v>
      </c>
    </row>
    <row r="319" spans="1:45" ht="15.75" customHeight="1">
      <c r="A319" s="116"/>
      <c r="B319" s="190" t="s">
        <v>391</v>
      </c>
      <c r="C319" s="116" t="s">
        <v>357</v>
      </c>
      <c r="D319" s="120">
        <v>2</v>
      </c>
      <c r="E319" s="116" t="s">
        <v>348</v>
      </c>
      <c r="F319" s="119" t="s">
        <v>355</v>
      </c>
      <c r="G319" s="192">
        <v>0</v>
      </c>
      <c r="H319" s="192">
        <v>0</v>
      </c>
      <c r="I319" s="192">
        <v>0</v>
      </c>
      <c r="J319" s="192">
        <v>1</v>
      </c>
      <c r="K319" s="192">
        <v>1</v>
      </c>
      <c r="L319" s="192">
        <v>1</v>
      </c>
      <c r="M319" s="192">
        <v>1</v>
      </c>
      <c r="N319" s="192">
        <v>1</v>
      </c>
      <c r="O319" s="192">
        <v>0</v>
      </c>
      <c r="P319" s="192">
        <v>2</v>
      </c>
      <c r="Q319" s="192">
        <v>3</v>
      </c>
      <c r="R319" s="192">
        <v>4</v>
      </c>
      <c r="S319" s="191">
        <v>1</v>
      </c>
      <c r="T319" s="192">
        <v>0</v>
      </c>
      <c r="U319" s="192">
        <v>0</v>
      </c>
      <c r="V319" s="192">
        <v>2</v>
      </c>
      <c r="W319" s="192">
        <v>0</v>
      </c>
      <c r="X319" s="192">
        <v>0</v>
      </c>
      <c r="Y319" s="192">
        <v>1</v>
      </c>
      <c r="Z319" s="192">
        <v>2</v>
      </c>
      <c r="AA319" s="192">
        <v>1</v>
      </c>
      <c r="AB319" s="192">
        <v>3</v>
      </c>
      <c r="AC319" s="192">
        <v>6</v>
      </c>
      <c r="AD319" s="193">
        <v>2</v>
      </c>
      <c r="AE319" s="191">
        <v>0</v>
      </c>
      <c r="AF319" s="192">
        <v>3</v>
      </c>
      <c r="AG319" s="192">
        <v>4</v>
      </c>
      <c r="AH319" s="192">
        <v>0</v>
      </c>
      <c r="AI319" s="192">
        <v>4</v>
      </c>
      <c r="AJ319" s="192">
        <v>3</v>
      </c>
      <c r="AK319" s="192">
        <v>0</v>
      </c>
      <c r="AL319" s="192">
        <v>3</v>
      </c>
      <c r="AM319" s="192">
        <v>3</v>
      </c>
      <c r="AN319" s="192">
        <v>1</v>
      </c>
      <c r="AO319" s="192">
        <v>1</v>
      </c>
      <c r="AP319" s="192">
        <v>1</v>
      </c>
      <c r="AQ319" s="151"/>
      <c r="AR319" s="96">
        <f t="shared" si="34"/>
        <v>18</v>
      </c>
      <c r="AS319" s="96">
        <f t="shared" si="35"/>
        <v>23</v>
      </c>
    </row>
    <row r="320" spans="1:45" ht="15.75" customHeight="1">
      <c r="A320" s="116"/>
      <c r="B320" s="190" t="s">
        <v>391</v>
      </c>
      <c r="C320" s="116" t="s">
        <v>358</v>
      </c>
      <c r="D320" s="120">
        <v>1</v>
      </c>
      <c r="E320" s="116" t="s">
        <v>348</v>
      </c>
      <c r="F320" s="119" t="s">
        <v>355</v>
      </c>
      <c r="G320" s="192">
        <v>0</v>
      </c>
      <c r="H320" s="192">
        <v>1</v>
      </c>
      <c r="I320" s="192">
        <v>0</v>
      </c>
      <c r="J320" s="192">
        <v>2</v>
      </c>
      <c r="K320" s="192">
        <v>1</v>
      </c>
      <c r="L320" s="192">
        <v>3</v>
      </c>
      <c r="M320" s="192">
        <v>1</v>
      </c>
      <c r="N320" s="192">
        <v>1</v>
      </c>
      <c r="O320" s="192">
        <v>0</v>
      </c>
      <c r="P320" s="192">
        <v>3</v>
      </c>
      <c r="Q320" s="192">
        <v>1</v>
      </c>
      <c r="R320" s="192">
        <v>0</v>
      </c>
      <c r="S320" s="191">
        <v>1</v>
      </c>
      <c r="T320" s="192">
        <v>1</v>
      </c>
      <c r="U320" s="192">
        <v>2</v>
      </c>
      <c r="V320" s="192">
        <v>1</v>
      </c>
      <c r="W320" s="192">
        <v>1</v>
      </c>
      <c r="X320" s="192">
        <v>0</v>
      </c>
      <c r="Y320" s="192">
        <v>1</v>
      </c>
      <c r="Z320" s="192">
        <v>1</v>
      </c>
      <c r="AA320" s="192">
        <v>1</v>
      </c>
      <c r="AB320" s="192">
        <v>0</v>
      </c>
      <c r="AC320" s="192">
        <v>3</v>
      </c>
      <c r="AD320" s="193">
        <v>3</v>
      </c>
      <c r="AE320" s="191">
        <v>1</v>
      </c>
      <c r="AF320" s="192">
        <v>2</v>
      </c>
      <c r="AG320" s="192">
        <v>2</v>
      </c>
      <c r="AH320" s="192">
        <v>0</v>
      </c>
      <c r="AI320" s="192">
        <v>4</v>
      </c>
      <c r="AJ320" s="192">
        <v>2</v>
      </c>
      <c r="AK320" s="192">
        <v>0</v>
      </c>
      <c r="AL320" s="192">
        <v>1</v>
      </c>
      <c r="AM320" s="192">
        <v>1</v>
      </c>
      <c r="AN320" s="192">
        <v>4</v>
      </c>
      <c r="AO320" s="192">
        <v>4</v>
      </c>
      <c r="AP320" s="192">
        <v>1</v>
      </c>
      <c r="AQ320" s="151"/>
      <c r="AR320" s="96">
        <f t="shared" si="34"/>
        <v>15</v>
      </c>
      <c r="AS320" s="96">
        <f t="shared" si="35"/>
        <v>22</v>
      </c>
    </row>
    <row r="321" spans="1:45" ht="15.75" customHeight="1">
      <c r="A321" s="116"/>
      <c r="B321" s="190" t="s">
        <v>391</v>
      </c>
      <c r="C321" s="116" t="s">
        <v>359</v>
      </c>
      <c r="D321" s="120">
        <v>1</v>
      </c>
      <c r="E321" s="116" t="s">
        <v>348</v>
      </c>
      <c r="F321" s="119" t="s">
        <v>355</v>
      </c>
      <c r="G321" s="192">
        <v>0</v>
      </c>
      <c r="H321" s="192">
        <v>0</v>
      </c>
      <c r="I321" s="192">
        <v>2</v>
      </c>
      <c r="J321" s="192">
        <v>4</v>
      </c>
      <c r="K321" s="192">
        <v>2</v>
      </c>
      <c r="L321" s="192">
        <v>1</v>
      </c>
      <c r="M321" s="192">
        <v>2</v>
      </c>
      <c r="N321" s="192">
        <v>2</v>
      </c>
      <c r="O321" s="192">
        <v>4</v>
      </c>
      <c r="P321" s="192">
        <v>5</v>
      </c>
      <c r="Q321" s="192">
        <v>4</v>
      </c>
      <c r="R321" s="192">
        <v>2</v>
      </c>
      <c r="S321" s="191">
        <v>0</v>
      </c>
      <c r="T321" s="192">
        <v>0</v>
      </c>
      <c r="U321" s="192">
        <v>2</v>
      </c>
      <c r="V321" s="192">
        <v>4</v>
      </c>
      <c r="W321" s="192">
        <v>4</v>
      </c>
      <c r="X321" s="192">
        <v>3</v>
      </c>
      <c r="Y321" s="192">
        <v>2</v>
      </c>
      <c r="Z321" s="192">
        <v>3</v>
      </c>
      <c r="AA321" s="192">
        <v>4</v>
      </c>
      <c r="AB321" s="192">
        <v>4</v>
      </c>
      <c r="AC321" s="192">
        <v>4</v>
      </c>
      <c r="AD321" s="193">
        <v>2</v>
      </c>
      <c r="AE321" s="191">
        <v>2</v>
      </c>
      <c r="AF321" s="192">
        <v>0</v>
      </c>
      <c r="AG321" s="192">
        <v>2</v>
      </c>
      <c r="AH321" s="192">
        <v>2</v>
      </c>
      <c r="AI321" s="192">
        <v>3</v>
      </c>
      <c r="AJ321" s="192">
        <v>3</v>
      </c>
      <c r="AK321" s="192">
        <v>2</v>
      </c>
      <c r="AL321" s="192">
        <v>2</v>
      </c>
      <c r="AM321" s="192">
        <v>4</v>
      </c>
      <c r="AN321" s="192">
        <v>3</v>
      </c>
      <c r="AO321" s="192">
        <v>5</v>
      </c>
      <c r="AP321" s="192">
        <v>3</v>
      </c>
      <c r="AQ321" s="151"/>
      <c r="AR321" s="96">
        <f t="shared" si="34"/>
        <v>32</v>
      </c>
      <c r="AS321" s="96">
        <f t="shared" si="35"/>
        <v>31</v>
      </c>
    </row>
    <row r="322" spans="1:45" ht="15.75" customHeight="1">
      <c r="A322" s="116"/>
      <c r="B322" s="190" t="s">
        <v>391</v>
      </c>
      <c r="C322" s="116" t="s">
        <v>360</v>
      </c>
      <c r="D322" s="120">
        <v>2</v>
      </c>
      <c r="E322" s="116" t="s">
        <v>348</v>
      </c>
      <c r="F322" s="119" t="s">
        <v>355</v>
      </c>
      <c r="G322" s="192">
        <v>0</v>
      </c>
      <c r="H322" s="192">
        <v>0</v>
      </c>
      <c r="I322" s="192">
        <v>0</v>
      </c>
      <c r="J322" s="192">
        <v>0</v>
      </c>
      <c r="K322" s="192">
        <v>0</v>
      </c>
      <c r="L322" s="192">
        <v>0</v>
      </c>
      <c r="M322" s="192">
        <v>0</v>
      </c>
      <c r="N322" s="192">
        <v>0</v>
      </c>
      <c r="O322" s="192">
        <v>0</v>
      </c>
      <c r="P322" s="192">
        <v>0</v>
      </c>
      <c r="Q322" s="192">
        <v>0</v>
      </c>
      <c r="R322" s="192">
        <v>0</v>
      </c>
      <c r="S322" s="191">
        <v>0</v>
      </c>
      <c r="T322" s="192">
        <v>0</v>
      </c>
      <c r="U322" s="192">
        <v>0</v>
      </c>
      <c r="V322" s="192">
        <v>0</v>
      </c>
      <c r="W322" s="192">
        <v>0</v>
      </c>
      <c r="X322" s="192">
        <v>0</v>
      </c>
      <c r="Y322" s="192">
        <v>0</v>
      </c>
      <c r="Z322" s="192">
        <v>0</v>
      </c>
      <c r="AA322" s="192">
        <v>0</v>
      </c>
      <c r="AB322" s="192">
        <v>0</v>
      </c>
      <c r="AC322" s="192">
        <v>0</v>
      </c>
      <c r="AD322" s="193">
        <v>0</v>
      </c>
      <c r="AE322" s="191">
        <v>0</v>
      </c>
      <c r="AF322" s="192">
        <v>0</v>
      </c>
      <c r="AG322" s="192">
        <v>0</v>
      </c>
      <c r="AH322" s="192">
        <v>0</v>
      </c>
      <c r="AI322" s="192">
        <v>3</v>
      </c>
      <c r="AJ322" s="192">
        <v>0</v>
      </c>
      <c r="AK322" s="192">
        <v>4</v>
      </c>
      <c r="AL322" s="192">
        <v>0</v>
      </c>
      <c r="AM322" s="192">
        <v>0</v>
      </c>
      <c r="AN322" s="192">
        <v>3</v>
      </c>
      <c r="AO322" s="192">
        <v>1</v>
      </c>
      <c r="AP322" s="192">
        <v>0</v>
      </c>
      <c r="AQ322" s="151"/>
      <c r="AR322" s="96">
        <f t="shared" si="34"/>
        <v>0</v>
      </c>
      <c r="AS322" s="96">
        <f t="shared" si="35"/>
        <v>11</v>
      </c>
    </row>
    <row r="323" spans="1:45" ht="15.75" customHeight="1">
      <c r="A323" s="116"/>
      <c r="B323" s="190" t="s">
        <v>391</v>
      </c>
      <c r="C323" s="116" t="s">
        <v>361</v>
      </c>
      <c r="D323" s="120">
        <v>1</v>
      </c>
      <c r="E323" s="116" t="s">
        <v>348</v>
      </c>
      <c r="F323" s="119" t="s">
        <v>355</v>
      </c>
      <c r="G323" s="192">
        <v>0</v>
      </c>
      <c r="H323" s="192">
        <v>0</v>
      </c>
      <c r="I323" s="192">
        <v>1</v>
      </c>
      <c r="J323" s="192">
        <v>0</v>
      </c>
      <c r="K323" s="192">
        <v>0</v>
      </c>
      <c r="L323" s="192">
        <v>0</v>
      </c>
      <c r="M323" s="192">
        <v>0</v>
      </c>
      <c r="N323" s="192">
        <v>0</v>
      </c>
      <c r="O323" s="192">
        <v>0</v>
      </c>
      <c r="P323" s="192">
        <v>2</v>
      </c>
      <c r="Q323" s="192">
        <v>1</v>
      </c>
      <c r="R323" s="192">
        <v>0</v>
      </c>
      <c r="S323" s="191">
        <v>0</v>
      </c>
      <c r="T323" s="192">
        <v>0</v>
      </c>
      <c r="U323" s="192">
        <v>0</v>
      </c>
      <c r="V323" s="192">
        <v>1</v>
      </c>
      <c r="W323" s="192">
        <v>1</v>
      </c>
      <c r="X323" s="192">
        <v>1</v>
      </c>
      <c r="Y323" s="192">
        <v>0</v>
      </c>
      <c r="Z323" s="192">
        <v>0</v>
      </c>
      <c r="AA323" s="192">
        <v>1</v>
      </c>
      <c r="AB323" s="192">
        <v>0</v>
      </c>
      <c r="AC323" s="192">
        <v>0</v>
      </c>
      <c r="AD323" s="193">
        <v>2</v>
      </c>
      <c r="AE323" s="191">
        <v>0</v>
      </c>
      <c r="AF323" s="192">
        <v>0</v>
      </c>
      <c r="AG323" s="192">
        <v>1</v>
      </c>
      <c r="AH323" s="192">
        <v>0</v>
      </c>
      <c r="AI323" s="192">
        <v>2</v>
      </c>
      <c r="AJ323" s="192">
        <v>0</v>
      </c>
      <c r="AK323" s="192">
        <v>0</v>
      </c>
      <c r="AL323" s="192">
        <v>0</v>
      </c>
      <c r="AM323" s="192">
        <v>0</v>
      </c>
      <c r="AN323" s="192">
        <v>0</v>
      </c>
      <c r="AO323" s="192">
        <v>3</v>
      </c>
      <c r="AP323" s="192">
        <v>0</v>
      </c>
      <c r="AQ323" s="151"/>
      <c r="AR323" s="96">
        <f t="shared" si="34"/>
        <v>6</v>
      </c>
      <c r="AS323" s="96">
        <f t="shared" si="35"/>
        <v>6</v>
      </c>
    </row>
    <row r="324" spans="1:45" ht="15.75" customHeight="1">
      <c r="A324" s="116"/>
      <c r="B324" s="190" t="s">
        <v>391</v>
      </c>
      <c r="C324" s="116" t="s">
        <v>362</v>
      </c>
      <c r="D324" s="120">
        <v>1</v>
      </c>
      <c r="E324" s="116" t="s">
        <v>348</v>
      </c>
      <c r="F324" s="119" t="s">
        <v>363</v>
      </c>
      <c r="G324" s="192">
        <v>0</v>
      </c>
      <c r="H324" s="192">
        <v>1</v>
      </c>
      <c r="I324" s="192">
        <v>2</v>
      </c>
      <c r="J324" s="192">
        <v>1</v>
      </c>
      <c r="K324" s="192">
        <v>1</v>
      </c>
      <c r="L324" s="192">
        <v>3</v>
      </c>
      <c r="M324" s="192">
        <v>1</v>
      </c>
      <c r="N324" s="192">
        <v>2</v>
      </c>
      <c r="O324" s="192">
        <v>2</v>
      </c>
      <c r="P324" s="192">
        <v>2</v>
      </c>
      <c r="Q324" s="192">
        <v>1</v>
      </c>
      <c r="R324" s="192">
        <v>1</v>
      </c>
      <c r="S324" s="191">
        <v>1</v>
      </c>
      <c r="T324" s="192">
        <v>0</v>
      </c>
      <c r="U324" s="192">
        <v>0</v>
      </c>
      <c r="V324" s="192">
        <v>3</v>
      </c>
      <c r="W324" s="192">
        <v>1</v>
      </c>
      <c r="X324" s="192">
        <v>3</v>
      </c>
      <c r="Y324" s="192">
        <v>3</v>
      </c>
      <c r="Z324" s="192">
        <v>1</v>
      </c>
      <c r="AA324" s="192">
        <v>2</v>
      </c>
      <c r="AB324" s="192">
        <v>2</v>
      </c>
      <c r="AC324" s="192">
        <v>3</v>
      </c>
      <c r="AD324" s="193">
        <v>1</v>
      </c>
      <c r="AE324" s="191">
        <v>1</v>
      </c>
      <c r="AF324" s="192">
        <v>0</v>
      </c>
      <c r="AG324" s="192">
        <v>2</v>
      </c>
      <c r="AH324" s="192">
        <v>1</v>
      </c>
      <c r="AI324" s="192">
        <v>1</v>
      </c>
      <c r="AJ324" s="192">
        <v>2</v>
      </c>
      <c r="AK324" s="192">
        <v>1</v>
      </c>
      <c r="AL324" s="192">
        <v>3</v>
      </c>
      <c r="AM324" s="192">
        <v>2</v>
      </c>
      <c r="AN324" s="192">
        <v>2</v>
      </c>
      <c r="AO324" s="192">
        <v>0</v>
      </c>
      <c r="AP324" s="192">
        <v>1</v>
      </c>
      <c r="AQ324" s="151"/>
      <c r="AR324" s="96">
        <f t="shared" si="34"/>
        <v>20</v>
      </c>
      <c r="AS324" s="96">
        <f t="shared" si="35"/>
        <v>16</v>
      </c>
    </row>
    <row r="325" spans="1:45" ht="15.75" customHeight="1">
      <c r="A325" s="116"/>
      <c r="B325" s="190" t="s">
        <v>391</v>
      </c>
      <c r="C325" s="116" t="s">
        <v>364</v>
      </c>
      <c r="D325" s="120">
        <v>1</v>
      </c>
      <c r="E325" s="116" t="s">
        <v>348</v>
      </c>
      <c r="F325" s="119" t="s">
        <v>363</v>
      </c>
      <c r="G325" s="192">
        <v>1</v>
      </c>
      <c r="H325" s="192">
        <v>1</v>
      </c>
      <c r="I325" s="192">
        <v>0</v>
      </c>
      <c r="J325" s="192">
        <v>3</v>
      </c>
      <c r="K325" s="192">
        <v>3</v>
      </c>
      <c r="L325" s="192">
        <v>1</v>
      </c>
      <c r="M325" s="192">
        <v>0</v>
      </c>
      <c r="N325" s="192">
        <v>0</v>
      </c>
      <c r="O325" s="192">
        <v>3</v>
      </c>
      <c r="P325" s="192">
        <v>4</v>
      </c>
      <c r="Q325" s="192">
        <v>2</v>
      </c>
      <c r="R325" s="192">
        <v>2</v>
      </c>
      <c r="S325" s="191">
        <v>0</v>
      </c>
      <c r="T325" s="192">
        <v>1</v>
      </c>
      <c r="U325" s="192">
        <v>1</v>
      </c>
      <c r="V325" s="192">
        <v>3</v>
      </c>
      <c r="W325" s="192">
        <v>1</v>
      </c>
      <c r="X325" s="192">
        <v>2</v>
      </c>
      <c r="Y325" s="192">
        <v>1</v>
      </c>
      <c r="Z325" s="192">
        <v>0</v>
      </c>
      <c r="AA325" s="192">
        <v>2</v>
      </c>
      <c r="AB325" s="192">
        <v>3</v>
      </c>
      <c r="AC325" s="192">
        <v>3</v>
      </c>
      <c r="AD325" s="193">
        <v>1</v>
      </c>
      <c r="AE325" s="191">
        <v>2</v>
      </c>
      <c r="AF325" s="192">
        <v>0</v>
      </c>
      <c r="AG325" s="192">
        <v>0</v>
      </c>
      <c r="AH325" s="192">
        <v>1</v>
      </c>
      <c r="AI325" s="192">
        <v>2</v>
      </c>
      <c r="AJ325" s="192">
        <v>2</v>
      </c>
      <c r="AK325" s="192">
        <v>1</v>
      </c>
      <c r="AL325" s="192">
        <v>2</v>
      </c>
      <c r="AM325" s="192">
        <v>3</v>
      </c>
      <c r="AN325" s="192">
        <v>3</v>
      </c>
      <c r="AO325" s="192">
        <v>3</v>
      </c>
      <c r="AP325" s="192">
        <v>2</v>
      </c>
      <c r="AQ325" s="151"/>
      <c r="AR325" s="96">
        <f t="shared" si="34"/>
        <v>18</v>
      </c>
      <c r="AS325" s="96">
        <f t="shared" si="35"/>
        <v>21</v>
      </c>
    </row>
    <row r="326" spans="1:45" ht="15.75" customHeight="1">
      <c r="A326" s="116"/>
      <c r="B326" s="190" t="s">
        <v>391</v>
      </c>
      <c r="C326" s="116" t="s">
        <v>365</v>
      </c>
      <c r="D326" s="120">
        <v>1</v>
      </c>
      <c r="E326" s="116" t="s">
        <v>348</v>
      </c>
      <c r="F326" s="119" t="s">
        <v>363</v>
      </c>
      <c r="G326" s="192">
        <v>0</v>
      </c>
      <c r="H326" s="192">
        <v>0</v>
      </c>
      <c r="I326" s="192">
        <v>0</v>
      </c>
      <c r="J326" s="192">
        <v>0</v>
      </c>
      <c r="K326" s="192">
        <v>2</v>
      </c>
      <c r="L326" s="192">
        <v>1</v>
      </c>
      <c r="M326" s="192">
        <v>1</v>
      </c>
      <c r="N326" s="192">
        <v>1</v>
      </c>
      <c r="O326" s="192">
        <v>3</v>
      </c>
      <c r="P326" s="192">
        <v>3</v>
      </c>
      <c r="Q326" s="192">
        <v>3</v>
      </c>
      <c r="R326" s="192">
        <v>2</v>
      </c>
      <c r="S326" s="191">
        <v>3</v>
      </c>
      <c r="T326" s="192">
        <v>1</v>
      </c>
      <c r="U326" s="192">
        <v>1</v>
      </c>
      <c r="V326" s="192">
        <v>0</v>
      </c>
      <c r="W326" s="192">
        <v>1</v>
      </c>
      <c r="X326" s="192">
        <v>2</v>
      </c>
      <c r="Y326" s="192">
        <v>0</v>
      </c>
      <c r="Z326" s="192">
        <v>2</v>
      </c>
      <c r="AA326" s="192">
        <v>0</v>
      </c>
      <c r="AB326" s="192">
        <v>3</v>
      </c>
      <c r="AC326" s="192">
        <v>3</v>
      </c>
      <c r="AD326" s="193">
        <v>4</v>
      </c>
      <c r="AE326" s="191">
        <v>0</v>
      </c>
      <c r="AF326" s="192">
        <v>1</v>
      </c>
      <c r="AG326" s="192">
        <v>2</v>
      </c>
      <c r="AH326" s="192">
        <v>2</v>
      </c>
      <c r="AI326" s="192">
        <v>3</v>
      </c>
      <c r="AJ326" s="192">
        <v>4</v>
      </c>
      <c r="AK326" s="192">
        <v>2</v>
      </c>
      <c r="AL326" s="192">
        <v>2</v>
      </c>
      <c r="AM326" s="192">
        <v>3</v>
      </c>
      <c r="AN326" s="192">
        <v>4</v>
      </c>
      <c r="AO326" s="192">
        <v>4</v>
      </c>
      <c r="AP326" s="192">
        <v>2</v>
      </c>
      <c r="AQ326" s="151"/>
      <c r="AR326" s="96">
        <f t="shared" si="34"/>
        <v>20</v>
      </c>
      <c r="AS326" s="96">
        <f t="shared" si="35"/>
        <v>29</v>
      </c>
    </row>
    <row r="327" spans="1:45" ht="15.75" customHeight="1">
      <c r="A327" s="116"/>
      <c r="B327" s="190" t="s">
        <v>391</v>
      </c>
      <c r="C327" s="116" t="s">
        <v>366</v>
      </c>
      <c r="D327" s="120">
        <v>1</v>
      </c>
      <c r="E327" s="116" t="s">
        <v>348</v>
      </c>
      <c r="F327" s="119" t="s">
        <v>363</v>
      </c>
      <c r="G327" s="192">
        <v>0</v>
      </c>
      <c r="H327" s="192">
        <v>0</v>
      </c>
      <c r="I327" s="192">
        <v>0</v>
      </c>
      <c r="J327" s="192">
        <v>0</v>
      </c>
      <c r="K327" s="192">
        <v>0</v>
      </c>
      <c r="L327" s="192">
        <v>0</v>
      </c>
      <c r="M327" s="192">
        <v>0</v>
      </c>
      <c r="N327" s="192">
        <v>0</v>
      </c>
      <c r="O327" s="192">
        <v>0</v>
      </c>
      <c r="P327" s="192">
        <v>0</v>
      </c>
      <c r="Q327" s="192">
        <v>0</v>
      </c>
      <c r="R327" s="192">
        <v>0</v>
      </c>
      <c r="S327" s="191">
        <v>0</v>
      </c>
      <c r="T327" s="192">
        <v>0</v>
      </c>
      <c r="U327" s="192">
        <v>1</v>
      </c>
      <c r="V327" s="192">
        <v>2</v>
      </c>
      <c r="W327" s="192">
        <v>1</v>
      </c>
      <c r="X327" s="192">
        <v>3</v>
      </c>
      <c r="Y327" s="192">
        <v>0</v>
      </c>
      <c r="Z327" s="192">
        <v>1</v>
      </c>
      <c r="AA327" s="192">
        <v>0</v>
      </c>
      <c r="AB327" s="192">
        <v>1</v>
      </c>
      <c r="AC327" s="192">
        <v>1</v>
      </c>
      <c r="AD327" s="193">
        <v>0</v>
      </c>
      <c r="AE327" s="191">
        <v>0</v>
      </c>
      <c r="AF327" s="192">
        <v>0</v>
      </c>
      <c r="AG327" s="192">
        <v>2</v>
      </c>
      <c r="AH327" s="192">
        <v>0</v>
      </c>
      <c r="AI327" s="192">
        <v>1</v>
      </c>
      <c r="AJ327" s="192">
        <v>2</v>
      </c>
      <c r="AK327" s="192">
        <v>0</v>
      </c>
      <c r="AL327" s="192">
        <v>0</v>
      </c>
      <c r="AM327" s="192">
        <v>1</v>
      </c>
      <c r="AN327" s="192">
        <v>3</v>
      </c>
      <c r="AO327" s="192">
        <v>2</v>
      </c>
      <c r="AP327" s="192">
        <v>3</v>
      </c>
      <c r="AQ327" s="151"/>
      <c r="AR327" s="96">
        <f t="shared" si="34"/>
        <v>10</v>
      </c>
      <c r="AS327" s="96">
        <f t="shared" si="35"/>
        <v>14</v>
      </c>
    </row>
    <row r="328" spans="1:45" ht="15.75" customHeight="1">
      <c r="A328" s="116"/>
      <c r="B328" s="190" t="s">
        <v>391</v>
      </c>
      <c r="C328" s="116" t="s">
        <v>367</v>
      </c>
      <c r="D328" s="120">
        <v>1</v>
      </c>
      <c r="E328" s="116" t="s">
        <v>348</v>
      </c>
      <c r="F328" s="119" t="s">
        <v>363</v>
      </c>
      <c r="G328" s="192">
        <v>1</v>
      </c>
      <c r="H328" s="192">
        <v>0</v>
      </c>
      <c r="I328" s="192">
        <v>0</v>
      </c>
      <c r="J328" s="192">
        <v>2</v>
      </c>
      <c r="K328" s="192">
        <v>2</v>
      </c>
      <c r="L328" s="192">
        <v>1</v>
      </c>
      <c r="M328" s="192">
        <v>0</v>
      </c>
      <c r="N328" s="192">
        <v>1</v>
      </c>
      <c r="O328" s="192">
        <v>2</v>
      </c>
      <c r="P328" s="192">
        <v>4</v>
      </c>
      <c r="Q328" s="192">
        <v>2</v>
      </c>
      <c r="R328" s="192">
        <v>2</v>
      </c>
      <c r="S328" s="191">
        <v>1</v>
      </c>
      <c r="T328" s="192">
        <v>0</v>
      </c>
      <c r="U328" s="192">
        <v>0</v>
      </c>
      <c r="V328" s="192">
        <v>2</v>
      </c>
      <c r="W328" s="192">
        <v>1</v>
      </c>
      <c r="X328" s="192">
        <v>1</v>
      </c>
      <c r="Y328" s="192">
        <v>1</v>
      </c>
      <c r="Z328" s="192">
        <v>1</v>
      </c>
      <c r="AA328" s="192">
        <v>2</v>
      </c>
      <c r="AB328" s="192">
        <v>4</v>
      </c>
      <c r="AC328" s="192">
        <v>3</v>
      </c>
      <c r="AD328" s="193">
        <v>3</v>
      </c>
      <c r="AE328" s="191">
        <v>1</v>
      </c>
      <c r="AF328" s="192">
        <v>0</v>
      </c>
      <c r="AG328" s="192">
        <v>1</v>
      </c>
      <c r="AH328" s="192">
        <v>3</v>
      </c>
      <c r="AI328" s="192">
        <v>0</v>
      </c>
      <c r="AJ328" s="192">
        <v>0</v>
      </c>
      <c r="AK328" s="192">
        <v>1</v>
      </c>
      <c r="AL328" s="192">
        <v>2</v>
      </c>
      <c r="AM328" s="192">
        <v>0</v>
      </c>
      <c r="AN328" s="192">
        <v>4</v>
      </c>
      <c r="AO328" s="192">
        <v>2</v>
      </c>
      <c r="AP328" s="192">
        <v>2</v>
      </c>
      <c r="AQ328" s="151"/>
      <c r="AR328" s="96">
        <f t="shared" si="34"/>
        <v>19</v>
      </c>
      <c r="AS328" s="96">
        <f t="shared" si="35"/>
        <v>16</v>
      </c>
    </row>
    <row r="329" spans="1:45" ht="15.75" customHeight="1">
      <c r="A329" s="116"/>
      <c r="B329" s="190" t="s">
        <v>391</v>
      </c>
      <c r="C329" s="116" t="s">
        <v>368</v>
      </c>
      <c r="D329" s="120">
        <v>2</v>
      </c>
      <c r="E329" s="116" t="s">
        <v>369</v>
      </c>
      <c r="F329" s="119" t="s">
        <v>369</v>
      </c>
      <c r="G329" s="192">
        <v>1</v>
      </c>
      <c r="H329" s="192">
        <v>0</v>
      </c>
      <c r="I329" s="192">
        <v>2</v>
      </c>
      <c r="J329" s="192">
        <v>1</v>
      </c>
      <c r="K329" s="192">
        <v>2</v>
      </c>
      <c r="L329" s="192">
        <v>1</v>
      </c>
      <c r="M329" s="192">
        <v>3</v>
      </c>
      <c r="N329" s="192">
        <v>0</v>
      </c>
      <c r="O329" s="192">
        <v>0</v>
      </c>
      <c r="P329" s="192">
        <v>4</v>
      </c>
      <c r="Q329" s="192">
        <v>6</v>
      </c>
      <c r="R329" s="192">
        <v>1</v>
      </c>
      <c r="S329" s="191">
        <v>0</v>
      </c>
      <c r="T329" s="192">
        <v>0</v>
      </c>
      <c r="U329" s="192">
        <v>1</v>
      </c>
      <c r="V329" s="192">
        <v>2</v>
      </c>
      <c r="W329" s="192">
        <v>3</v>
      </c>
      <c r="X329" s="192">
        <v>0</v>
      </c>
      <c r="Y329" s="192">
        <v>0</v>
      </c>
      <c r="Z329" s="192">
        <v>0</v>
      </c>
      <c r="AA329" s="192">
        <v>1</v>
      </c>
      <c r="AB329" s="192">
        <v>5</v>
      </c>
      <c r="AC329" s="192">
        <v>4</v>
      </c>
      <c r="AD329" s="193">
        <v>0</v>
      </c>
      <c r="AE329" s="191">
        <v>1</v>
      </c>
      <c r="AF329" s="192">
        <v>0</v>
      </c>
      <c r="AG329" s="192">
        <v>5</v>
      </c>
      <c r="AH329" s="192">
        <v>0</v>
      </c>
      <c r="AI329" s="192">
        <v>2</v>
      </c>
      <c r="AJ329" s="192">
        <v>0</v>
      </c>
      <c r="AK329" s="192">
        <v>0</v>
      </c>
      <c r="AL329" s="192">
        <v>1</v>
      </c>
      <c r="AM329" s="192">
        <v>1</v>
      </c>
      <c r="AN329" s="192">
        <v>3</v>
      </c>
      <c r="AO329" s="192">
        <v>4</v>
      </c>
      <c r="AP329" s="192">
        <v>2</v>
      </c>
      <c r="AQ329" s="151"/>
      <c r="AR329" s="96">
        <f t="shared" si="34"/>
        <v>16</v>
      </c>
      <c r="AS329" s="96">
        <f t="shared" si="35"/>
        <v>19</v>
      </c>
    </row>
    <row r="330" spans="1:45" ht="15.75" customHeight="1">
      <c r="A330" s="116"/>
      <c r="B330" s="190" t="s">
        <v>391</v>
      </c>
      <c r="C330" s="116" t="s">
        <v>451</v>
      </c>
      <c r="D330" s="120">
        <v>1</v>
      </c>
      <c r="E330" s="116" t="s">
        <v>369</v>
      </c>
      <c r="F330" s="119" t="s">
        <v>369</v>
      </c>
      <c r="G330" s="192">
        <v>0</v>
      </c>
      <c r="H330" s="192">
        <v>1</v>
      </c>
      <c r="I330" s="192">
        <v>1</v>
      </c>
      <c r="J330" s="192">
        <v>2</v>
      </c>
      <c r="K330" s="192">
        <v>0</v>
      </c>
      <c r="L330" s="192">
        <v>0</v>
      </c>
      <c r="M330" s="192">
        <v>0</v>
      </c>
      <c r="N330" s="192">
        <v>1</v>
      </c>
      <c r="O330" s="192">
        <v>1</v>
      </c>
      <c r="P330" s="192">
        <v>0</v>
      </c>
      <c r="Q330" s="192">
        <v>1</v>
      </c>
      <c r="R330" s="192">
        <v>2</v>
      </c>
      <c r="S330" s="191">
        <v>2</v>
      </c>
      <c r="T330" s="192">
        <v>1</v>
      </c>
      <c r="U330" s="192">
        <v>0</v>
      </c>
      <c r="V330" s="192">
        <v>2</v>
      </c>
      <c r="W330" s="192">
        <v>1</v>
      </c>
      <c r="X330" s="192">
        <v>0</v>
      </c>
      <c r="Y330" s="192">
        <v>0</v>
      </c>
      <c r="Z330" s="192">
        <v>0</v>
      </c>
      <c r="AA330" s="192">
        <v>0</v>
      </c>
      <c r="AB330" s="192">
        <v>3</v>
      </c>
      <c r="AC330" s="192">
        <v>4</v>
      </c>
      <c r="AD330" s="193">
        <v>0</v>
      </c>
      <c r="AE330" s="191">
        <v>1</v>
      </c>
      <c r="AF330" s="192">
        <v>0</v>
      </c>
      <c r="AG330" s="192">
        <v>1</v>
      </c>
      <c r="AH330" s="192">
        <v>0</v>
      </c>
      <c r="AI330" s="192">
        <v>1</v>
      </c>
      <c r="AJ330" s="192">
        <v>2</v>
      </c>
      <c r="AK330" s="192">
        <v>1</v>
      </c>
      <c r="AL330" s="192">
        <v>1</v>
      </c>
      <c r="AM330" s="192">
        <v>0</v>
      </c>
      <c r="AN330" s="192">
        <v>2</v>
      </c>
      <c r="AO330" s="192">
        <v>1</v>
      </c>
      <c r="AP330" s="192">
        <v>1</v>
      </c>
      <c r="AQ330" s="151"/>
      <c r="AR330" s="96">
        <f t="shared" si="34"/>
        <v>13</v>
      </c>
      <c r="AS330" s="96">
        <f t="shared" si="35"/>
        <v>11</v>
      </c>
    </row>
    <row r="331" spans="1:45" ht="15.75" customHeight="1">
      <c r="A331" s="116"/>
      <c r="B331" s="190" t="s">
        <v>391</v>
      </c>
      <c r="C331" s="116" t="s">
        <v>371</v>
      </c>
      <c r="D331" s="120">
        <v>2</v>
      </c>
      <c r="E331" s="116" t="s">
        <v>369</v>
      </c>
      <c r="F331" s="119" t="s">
        <v>369</v>
      </c>
      <c r="G331" s="192">
        <v>0</v>
      </c>
      <c r="H331" s="192">
        <v>0</v>
      </c>
      <c r="I331" s="192">
        <v>0</v>
      </c>
      <c r="J331" s="192">
        <v>0</v>
      </c>
      <c r="K331" s="192">
        <v>0</v>
      </c>
      <c r="L331" s="192">
        <v>0</v>
      </c>
      <c r="M331" s="192">
        <v>0</v>
      </c>
      <c r="N331" s="192">
        <v>0</v>
      </c>
      <c r="O331" s="192">
        <v>0</v>
      </c>
      <c r="P331" s="192">
        <v>0</v>
      </c>
      <c r="Q331" s="192">
        <v>0</v>
      </c>
      <c r="R331" s="192">
        <v>0</v>
      </c>
      <c r="S331" s="191">
        <v>0</v>
      </c>
      <c r="T331" s="192">
        <v>0</v>
      </c>
      <c r="U331" s="192">
        <v>0</v>
      </c>
      <c r="V331" s="192">
        <v>0</v>
      </c>
      <c r="W331" s="192">
        <v>0</v>
      </c>
      <c r="X331" s="192">
        <v>0</v>
      </c>
      <c r="Y331" s="192">
        <v>0</v>
      </c>
      <c r="Z331" s="192">
        <v>0</v>
      </c>
      <c r="AA331" s="192">
        <v>0</v>
      </c>
      <c r="AB331" s="192">
        <v>0</v>
      </c>
      <c r="AC331" s="192">
        <v>0</v>
      </c>
      <c r="AD331" s="193">
        <v>0</v>
      </c>
      <c r="AE331" s="191">
        <v>0</v>
      </c>
      <c r="AF331" s="192">
        <v>0</v>
      </c>
      <c r="AG331" s="192">
        <v>0</v>
      </c>
      <c r="AH331" s="192">
        <v>0</v>
      </c>
      <c r="AI331" s="192">
        <v>0</v>
      </c>
      <c r="AJ331" s="192">
        <v>0</v>
      </c>
      <c r="AK331" s="192">
        <v>0</v>
      </c>
      <c r="AL331" s="192">
        <v>0</v>
      </c>
      <c r="AM331" s="192">
        <v>0</v>
      </c>
      <c r="AN331" s="192">
        <v>0</v>
      </c>
      <c r="AO331" s="192">
        <v>0</v>
      </c>
      <c r="AP331" s="192">
        <v>0</v>
      </c>
      <c r="AQ331" s="151"/>
      <c r="AR331" s="96">
        <f t="shared" si="34"/>
        <v>0</v>
      </c>
      <c r="AS331" s="96">
        <f t="shared" si="35"/>
        <v>0</v>
      </c>
    </row>
    <row r="332" spans="1:45" ht="15.75" customHeight="1">
      <c r="A332" s="116"/>
      <c r="B332" s="190" t="s">
        <v>391</v>
      </c>
      <c r="C332" s="116" t="s">
        <v>372</v>
      </c>
      <c r="D332" s="120">
        <v>1</v>
      </c>
      <c r="E332" s="116" t="s">
        <v>369</v>
      </c>
      <c r="F332" s="119" t="s">
        <v>369</v>
      </c>
      <c r="G332" s="192">
        <v>0</v>
      </c>
      <c r="H332" s="192">
        <v>0</v>
      </c>
      <c r="I332" s="192">
        <v>1</v>
      </c>
      <c r="J332" s="192">
        <v>0</v>
      </c>
      <c r="K332" s="192">
        <v>0</v>
      </c>
      <c r="L332" s="192">
        <v>1</v>
      </c>
      <c r="M332" s="192">
        <v>1</v>
      </c>
      <c r="N332" s="192">
        <v>0</v>
      </c>
      <c r="O332" s="192">
        <v>0</v>
      </c>
      <c r="P332" s="192">
        <v>1</v>
      </c>
      <c r="Q332" s="192">
        <v>3</v>
      </c>
      <c r="R332" s="192">
        <v>1</v>
      </c>
      <c r="S332" s="191">
        <v>0</v>
      </c>
      <c r="T332" s="192">
        <v>0</v>
      </c>
      <c r="U332" s="192">
        <v>1</v>
      </c>
      <c r="V332" s="192">
        <v>1</v>
      </c>
      <c r="W332" s="192">
        <v>2</v>
      </c>
      <c r="X332" s="192">
        <v>0</v>
      </c>
      <c r="Y332" s="192">
        <v>0</v>
      </c>
      <c r="Z332" s="192">
        <v>0</v>
      </c>
      <c r="AA332" s="192">
        <v>0</v>
      </c>
      <c r="AB332" s="192">
        <v>2</v>
      </c>
      <c r="AC332" s="192">
        <v>0</v>
      </c>
      <c r="AD332" s="193">
        <v>2</v>
      </c>
      <c r="AE332" s="191">
        <v>1</v>
      </c>
      <c r="AF332" s="192">
        <v>0</v>
      </c>
      <c r="AG332" s="192">
        <v>0</v>
      </c>
      <c r="AH332" s="192">
        <v>0</v>
      </c>
      <c r="AI332" s="192">
        <v>0</v>
      </c>
      <c r="AJ332" s="192">
        <v>0</v>
      </c>
      <c r="AK332" s="192">
        <v>0</v>
      </c>
      <c r="AL332" s="192">
        <v>1</v>
      </c>
      <c r="AM332" s="192">
        <v>0</v>
      </c>
      <c r="AN332" s="192">
        <v>1</v>
      </c>
      <c r="AO332" s="192">
        <v>1</v>
      </c>
      <c r="AP332" s="192">
        <v>0</v>
      </c>
      <c r="AQ332" s="151"/>
      <c r="AR332" s="96">
        <f t="shared" si="34"/>
        <v>8</v>
      </c>
      <c r="AS332" s="96">
        <f t="shared" si="35"/>
        <v>4</v>
      </c>
    </row>
    <row r="333" spans="1:45" ht="15.75" customHeight="1">
      <c r="A333" s="116"/>
      <c r="B333" s="190" t="s">
        <v>391</v>
      </c>
      <c r="C333" s="116" t="s">
        <v>373</v>
      </c>
      <c r="D333" s="120">
        <v>1</v>
      </c>
      <c r="E333" s="116" t="s">
        <v>369</v>
      </c>
      <c r="F333" s="119" t="s">
        <v>369</v>
      </c>
      <c r="G333" s="192">
        <v>1</v>
      </c>
      <c r="H333" s="192">
        <v>0</v>
      </c>
      <c r="I333" s="192">
        <v>1</v>
      </c>
      <c r="J333" s="192">
        <v>0</v>
      </c>
      <c r="K333" s="192">
        <v>2</v>
      </c>
      <c r="L333" s="192">
        <v>2</v>
      </c>
      <c r="M333" s="192">
        <v>2</v>
      </c>
      <c r="N333" s="192">
        <v>1</v>
      </c>
      <c r="O333" s="192">
        <v>2</v>
      </c>
      <c r="P333" s="192">
        <v>5</v>
      </c>
      <c r="Q333" s="192">
        <v>2</v>
      </c>
      <c r="R333" s="192">
        <v>2</v>
      </c>
      <c r="S333" s="191">
        <v>0</v>
      </c>
      <c r="T333" s="192">
        <v>0</v>
      </c>
      <c r="U333" s="192">
        <v>0</v>
      </c>
      <c r="V333" s="192">
        <v>2</v>
      </c>
      <c r="W333" s="192">
        <v>2</v>
      </c>
      <c r="X333" s="192">
        <v>1</v>
      </c>
      <c r="Y333" s="192">
        <v>1</v>
      </c>
      <c r="Z333" s="192">
        <v>0</v>
      </c>
      <c r="AA333" s="192">
        <v>4</v>
      </c>
      <c r="AB333" s="192">
        <v>4</v>
      </c>
      <c r="AC333" s="192">
        <v>4</v>
      </c>
      <c r="AD333" s="193">
        <v>0</v>
      </c>
      <c r="AE333" s="191">
        <v>0</v>
      </c>
      <c r="AF333" s="192">
        <v>0</v>
      </c>
      <c r="AG333" s="192">
        <v>3</v>
      </c>
      <c r="AH333" s="192">
        <v>1</v>
      </c>
      <c r="AI333" s="192">
        <v>2</v>
      </c>
      <c r="AJ333" s="192">
        <v>0</v>
      </c>
      <c r="AK333" s="192">
        <v>1</v>
      </c>
      <c r="AL333" s="192">
        <v>3</v>
      </c>
      <c r="AM333" s="192">
        <v>1</v>
      </c>
      <c r="AN333" s="192">
        <v>3</v>
      </c>
      <c r="AO333" s="192">
        <v>1</v>
      </c>
      <c r="AP333" s="192">
        <v>2</v>
      </c>
      <c r="AQ333" s="151"/>
      <c r="AR333" s="96">
        <f t="shared" si="34"/>
        <v>18</v>
      </c>
      <c r="AS333" s="96">
        <f t="shared" si="35"/>
        <v>17</v>
      </c>
    </row>
    <row r="334" spans="1:45" ht="15.75" customHeight="1">
      <c r="A334" s="116"/>
      <c r="B334" s="190" t="s">
        <v>391</v>
      </c>
      <c r="C334" s="116" t="s">
        <v>374</v>
      </c>
      <c r="D334" s="120">
        <v>2</v>
      </c>
      <c r="E334" s="116" t="s">
        <v>369</v>
      </c>
      <c r="F334" s="119" t="s">
        <v>369</v>
      </c>
      <c r="G334" s="192">
        <v>0</v>
      </c>
      <c r="H334" s="192">
        <v>1</v>
      </c>
      <c r="I334" s="192">
        <v>1</v>
      </c>
      <c r="J334" s="192">
        <v>0</v>
      </c>
      <c r="K334" s="192">
        <v>1</v>
      </c>
      <c r="L334" s="192">
        <v>0</v>
      </c>
      <c r="M334" s="192">
        <v>1</v>
      </c>
      <c r="N334" s="192">
        <v>2</v>
      </c>
      <c r="O334" s="192">
        <v>0</v>
      </c>
      <c r="P334" s="192">
        <v>6</v>
      </c>
      <c r="Q334" s="192">
        <v>5</v>
      </c>
      <c r="R334" s="192">
        <v>1</v>
      </c>
      <c r="S334" s="191">
        <v>1</v>
      </c>
      <c r="T334" s="192">
        <v>1</v>
      </c>
      <c r="U334" s="192">
        <v>1</v>
      </c>
      <c r="V334" s="192">
        <v>1</v>
      </c>
      <c r="W334" s="192">
        <v>1</v>
      </c>
      <c r="X334" s="192">
        <v>0</v>
      </c>
      <c r="Y334" s="192">
        <v>0</v>
      </c>
      <c r="Z334" s="192">
        <v>0</v>
      </c>
      <c r="AA334" s="192">
        <v>1</v>
      </c>
      <c r="AB334" s="192">
        <v>4</v>
      </c>
      <c r="AC334" s="192">
        <v>4</v>
      </c>
      <c r="AD334" s="193">
        <v>1</v>
      </c>
      <c r="AE334" s="191">
        <v>0</v>
      </c>
      <c r="AF334" s="192">
        <v>1</v>
      </c>
      <c r="AG334" s="192">
        <v>1</v>
      </c>
      <c r="AH334" s="192">
        <v>0</v>
      </c>
      <c r="AI334" s="192">
        <v>2</v>
      </c>
      <c r="AJ334" s="192">
        <v>2</v>
      </c>
      <c r="AK334" s="192">
        <v>0</v>
      </c>
      <c r="AL334" s="192">
        <v>0</v>
      </c>
      <c r="AM334" s="192">
        <v>1</v>
      </c>
      <c r="AN334" s="192">
        <v>1</v>
      </c>
      <c r="AO334" s="192">
        <v>2</v>
      </c>
      <c r="AP334" s="192">
        <v>0</v>
      </c>
      <c r="AQ334" s="151"/>
      <c r="AR334" s="96">
        <f t="shared" si="34"/>
        <v>15</v>
      </c>
      <c r="AS334" s="96">
        <f t="shared" si="35"/>
        <v>10</v>
      </c>
    </row>
    <row r="335" spans="1:45" ht="15.75" customHeight="1">
      <c r="A335" s="116"/>
      <c r="B335" s="190" t="s">
        <v>391</v>
      </c>
      <c r="C335" s="116" t="s">
        <v>375</v>
      </c>
      <c r="D335" s="120">
        <v>1</v>
      </c>
      <c r="E335" s="116" t="s">
        <v>369</v>
      </c>
      <c r="F335" s="119" t="s">
        <v>369</v>
      </c>
      <c r="G335" s="192">
        <v>0</v>
      </c>
      <c r="H335" s="192">
        <v>0</v>
      </c>
      <c r="I335" s="192">
        <v>0</v>
      </c>
      <c r="J335" s="192">
        <v>0</v>
      </c>
      <c r="K335" s="192">
        <v>0</v>
      </c>
      <c r="L335" s="192">
        <v>0</v>
      </c>
      <c r="M335" s="192">
        <v>0</v>
      </c>
      <c r="N335" s="192">
        <v>0</v>
      </c>
      <c r="O335" s="192">
        <v>0</v>
      </c>
      <c r="P335" s="192">
        <v>0</v>
      </c>
      <c r="Q335" s="192">
        <v>0</v>
      </c>
      <c r="R335" s="192">
        <v>0</v>
      </c>
      <c r="S335" s="191">
        <v>0</v>
      </c>
      <c r="T335" s="192">
        <v>0</v>
      </c>
      <c r="U335" s="192">
        <v>0</v>
      </c>
      <c r="V335" s="192">
        <v>1</v>
      </c>
      <c r="W335" s="192">
        <v>1</v>
      </c>
      <c r="X335" s="192">
        <v>0</v>
      </c>
      <c r="Y335" s="192">
        <v>0</v>
      </c>
      <c r="Z335" s="192">
        <v>0</v>
      </c>
      <c r="AA335" s="192">
        <v>0</v>
      </c>
      <c r="AB335" s="192">
        <v>0</v>
      </c>
      <c r="AC335" s="192">
        <v>0</v>
      </c>
      <c r="AD335" s="193">
        <v>1</v>
      </c>
      <c r="AE335" s="191">
        <v>0</v>
      </c>
      <c r="AF335" s="192">
        <v>0</v>
      </c>
      <c r="AG335" s="192">
        <v>3</v>
      </c>
      <c r="AH335" s="192">
        <v>0</v>
      </c>
      <c r="AI335" s="192">
        <v>1</v>
      </c>
      <c r="AJ335" s="192">
        <v>0</v>
      </c>
      <c r="AK335" s="192">
        <v>0</v>
      </c>
      <c r="AL335" s="192">
        <v>0</v>
      </c>
      <c r="AM335" s="192">
        <v>1</v>
      </c>
      <c r="AN335" s="192">
        <v>1</v>
      </c>
      <c r="AO335" s="192">
        <v>0</v>
      </c>
      <c r="AP335" s="192">
        <v>0</v>
      </c>
      <c r="AQ335" s="151"/>
      <c r="AR335" s="96">
        <f t="shared" si="34"/>
        <v>3</v>
      </c>
      <c r="AS335" s="96">
        <f t="shared" si="35"/>
        <v>6</v>
      </c>
    </row>
    <row r="336" spans="1:45" ht="15.75" customHeight="1">
      <c r="A336" s="116"/>
      <c r="B336" s="190" t="s">
        <v>391</v>
      </c>
      <c r="C336" s="116" t="s">
        <v>376</v>
      </c>
      <c r="D336" s="120">
        <v>1</v>
      </c>
      <c r="E336" s="116" t="s">
        <v>377</v>
      </c>
      <c r="F336" s="119" t="s">
        <v>377</v>
      </c>
      <c r="G336" s="192">
        <v>2</v>
      </c>
      <c r="H336" s="192">
        <v>4</v>
      </c>
      <c r="I336" s="192">
        <v>0</v>
      </c>
      <c r="J336" s="192">
        <v>3</v>
      </c>
      <c r="K336" s="192">
        <v>1</v>
      </c>
      <c r="L336" s="192">
        <v>1</v>
      </c>
      <c r="M336" s="192">
        <v>0</v>
      </c>
      <c r="N336" s="192">
        <v>2</v>
      </c>
      <c r="O336" s="192">
        <v>2</v>
      </c>
      <c r="P336" s="192">
        <v>2</v>
      </c>
      <c r="Q336" s="192">
        <v>2</v>
      </c>
      <c r="R336" s="192">
        <v>3</v>
      </c>
      <c r="S336" s="191">
        <v>1</v>
      </c>
      <c r="T336" s="192">
        <v>1</v>
      </c>
      <c r="U336" s="192">
        <v>2</v>
      </c>
      <c r="V336" s="192">
        <v>1</v>
      </c>
      <c r="W336" s="192">
        <v>1</v>
      </c>
      <c r="X336" s="192">
        <v>3</v>
      </c>
      <c r="Y336" s="192">
        <v>2</v>
      </c>
      <c r="Z336" s="192">
        <v>1</v>
      </c>
      <c r="AA336" s="192">
        <v>1</v>
      </c>
      <c r="AB336" s="192">
        <v>2</v>
      </c>
      <c r="AC336" s="192">
        <v>1</v>
      </c>
      <c r="AD336" s="193">
        <v>3</v>
      </c>
      <c r="AE336" s="191">
        <v>2</v>
      </c>
      <c r="AF336" s="192">
        <v>2</v>
      </c>
      <c r="AG336" s="192">
        <v>4</v>
      </c>
      <c r="AH336" s="192">
        <v>0</v>
      </c>
      <c r="AI336" s="192">
        <v>2</v>
      </c>
      <c r="AJ336" s="192">
        <v>1</v>
      </c>
      <c r="AK336" s="192">
        <v>2</v>
      </c>
      <c r="AL336" s="192">
        <v>3</v>
      </c>
      <c r="AM336" s="192">
        <v>2</v>
      </c>
      <c r="AN336" s="192">
        <v>2</v>
      </c>
      <c r="AO336" s="192">
        <v>3</v>
      </c>
      <c r="AP336" s="192">
        <v>0</v>
      </c>
      <c r="AQ336" s="151"/>
      <c r="AR336" s="96">
        <f t="shared" si="34"/>
        <v>19</v>
      </c>
      <c r="AS336" s="96">
        <f t="shared" si="35"/>
        <v>23</v>
      </c>
    </row>
    <row r="337" spans="1:45" ht="15.75" customHeight="1">
      <c r="A337" s="116"/>
      <c r="B337" s="190" t="s">
        <v>391</v>
      </c>
      <c r="C337" s="116" t="s">
        <v>378</v>
      </c>
      <c r="D337" s="120">
        <v>1</v>
      </c>
      <c r="E337" s="116" t="s">
        <v>377</v>
      </c>
      <c r="F337" s="119" t="s">
        <v>377</v>
      </c>
      <c r="G337" s="192">
        <v>2</v>
      </c>
      <c r="H337" s="192">
        <v>0</v>
      </c>
      <c r="I337" s="192">
        <v>2</v>
      </c>
      <c r="J337" s="192">
        <v>1</v>
      </c>
      <c r="K337" s="192">
        <v>2</v>
      </c>
      <c r="L337" s="192">
        <v>1</v>
      </c>
      <c r="M337" s="192">
        <v>2</v>
      </c>
      <c r="N337" s="192">
        <v>0</v>
      </c>
      <c r="O337" s="192">
        <v>1</v>
      </c>
      <c r="P337" s="192">
        <v>3</v>
      </c>
      <c r="Q337" s="192">
        <v>2</v>
      </c>
      <c r="R337" s="192">
        <v>3</v>
      </c>
      <c r="S337" s="191">
        <v>3</v>
      </c>
      <c r="T337" s="192">
        <v>0</v>
      </c>
      <c r="U337" s="192">
        <v>1</v>
      </c>
      <c r="V337" s="192">
        <v>1</v>
      </c>
      <c r="W337" s="192">
        <v>2</v>
      </c>
      <c r="X337" s="192">
        <v>1</v>
      </c>
      <c r="Y337" s="192">
        <v>0</v>
      </c>
      <c r="Z337" s="192">
        <v>1</v>
      </c>
      <c r="AA337" s="192">
        <v>1</v>
      </c>
      <c r="AB337" s="192">
        <v>3</v>
      </c>
      <c r="AC337" s="192">
        <v>1</v>
      </c>
      <c r="AD337" s="193">
        <v>3</v>
      </c>
      <c r="AE337" s="191">
        <v>2</v>
      </c>
      <c r="AF337" s="192">
        <v>3</v>
      </c>
      <c r="AG337" s="192">
        <v>1</v>
      </c>
      <c r="AH337" s="192">
        <v>1</v>
      </c>
      <c r="AI337" s="192">
        <v>2</v>
      </c>
      <c r="AJ337" s="192">
        <v>4</v>
      </c>
      <c r="AK337" s="192">
        <v>3</v>
      </c>
      <c r="AL337" s="192">
        <v>2</v>
      </c>
      <c r="AM337" s="192">
        <v>3</v>
      </c>
      <c r="AN337" s="192">
        <v>2</v>
      </c>
      <c r="AO337" s="192">
        <v>3</v>
      </c>
      <c r="AP337" s="192">
        <v>2</v>
      </c>
      <c r="AQ337" s="151"/>
      <c r="AR337" s="96">
        <f t="shared" si="34"/>
        <v>17</v>
      </c>
      <c r="AS337" s="96">
        <f t="shared" si="35"/>
        <v>28</v>
      </c>
    </row>
    <row r="338" spans="1:45" ht="15.75" customHeight="1">
      <c r="A338" s="116"/>
      <c r="B338" s="190" t="s">
        <v>391</v>
      </c>
      <c r="C338" s="116" t="s">
        <v>452</v>
      </c>
      <c r="D338" s="120">
        <v>1</v>
      </c>
      <c r="E338" s="116" t="s">
        <v>377</v>
      </c>
      <c r="F338" s="119" t="s">
        <v>377</v>
      </c>
      <c r="G338" s="192">
        <v>0</v>
      </c>
      <c r="H338" s="192">
        <v>0</v>
      </c>
      <c r="I338" s="192">
        <v>0</v>
      </c>
      <c r="J338" s="192">
        <v>0</v>
      </c>
      <c r="K338" s="192">
        <v>0</v>
      </c>
      <c r="L338" s="192">
        <v>0</v>
      </c>
      <c r="M338" s="192">
        <v>0</v>
      </c>
      <c r="N338" s="192">
        <v>0</v>
      </c>
      <c r="O338" s="192">
        <v>0</v>
      </c>
      <c r="P338" s="192">
        <v>0</v>
      </c>
      <c r="Q338" s="192">
        <v>0</v>
      </c>
      <c r="R338" s="192">
        <v>0</v>
      </c>
      <c r="S338" s="191">
        <v>0</v>
      </c>
      <c r="T338" s="192">
        <v>0</v>
      </c>
      <c r="U338" s="192">
        <v>0</v>
      </c>
      <c r="V338" s="192">
        <v>0</v>
      </c>
      <c r="W338" s="192">
        <v>0</v>
      </c>
      <c r="X338" s="192">
        <v>0</v>
      </c>
      <c r="Y338" s="192">
        <v>0</v>
      </c>
      <c r="Z338" s="192">
        <v>0</v>
      </c>
      <c r="AA338" s="192">
        <v>0</v>
      </c>
      <c r="AB338" s="192">
        <v>0</v>
      </c>
      <c r="AC338" s="192">
        <v>0</v>
      </c>
      <c r="AD338" s="193">
        <v>0</v>
      </c>
      <c r="AE338" s="191">
        <v>0</v>
      </c>
      <c r="AF338" s="192">
        <v>0</v>
      </c>
      <c r="AG338" s="192">
        <v>0</v>
      </c>
      <c r="AH338" s="192">
        <v>0</v>
      </c>
      <c r="AI338" s="192">
        <v>0</v>
      </c>
      <c r="AJ338" s="192">
        <v>0</v>
      </c>
      <c r="AK338" s="192">
        <v>0</v>
      </c>
      <c r="AL338" s="192">
        <v>0</v>
      </c>
      <c r="AM338" s="192">
        <v>1</v>
      </c>
      <c r="AN338" s="192">
        <v>2</v>
      </c>
      <c r="AO338" s="192">
        <v>2</v>
      </c>
      <c r="AP338" s="192">
        <v>3</v>
      </c>
      <c r="AQ338" s="151"/>
      <c r="AR338" s="96">
        <f t="shared" si="34"/>
        <v>0</v>
      </c>
      <c r="AS338" s="96">
        <f t="shared" si="35"/>
        <v>8</v>
      </c>
    </row>
    <row r="339" spans="1:45" ht="15.75" customHeight="1">
      <c r="A339" s="116"/>
      <c r="B339" s="190" t="s">
        <v>391</v>
      </c>
      <c r="C339" s="116" t="s">
        <v>379</v>
      </c>
      <c r="D339" s="120">
        <v>1</v>
      </c>
      <c r="E339" s="116" t="s">
        <v>377</v>
      </c>
      <c r="F339" s="119" t="s">
        <v>377</v>
      </c>
      <c r="G339" s="192">
        <v>2</v>
      </c>
      <c r="H339" s="192">
        <v>2</v>
      </c>
      <c r="I339" s="192">
        <v>1</v>
      </c>
      <c r="J339" s="192">
        <v>1</v>
      </c>
      <c r="K339" s="192">
        <v>0</v>
      </c>
      <c r="L339" s="192">
        <v>1</v>
      </c>
      <c r="M339" s="192">
        <v>2</v>
      </c>
      <c r="N339" s="192">
        <v>0</v>
      </c>
      <c r="O339" s="192">
        <v>0</v>
      </c>
      <c r="P339" s="192">
        <v>3</v>
      </c>
      <c r="Q339" s="192">
        <v>1</v>
      </c>
      <c r="R339" s="192">
        <v>0</v>
      </c>
      <c r="S339" s="191">
        <v>1</v>
      </c>
      <c r="T339" s="192">
        <v>1</v>
      </c>
      <c r="U339" s="192">
        <v>0</v>
      </c>
      <c r="V339" s="192">
        <v>1</v>
      </c>
      <c r="W339" s="192">
        <v>1</v>
      </c>
      <c r="X339" s="192">
        <v>2</v>
      </c>
      <c r="Y339" s="192">
        <v>2</v>
      </c>
      <c r="Z339" s="192">
        <v>0</v>
      </c>
      <c r="AA339" s="192">
        <v>1</v>
      </c>
      <c r="AB339" s="192">
        <v>1</v>
      </c>
      <c r="AC339" s="192">
        <v>0</v>
      </c>
      <c r="AD339" s="193">
        <v>1</v>
      </c>
      <c r="AE339" s="191">
        <v>0</v>
      </c>
      <c r="AF339" s="192">
        <v>0</v>
      </c>
      <c r="AG339" s="192">
        <v>3</v>
      </c>
      <c r="AH339" s="192">
        <v>0</v>
      </c>
      <c r="AI339" s="192">
        <v>1</v>
      </c>
      <c r="AJ339" s="192">
        <v>2</v>
      </c>
      <c r="AK339" s="192">
        <v>1</v>
      </c>
      <c r="AL339" s="192">
        <v>2</v>
      </c>
      <c r="AM339" s="192">
        <v>1</v>
      </c>
      <c r="AN339" s="192">
        <v>1</v>
      </c>
      <c r="AO339" s="192">
        <v>1</v>
      </c>
      <c r="AP339" s="192">
        <v>1</v>
      </c>
      <c r="AQ339" s="151"/>
      <c r="AR339" s="96">
        <f t="shared" si="34"/>
        <v>11</v>
      </c>
      <c r="AS339" s="96">
        <f t="shared" si="35"/>
        <v>13</v>
      </c>
    </row>
    <row r="340" spans="1:45" ht="15.75" customHeight="1">
      <c r="A340" s="116"/>
      <c r="B340" s="190" t="s">
        <v>391</v>
      </c>
      <c r="C340" s="116" t="s">
        <v>380</v>
      </c>
      <c r="D340" s="120">
        <v>1</v>
      </c>
      <c r="E340" s="116" t="s">
        <v>377</v>
      </c>
      <c r="F340" s="119" t="s">
        <v>377</v>
      </c>
      <c r="G340" s="192">
        <v>5</v>
      </c>
      <c r="H340" s="192">
        <v>2</v>
      </c>
      <c r="I340" s="192">
        <v>3</v>
      </c>
      <c r="J340" s="192">
        <v>3</v>
      </c>
      <c r="K340" s="192">
        <v>2</v>
      </c>
      <c r="L340" s="192">
        <v>2</v>
      </c>
      <c r="M340" s="192">
        <v>4</v>
      </c>
      <c r="N340" s="192">
        <v>0</v>
      </c>
      <c r="O340" s="192">
        <v>3</v>
      </c>
      <c r="P340" s="192">
        <v>2</v>
      </c>
      <c r="Q340" s="192">
        <v>3</v>
      </c>
      <c r="R340" s="192">
        <v>1</v>
      </c>
      <c r="S340" s="191">
        <v>3</v>
      </c>
      <c r="T340" s="192">
        <v>1</v>
      </c>
      <c r="U340" s="192">
        <v>0</v>
      </c>
      <c r="V340" s="192">
        <v>1</v>
      </c>
      <c r="W340" s="192">
        <v>2</v>
      </c>
      <c r="X340" s="192">
        <v>1</v>
      </c>
      <c r="Y340" s="192">
        <v>1</v>
      </c>
      <c r="Z340" s="192">
        <v>2</v>
      </c>
      <c r="AA340" s="192">
        <v>1</v>
      </c>
      <c r="AB340" s="192">
        <v>3</v>
      </c>
      <c r="AC340" s="192">
        <v>1</v>
      </c>
      <c r="AD340" s="193">
        <v>2</v>
      </c>
      <c r="AE340" s="191">
        <v>2</v>
      </c>
      <c r="AF340" s="192">
        <v>1</v>
      </c>
      <c r="AG340" s="192">
        <v>1</v>
      </c>
      <c r="AH340" s="192">
        <v>1</v>
      </c>
      <c r="AI340" s="192">
        <v>1</v>
      </c>
      <c r="AJ340" s="192">
        <v>1</v>
      </c>
      <c r="AK340" s="192">
        <v>2</v>
      </c>
      <c r="AL340" s="192">
        <v>3</v>
      </c>
      <c r="AM340" s="192">
        <v>2</v>
      </c>
      <c r="AN340" s="192">
        <v>2</v>
      </c>
      <c r="AO340" s="192">
        <v>3</v>
      </c>
      <c r="AP340" s="192">
        <v>1</v>
      </c>
      <c r="AQ340" s="151"/>
      <c r="AR340" s="96">
        <f t="shared" si="34"/>
        <v>18</v>
      </c>
      <c r="AS340" s="96">
        <f t="shared" si="35"/>
        <v>20</v>
      </c>
    </row>
    <row r="341" spans="1:45" ht="15.75" customHeight="1">
      <c r="A341" s="116"/>
      <c r="B341" s="190" t="s">
        <v>391</v>
      </c>
      <c r="C341" s="116" t="s">
        <v>381</v>
      </c>
      <c r="D341" s="120">
        <v>2</v>
      </c>
      <c r="E341" s="116" t="s">
        <v>377</v>
      </c>
      <c r="F341" s="119" t="s">
        <v>377</v>
      </c>
      <c r="G341" s="192">
        <v>0</v>
      </c>
      <c r="H341" s="192">
        <v>0</v>
      </c>
      <c r="I341" s="192">
        <v>0</v>
      </c>
      <c r="J341" s="192">
        <v>0</v>
      </c>
      <c r="K341" s="192">
        <v>0</v>
      </c>
      <c r="L341" s="192">
        <v>0</v>
      </c>
      <c r="M341" s="192">
        <v>0</v>
      </c>
      <c r="N341" s="192">
        <v>0</v>
      </c>
      <c r="O341" s="192">
        <v>0</v>
      </c>
      <c r="P341" s="192">
        <v>0</v>
      </c>
      <c r="Q341" s="192">
        <v>2</v>
      </c>
      <c r="R341" s="192">
        <v>0</v>
      </c>
      <c r="S341" s="191">
        <v>0</v>
      </c>
      <c r="T341" s="192">
        <v>0</v>
      </c>
      <c r="U341" s="192">
        <v>0</v>
      </c>
      <c r="V341" s="192">
        <v>0</v>
      </c>
      <c r="W341" s="192">
        <v>0</v>
      </c>
      <c r="X341" s="192">
        <v>0</v>
      </c>
      <c r="Y341" s="192">
        <v>0</v>
      </c>
      <c r="Z341" s="192">
        <v>0</v>
      </c>
      <c r="AA341" s="192">
        <v>0</v>
      </c>
      <c r="AB341" s="192">
        <v>0</v>
      </c>
      <c r="AC341" s="192">
        <v>0</v>
      </c>
      <c r="AD341" s="193">
        <v>1</v>
      </c>
      <c r="AE341" s="191">
        <v>0</v>
      </c>
      <c r="AF341" s="192">
        <v>1</v>
      </c>
      <c r="AG341" s="192">
        <v>0</v>
      </c>
      <c r="AH341" s="192">
        <v>2</v>
      </c>
      <c r="AI341" s="192">
        <v>2</v>
      </c>
      <c r="AJ341" s="192">
        <v>0</v>
      </c>
      <c r="AK341" s="192">
        <v>0</v>
      </c>
      <c r="AL341" s="192">
        <v>1</v>
      </c>
      <c r="AM341" s="192">
        <v>2</v>
      </c>
      <c r="AN341" s="192">
        <v>1</v>
      </c>
      <c r="AO341" s="192">
        <v>2</v>
      </c>
      <c r="AP341" s="192">
        <v>4</v>
      </c>
      <c r="AQ341" s="151"/>
      <c r="AR341" s="96">
        <f t="shared" si="34"/>
        <v>1</v>
      </c>
      <c r="AS341" s="96">
        <f t="shared" si="35"/>
        <v>15</v>
      </c>
    </row>
    <row r="342" spans="1:45" ht="15.75" customHeight="1">
      <c r="A342" s="116"/>
      <c r="B342" s="190" t="s">
        <v>391</v>
      </c>
      <c r="C342" s="116" t="s">
        <v>382</v>
      </c>
      <c r="D342" s="120">
        <v>2</v>
      </c>
      <c r="E342" s="116" t="s">
        <v>377</v>
      </c>
      <c r="F342" s="119" t="s">
        <v>377</v>
      </c>
      <c r="G342" s="192">
        <v>2</v>
      </c>
      <c r="H342" s="192">
        <v>2</v>
      </c>
      <c r="I342" s="192">
        <v>5</v>
      </c>
      <c r="J342" s="192">
        <v>2</v>
      </c>
      <c r="K342" s="192">
        <v>2</v>
      </c>
      <c r="L342" s="192">
        <v>1</v>
      </c>
      <c r="M342" s="192">
        <v>3</v>
      </c>
      <c r="N342" s="192">
        <v>1</v>
      </c>
      <c r="O342" s="192">
        <v>4</v>
      </c>
      <c r="P342" s="192">
        <v>4</v>
      </c>
      <c r="Q342" s="192">
        <v>1</v>
      </c>
      <c r="R342" s="192">
        <v>4</v>
      </c>
      <c r="S342" s="191">
        <v>2</v>
      </c>
      <c r="T342" s="192">
        <v>5</v>
      </c>
      <c r="U342" s="192">
        <v>2</v>
      </c>
      <c r="V342" s="192">
        <v>5</v>
      </c>
      <c r="W342" s="192">
        <v>2</v>
      </c>
      <c r="X342" s="192">
        <v>2</v>
      </c>
      <c r="Y342" s="192">
        <v>2</v>
      </c>
      <c r="Z342" s="192">
        <v>1</v>
      </c>
      <c r="AA342" s="192">
        <v>4</v>
      </c>
      <c r="AB342" s="192">
        <v>6</v>
      </c>
      <c r="AC342" s="192">
        <v>6</v>
      </c>
      <c r="AD342" s="193">
        <v>3</v>
      </c>
      <c r="AE342" s="191">
        <v>1</v>
      </c>
      <c r="AF342" s="192">
        <v>3</v>
      </c>
      <c r="AG342" s="192">
        <v>4</v>
      </c>
      <c r="AH342" s="192">
        <v>3</v>
      </c>
      <c r="AI342" s="192">
        <v>3</v>
      </c>
      <c r="AJ342" s="192">
        <v>4</v>
      </c>
      <c r="AK342" s="192">
        <v>3</v>
      </c>
      <c r="AL342" s="192">
        <v>5</v>
      </c>
      <c r="AM342" s="192">
        <v>2</v>
      </c>
      <c r="AN342" s="192">
        <v>5</v>
      </c>
      <c r="AO342" s="192">
        <v>6</v>
      </c>
      <c r="AP342" s="192">
        <v>1</v>
      </c>
      <c r="AQ342" s="151"/>
      <c r="AR342" s="96">
        <f t="shared" si="34"/>
        <v>40</v>
      </c>
      <c r="AS342" s="96">
        <f t="shared" si="35"/>
        <v>40</v>
      </c>
    </row>
    <row r="343" spans="1:45" ht="15.75" customHeight="1">
      <c r="A343" s="116"/>
      <c r="B343" s="190" t="s">
        <v>391</v>
      </c>
      <c r="C343" s="116" t="s">
        <v>383</v>
      </c>
      <c r="D343" s="120">
        <v>1</v>
      </c>
      <c r="E343" s="116" t="s">
        <v>377</v>
      </c>
      <c r="F343" s="119" t="s">
        <v>377</v>
      </c>
      <c r="G343" s="192">
        <v>0</v>
      </c>
      <c r="H343" s="192">
        <v>0</v>
      </c>
      <c r="I343" s="192">
        <v>0</v>
      </c>
      <c r="J343" s="192">
        <v>0</v>
      </c>
      <c r="K343" s="192">
        <v>0</v>
      </c>
      <c r="L343" s="192">
        <v>0</v>
      </c>
      <c r="M343" s="192">
        <v>0</v>
      </c>
      <c r="N343" s="192">
        <v>0</v>
      </c>
      <c r="O343" s="192">
        <v>0</v>
      </c>
      <c r="P343" s="192">
        <v>0</v>
      </c>
      <c r="Q343" s="192">
        <v>0</v>
      </c>
      <c r="R343" s="192">
        <v>0</v>
      </c>
      <c r="S343" s="191">
        <v>0</v>
      </c>
      <c r="T343" s="192">
        <v>0</v>
      </c>
      <c r="U343" s="192">
        <v>0</v>
      </c>
      <c r="V343" s="192">
        <v>0</v>
      </c>
      <c r="W343" s="192">
        <v>0</v>
      </c>
      <c r="X343" s="192">
        <v>0</v>
      </c>
      <c r="Y343" s="192">
        <v>0</v>
      </c>
      <c r="Z343" s="192">
        <v>0</v>
      </c>
      <c r="AA343" s="192">
        <v>0</v>
      </c>
      <c r="AB343" s="192">
        <v>0</v>
      </c>
      <c r="AC343" s="192">
        <v>0</v>
      </c>
      <c r="AD343" s="193">
        <v>0</v>
      </c>
      <c r="AE343" s="191">
        <v>0</v>
      </c>
      <c r="AF343" s="192">
        <v>0</v>
      </c>
      <c r="AG343" s="192">
        <v>1</v>
      </c>
      <c r="AH343" s="192">
        <v>0</v>
      </c>
      <c r="AI343" s="192">
        <v>0</v>
      </c>
      <c r="AJ343" s="192">
        <v>1</v>
      </c>
      <c r="AK343" s="192">
        <v>0</v>
      </c>
      <c r="AL343" s="192">
        <v>0</v>
      </c>
      <c r="AM343" s="192">
        <v>0</v>
      </c>
      <c r="AN343" s="192">
        <v>0</v>
      </c>
      <c r="AO343" s="192">
        <v>1</v>
      </c>
      <c r="AP343" s="192">
        <v>1</v>
      </c>
      <c r="AQ343" s="151"/>
      <c r="AR343" s="96">
        <f t="shared" si="34"/>
        <v>0</v>
      </c>
      <c r="AS343" s="96">
        <f t="shared" si="35"/>
        <v>4</v>
      </c>
    </row>
    <row r="344" spans="1:45" ht="15.75" customHeight="1">
      <c r="A344" s="116"/>
      <c r="B344" s="190" t="s">
        <v>391</v>
      </c>
      <c r="C344" s="116" t="s">
        <v>384</v>
      </c>
      <c r="D344" s="120">
        <v>1</v>
      </c>
      <c r="E344" s="116" t="s">
        <v>385</v>
      </c>
      <c r="F344" s="119" t="s">
        <v>385</v>
      </c>
      <c r="G344" s="192">
        <v>4</v>
      </c>
      <c r="H344" s="192">
        <v>5</v>
      </c>
      <c r="I344" s="192">
        <v>5</v>
      </c>
      <c r="J344" s="192">
        <v>5</v>
      </c>
      <c r="K344" s="192">
        <v>5</v>
      </c>
      <c r="L344" s="192">
        <v>6</v>
      </c>
      <c r="M344" s="192">
        <v>8</v>
      </c>
      <c r="N344" s="192">
        <v>6</v>
      </c>
      <c r="O344" s="192">
        <v>8</v>
      </c>
      <c r="P344" s="192">
        <v>10</v>
      </c>
      <c r="Q344" s="192">
        <v>7</v>
      </c>
      <c r="R344" s="192">
        <v>4</v>
      </c>
      <c r="S344" s="191">
        <v>4</v>
      </c>
      <c r="T344" s="192">
        <v>4</v>
      </c>
      <c r="U344" s="192">
        <v>6</v>
      </c>
      <c r="V344" s="192">
        <v>5</v>
      </c>
      <c r="W344" s="192">
        <v>7</v>
      </c>
      <c r="X344" s="192">
        <v>6</v>
      </c>
      <c r="Y344" s="192">
        <v>5</v>
      </c>
      <c r="Z344" s="192">
        <v>4</v>
      </c>
      <c r="AA344" s="192">
        <v>7</v>
      </c>
      <c r="AB344" s="192">
        <v>8</v>
      </c>
      <c r="AC344" s="192">
        <v>6</v>
      </c>
      <c r="AD344" s="193">
        <v>6</v>
      </c>
      <c r="AE344" s="191">
        <v>2</v>
      </c>
      <c r="AF344" s="192">
        <v>4</v>
      </c>
      <c r="AG344" s="192">
        <v>5</v>
      </c>
      <c r="AH344" s="192">
        <v>6</v>
      </c>
      <c r="AI344" s="192">
        <v>6</v>
      </c>
      <c r="AJ344" s="192">
        <v>10</v>
      </c>
      <c r="AK344" s="192">
        <v>3</v>
      </c>
      <c r="AL344" s="192">
        <v>6</v>
      </c>
      <c r="AM344" s="192">
        <v>6</v>
      </c>
      <c r="AN344" s="192">
        <v>7</v>
      </c>
      <c r="AO344" s="192">
        <v>6</v>
      </c>
      <c r="AP344" s="192">
        <v>4</v>
      </c>
      <c r="AQ344" s="151"/>
      <c r="AR344" s="96">
        <f t="shared" si="34"/>
        <v>68</v>
      </c>
      <c r="AS344" s="96">
        <f t="shared" si="35"/>
        <v>65</v>
      </c>
    </row>
    <row r="345" spans="1:45" ht="15.75" customHeight="1">
      <c r="A345" s="116"/>
      <c r="B345" s="194" t="s">
        <v>391</v>
      </c>
      <c r="C345" s="195" t="s">
        <v>386</v>
      </c>
      <c r="D345" s="173">
        <v>1</v>
      </c>
      <c r="E345" s="174" t="s">
        <v>348</v>
      </c>
      <c r="F345" s="196" t="s">
        <v>363</v>
      </c>
      <c r="G345" s="197">
        <v>0</v>
      </c>
      <c r="H345" s="197">
        <v>0</v>
      </c>
      <c r="I345" s="197">
        <v>0</v>
      </c>
      <c r="J345" s="197">
        <v>0</v>
      </c>
      <c r="K345" s="197">
        <v>0</v>
      </c>
      <c r="L345" s="197">
        <v>0</v>
      </c>
      <c r="M345" s="197">
        <v>0</v>
      </c>
      <c r="N345" s="197">
        <v>0</v>
      </c>
      <c r="O345" s="197">
        <v>0</v>
      </c>
      <c r="P345" s="197">
        <v>0</v>
      </c>
      <c r="Q345" s="197">
        <v>0</v>
      </c>
      <c r="R345" s="197">
        <v>0</v>
      </c>
      <c r="S345" s="198">
        <v>0</v>
      </c>
      <c r="T345" s="197">
        <v>0</v>
      </c>
      <c r="U345" s="197">
        <v>0</v>
      </c>
      <c r="V345" s="197">
        <v>0</v>
      </c>
      <c r="W345" s="197">
        <v>0</v>
      </c>
      <c r="X345" s="197">
        <v>0</v>
      </c>
      <c r="Y345" s="197">
        <v>0</v>
      </c>
      <c r="Z345" s="197">
        <v>0</v>
      </c>
      <c r="AA345" s="197">
        <v>0</v>
      </c>
      <c r="AB345" s="197">
        <v>0</v>
      </c>
      <c r="AC345" s="197">
        <v>0</v>
      </c>
      <c r="AD345" s="199">
        <v>0</v>
      </c>
      <c r="AE345" s="198">
        <v>0</v>
      </c>
      <c r="AF345" s="197">
        <v>0</v>
      </c>
      <c r="AG345" s="197">
        <v>0</v>
      </c>
      <c r="AH345" s="197">
        <v>0</v>
      </c>
      <c r="AI345" s="197">
        <v>3</v>
      </c>
      <c r="AJ345" s="197">
        <v>1</v>
      </c>
      <c r="AK345" s="197">
        <v>0</v>
      </c>
      <c r="AL345" s="197">
        <v>0</v>
      </c>
      <c r="AM345" s="197">
        <v>1</v>
      </c>
      <c r="AN345" s="197">
        <v>4</v>
      </c>
      <c r="AO345" s="197">
        <v>3</v>
      </c>
      <c r="AP345" s="197">
        <v>0</v>
      </c>
      <c r="AQ345" s="151"/>
      <c r="AR345" s="96">
        <f t="shared" si="34"/>
        <v>0</v>
      </c>
      <c r="AS345" s="96">
        <f t="shared" si="35"/>
        <v>12</v>
      </c>
    </row>
    <row r="346" spans="1:45" ht="15.75" customHeight="1">
      <c r="A346" s="116"/>
      <c r="B346" s="190" t="s">
        <v>392</v>
      </c>
      <c r="C346" s="116" t="s">
        <v>347</v>
      </c>
      <c r="D346" s="120">
        <v>1</v>
      </c>
      <c r="E346" s="116" t="s">
        <v>348</v>
      </c>
      <c r="F346" s="119" t="s">
        <v>349</v>
      </c>
      <c r="G346" s="191">
        <v>0</v>
      </c>
      <c r="H346" s="192">
        <v>0</v>
      </c>
      <c r="I346" s="192">
        <v>1</v>
      </c>
      <c r="J346" s="192">
        <v>1</v>
      </c>
      <c r="K346" s="192">
        <v>0</v>
      </c>
      <c r="L346" s="192">
        <v>0</v>
      </c>
      <c r="M346" s="192">
        <v>0</v>
      </c>
      <c r="N346" s="192">
        <v>0</v>
      </c>
      <c r="O346" s="192">
        <v>2</v>
      </c>
      <c r="P346" s="192">
        <v>3</v>
      </c>
      <c r="Q346" s="192">
        <v>0</v>
      </c>
      <c r="R346" s="192">
        <v>0</v>
      </c>
      <c r="S346" s="191">
        <v>1</v>
      </c>
      <c r="T346" s="192">
        <v>1</v>
      </c>
      <c r="U346" s="192">
        <v>0</v>
      </c>
      <c r="V346" s="192">
        <v>1</v>
      </c>
      <c r="W346" s="192">
        <v>3</v>
      </c>
      <c r="X346" s="192">
        <v>0</v>
      </c>
      <c r="Y346" s="192">
        <v>1</v>
      </c>
      <c r="Z346" s="192">
        <v>0</v>
      </c>
      <c r="AA346" s="192">
        <v>0</v>
      </c>
      <c r="AB346" s="192">
        <v>0</v>
      </c>
      <c r="AC346" s="192">
        <v>4</v>
      </c>
      <c r="AD346" s="193">
        <v>0</v>
      </c>
      <c r="AE346" s="191">
        <v>1</v>
      </c>
      <c r="AF346" s="192">
        <v>0</v>
      </c>
      <c r="AG346" s="192">
        <v>1</v>
      </c>
      <c r="AH346" s="192">
        <v>1</v>
      </c>
      <c r="AI346" s="192">
        <v>2</v>
      </c>
      <c r="AJ346" s="192">
        <v>0</v>
      </c>
      <c r="AK346" s="192">
        <v>1</v>
      </c>
      <c r="AL346" s="192">
        <v>1</v>
      </c>
      <c r="AM346" s="192">
        <v>0</v>
      </c>
      <c r="AN346" s="192">
        <v>4</v>
      </c>
      <c r="AO346" s="192">
        <v>0</v>
      </c>
      <c r="AP346" s="192">
        <v>0</v>
      </c>
      <c r="AQ346" s="151"/>
      <c r="AR346" s="96">
        <f t="shared" si="34"/>
        <v>11</v>
      </c>
      <c r="AS346" s="96">
        <f t="shared" si="35"/>
        <v>11</v>
      </c>
    </row>
    <row r="347" spans="1:45" ht="15.75" customHeight="1">
      <c r="A347" s="116"/>
      <c r="B347" s="190" t="s">
        <v>392</v>
      </c>
      <c r="C347" s="116" t="s">
        <v>350</v>
      </c>
      <c r="D347" s="120">
        <v>2</v>
      </c>
      <c r="E347" s="116" t="s">
        <v>348</v>
      </c>
      <c r="F347" s="119" t="s">
        <v>349</v>
      </c>
      <c r="G347" s="192">
        <v>0</v>
      </c>
      <c r="H347" s="192">
        <v>1</v>
      </c>
      <c r="I347" s="192">
        <v>5</v>
      </c>
      <c r="J347" s="192">
        <v>2</v>
      </c>
      <c r="K347" s="192">
        <v>4</v>
      </c>
      <c r="L347" s="192">
        <v>3</v>
      </c>
      <c r="M347" s="192">
        <v>0</v>
      </c>
      <c r="N347" s="192">
        <v>3</v>
      </c>
      <c r="O347" s="192">
        <v>2</v>
      </c>
      <c r="P347" s="192">
        <v>3</v>
      </c>
      <c r="Q347" s="192">
        <v>3</v>
      </c>
      <c r="R347" s="192">
        <v>2</v>
      </c>
      <c r="S347" s="191">
        <v>1</v>
      </c>
      <c r="T347" s="192">
        <v>1</v>
      </c>
      <c r="U347" s="192">
        <v>2</v>
      </c>
      <c r="V347" s="192">
        <v>1</v>
      </c>
      <c r="W347" s="192">
        <v>2</v>
      </c>
      <c r="X347" s="192">
        <v>0</v>
      </c>
      <c r="Y347" s="192">
        <v>1</v>
      </c>
      <c r="Z347" s="192">
        <v>2</v>
      </c>
      <c r="AA347" s="192">
        <v>0</v>
      </c>
      <c r="AB347" s="192">
        <v>1</v>
      </c>
      <c r="AC347" s="192">
        <v>2</v>
      </c>
      <c r="AD347" s="193">
        <v>2</v>
      </c>
      <c r="AE347" s="191">
        <v>1</v>
      </c>
      <c r="AF347" s="192">
        <v>0</v>
      </c>
      <c r="AG347" s="192">
        <v>2</v>
      </c>
      <c r="AH347" s="192">
        <v>2</v>
      </c>
      <c r="AI347" s="192">
        <v>1</v>
      </c>
      <c r="AJ347" s="192">
        <v>2</v>
      </c>
      <c r="AK347" s="192">
        <v>4</v>
      </c>
      <c r="AL347" s="192">
        <v>2</v>
      </c>
      <c r="AM347" s="192">
        <v>1</v>
      </c>
      <c r="AN347" s="192">
        <v>3</v>
      </c>
      <c r="AO347" s="192">
        <v>2</v>
      </c>
      <c r="AP347" s="192">
        <v>1</v>
      </c>
      <c r="AQ347" s="151"/>
      <c r="AR347" s="96">
        <f t="shared" si="34"/>
        <v>15</v>
      </c>
      <c r="AS347" s="96">
        <f t="shared" si="35"/>
        <v>21</v>
      </c>
    </row>
    <row r="348" spans="1:45" ht="15.75" customHeight="1">
      <c r="A348" s="116"/>
      <c r="B348" s="190" t="s">
        <v>392</v>
      </c>
      <c r="C348" s="116" t="s">
        <v>351</v>
      </c>
      <c r="D348" s="120">
        <v>2</v>
      </c>
      <c r="E348" s="116" t="s">
        <v>348</v>
      </c>
      <c r="F348" s="119" t="s">
        <v>349</v>
      </c>
      <c r="G348" s="192">
        <v>2</v>
      </c>
      <c r="H348" s="192">
        <v>2</v>
      </c>
      <c r="I348" s="192">
        <v>6</v>
      </c>
      <c r="J348" s="192">
        <v>2</v>
      </c>
      <c r="K348" s="192">
        <v>1</v>
      </c>
      <c r="L348" s="192">
        <v>3</v>
      </c>
      <c r="M348" s="192">
        <v>3</v>
      </c>
      <c r="N348" s="192">
        <v>1</v>
      </c>
      <c r="O348" s="192">
        <v>4</v>
      </c>
      <c r="P348" s="192">
        <v>3</v>
      </c>
      <c r="Q348" s="192">
        <v>2</v>
      </c>
      <c r="R348" s="192">
        <v>2</v>
      </c>
      <c r="S348" s="191">
        <v>0</v>
      </c>
      <c r="T348" s="192">
        <v>0</v>
      </c>
      <c r="U348" s="192">
        <v>2</v>
      </c>
      <c r="V348" s="192">
        <v>2</v>
      </c>
      <c r="W348" s="192">
        <v>5</v>
      </c>
      <c r="X348" s="192">
        <v>4</v>
      </c>
      <c r="Y348" s="192">
        <v>4</v>
      </c>
      <c r="Z348" s="192">
        <v>1</v>
      </c>
      <c r="AA348" s="192">
        <v>2</v>
      </c>
      <c r="AB348" s="192">
        <v>4</v>
      </c>
      <c r="AC348" s="192">
        <v>3</v>
      </c>
      <c r="AD348" s="193">
        <v>3</v>
      </c>
      <c r="AE348" s="191">
        <v>0</v>
      </c>
      <c r="AF348" s="192">
        <v>0</v>
      </c>
      <c r="AG348" s="192">
        <v>0</v>
      </c>
      <c r="AH348" s="192">
        <v>1</v>
      </c>
      <c r="AI348" s="192">
        <v>4</v>
      </c>
      <c r="AJ348" s="192">
        <v>3</v>
      </c>
      <c r="AK348" s="192">
        <v>0</v>
      </c>
      <c r="AL348" s="192">
        <v>2</v>
      </c>
      <c r="AM348" s="192">
        <v>2</v>
      </c>
      <c r="AN348" s="192">
        <v>4</v>
      </c>
      <c r="AO348" s="192">
        <v>1</v>
      </c>
      <c r="AP348" s="192">
        <v>2</v>
      </c>
      <c r="AQ348" s="151"/>
      <c r="AR348" s="96">
        <f t="shared" si="34"/>
        <v>30</v>
      </c>
      <c r="AS348" s="96">
        <f t="shared" si="35"/>
        <v>19</v>
      </c>
    </row>
    <row r="349" spans="1:45" ht="15.75" customHeight="1">
      <c r="A349" s="116"/>
      <c r="B349" s="190" t="s">
        <v>392</v>
      </c>
      <c r="C349" s="116" t="s">
        <v>352</v>
      </c>
      <c r="D349" s="120">
        <v>1</v>
      </c>
      <c r="E349" s="116" t="s">
        <v>348</v>
      </c>
      <c r="F349" s="119" t="s">
        <v>349</v>
      </c>
      <c r="G349" s="192">
        <v>0</v>
      </c>
      <c r="H349" s="192">
        <v>0</v>
      </c>
      <c r="I349" s="192">
        <v>1</v>
      </c>
      <c r="J349" s="192">
        <v>2</v>
      </c>
      <c r="K349" s="192">
        <v>1</v>
      </c>
      <c r="L349" s="192">
        <v>2</v>
      </c>
      <c r="M349" s="192">
        <v>1</v>
      </c>
      <c r="N349" s="192">
        <v>2</v>
      </c>
      <c r="O349" s="192">
        <v>4</v>
      </c>
      <c r="P349" s="192">
        <v>4</v>
      </c>
      <c r="Q349" s="192">
        <v>2</v>
      </c>
      <c r="R349" s="192">
        <v>2</v>
      </c>
      <c r="S349" s="191">
        <v>1</v>
      </c>
      <c r="T349" s="192">
        <v>2</v>
      </c>
      <c r="U349" s="192">
        <v>3</v>
      </c>
      <c r="V349" s="192">
        <v>1</v>
      </c>
      <c r="W349" s="192">
        <v>4</v>
      </c>
      <c r="X349" s="192">
        <v>3</v>
      </c>
      <c r="Y349" s="192">
        <v>1</v>
      </c>
      <c r="Z349" s="192">
        <v>1</v>
      </c>
      <c r="AA349" s="192">
        <v>2</v>
      </c>
      <c r="AB349" s="192">
        <v>4</v>
      </c>
      <c r="AC349" s="192">
        <v>2</v>
      </c>
      <c r="AD349" s="193">
        <v>2</v>
      </c>
      <c r="AE349" s="191">
        <v>1</v>
      </c>
      <c r="AF349" s="192">
        <v>0</v>
      </c>
      <c r="AG349" s="192">
        <v>4</v>
      </c>
      <c r="AH349" s="192">
        <v>3</v>
      </c>
      <c r="AI349" s="192">
        <v>3</v>
      </c>
      <c r="AJ349" s="192">
        <v>3</v>
      </c>
      <c r="AK349" s="192">
        <v>3</v>
      </c>
      <c r="AL349" s="192">
        <v>2</v>
      </c>
      <c r="AM349" s="192">
        <v>4</v>
      </c>
      <c r="AN349" s="192">
        <v>4</v>
      </c>
      <c r="AO349" s="192">
        <v>4</v>
      </c>
      <c r="AP349" s="192">
        <v>1</v>
      </c>
      <c r="AQ349" s="151"/>
      <c r="AR349" s="96">
        <f t="shared" si="34"/>
        <v>26</v>
      </c>
      <c r="AS349" s="96">
        <f t="shared" si="35"/>
        <v>32</v>
      </c>
    </row>
    <row r="350" spans="1:45" ht="15.75" customHeight="1">
      <c r="A350" s="116"/>
      <c r="B350" s="190" t="s">
        <v>392</v>
      </c>
      <c r="C350" s="116" t="s">
        <v>353</v>
      </c>
      <c r="D350" s="120">
        <v>1</v>
      </c>
      <c r="E350" s="116" t="s">
        <v>348</v>
      </c>
      <c r="F350" s="119" t="s">
        <v>349</v>
      </c>
      <c r="G350" s="192">
        <v>0</v>
      </c>
      <c r="H350" s="192">
        <v>1</v>
      </c>
      <c r="I350" s="192">
        <v>1</v>
      </c>
      <c r="J350" s="192">
        <v>0</v>
      </c>
      <c r="K350" s="192">
        <v>0</v>
      </c>
      <c r="L350" s="192">
        <v>1</v>
      </c>
      <c r="M350" s="192">
        <v>1</v>
      </c>
      <c r="N350" s="192">
        <v>2</v>
      </c>
      <c r="O350" s="192">
        <v>2</v>
      </c>
      <c r="P350" s="192">
        <v>2</v>
      </c>
      <c r="Q350" s="192">
        <v>2</v>
      </c>
      <c r="R350" s="192">
        <v>4</v>
      </c>
      <c r="S350" s="191">
        <v>0</v>
      </c>
      <c r="T350" s="192">
        <v>1</v>
      </c>
      <c r="U350" s="192">
        <v>1</v>
      </c>
      <c r="V350" s="192">
        <v>2</v>
      </c>
      <c r="W350" s="192">
        <v>1</v>
      </c>
      <c r="X350" s="192">
        <v>1</v>
      </c>
      <c r="Y350" s="192">
        <v>2</v>
      </c>
      <c r="Z350" s="192">
        <v>0</v>
      </c>
      <c r="AA350" s="192">
        <v>0</v>
      </c>
      <c r="AB350" s="192">
        <v>3</v>
      </c>
      <c r="AC350" s="192">
        <v>2</v>
      </c>
      <c r="AD350" s="193">
        <v>2</v>
      </c>
      <c r="AE350" s="191">
        <v>1</v>
      </c>
      <c r="AF350" s="192">
        <v>1</v>
      </c>
      <c r="AG350" s="192">
        <v>1</v>
      </c>
      <c r="AH350" s="192">
        <v>0</v>
      </c>
      <c r="AI350" s="192">
        <v>0</v>
      </c>
      <c r="AJ350" s="192">
        <v>1</v>
      </c>
      <c r="AK350" s="192">
        <v>1</v>
      </c>
      <c r="AL350" s="192">
        <v>2</v>
      </c>
      <c r="AM350" s="192">
        <v>0</v>
      </c>
      <c r="AN350" s="192">
        <v>1</v>
      </c>
      <c r="AO350" s="192">
        <v>1</v>
      </c>
      <c r="AP350" s="192">
        <v>0</v>
      </c>
      <c r="AQ350" s="151"/>
      <c r="AR350" s="96">
        <f t="shared" si="34"/>
        <v>15</v>
      </c>
      <c r="AS350" s="96">
        <f t="shared" si="35"/>
        <v>9</v>
      </c>
    </row>
    <row r="351" spans="1:45" ht="15.75" customHeight="1">
      <c r="A351" s="116"/>
      <c r="B351" s="190" t="s">
        <v>392</v>
      </c>
      <c r="C351" s="116" t="s">
        <v>354</v>
      </c>
      <c r="D351" s="120">
        <v>1</v>
      </c>
      <c r="E351" s="116" t="s">
        <v>348</v>
      </c>
      <c r="F351" s="119" t="s">
        <v>355</v>
      </c>
      <c r="G351" s="192">
        <v>0</v>
      </c>
      <c r="H351" s="192">
        <v>0</v>
      </c>
      <c r="I351" s="192">
        <v>4</v>
      </c>
      <c r="J351" s="192">
        <v>1</v>
      </c>
      <c r="K351" s="192">
        <v>3</v>
      </c>
      <c r="L351" s="192">
        <v>4</v>
      </c>
      <c r="M351" s="192">
        <v>2</v>
      </c>
      <c r="N351" s="192">
        <v>1</v>
      </c>
      <c r="O351" s="192">
        <v>3</v>
      </c>
      <c r="P351" s="192">
        <v>4</v>
      </c>
      <c r="Q351" s="192">
        <v>3</v>
      </c>
      <c r="R351" s="192">
        <v>3</v>
      </c>
      <c r="S351" s="191">
        <v>2</v>
      </c>
      <c r="T351" s="192">
        <v>2</v>
      </c>
      <c r="U351" s="192">
        <v>2</v>
      </c>
      <c r="V351" s="192">
        <v>2</v>
      </c>
      <c r="W351" s="192">
        <v>3</v>
      </c>
      <c r="X351" s="192">
        <v>4</v>
      </c>
      <c r="Y351" s="192">
        <v>4</v>
      </c>
      <c r="Z351" s="192">
        <v>3</v>
      </c>
      <c r="AA351" s="192">
        <v>3</v>
      </c>
      <c r="AB351" s="192">
        <v>3</v>
      </c>
      <c r="AC351" s="192">
        <v>4</v>
      </c>
      <c r="AD351" s="193">
        <v>0</v>
      </c>
      <c r="AE351" s="191">
        <v>1</v>
      </c>
      <c r="AF351" s="192">
        <v>4</v>
      </c>
      <c r="AG351" s="192">
        <v>2</v>
      </c>
      <c r="AH351" s="192">
        <v>2</v>
      </c>
      <c r="AI351" s="192">
        <v>3</v>
      </c>
      <c r="AJ351" s="192">
        <v>3</v>
      </c>
      <c r="AK351" s="192">
        <v>3</v>
      </c>
      <c r="AL351" s="192">
        <v>2</v>
      </c>
      <c r="AM351" s="192">
        <v>3</v>
      </c>
      <c r="AN351" s="192">
        <v>5</v>
      </c>
      <c r="AO351" s="192">
        <v>3</v>
      </c>
      <c r="AP351" s="192">
        <v>2</v>
      </c>
      <c r="AQ351" s="151"/>
      <c r="AR351" s="96">
        <f t="shared" si="34"/>
        <v>32</v>
      </c>
      <c r="AS351" s="96">
        <f t="shared" si="35"/>
        <v>33</v>
      </c>
    </row>
    <row r="352" spans="1:45" ht="15.75" customHeight="1">
      <c r="A352" s="116"/>
      <c r="B352" s="190" t="s">
        <v>392</v>
      </c>
      <c r="C352" s="116" t="s">
        <v>356</v>
      </c>
      <c r="D352" s="120">
        <v>1</v>
      </c>
      <c r="E352" s="116" t="s">
        <v>348</v>
      </c>
      <c r="F352" s="119" t="s">
        <v>355</v>
      </c>
      <c r="G352" s="192">
        <v>0</v>
      </c>
      <c r="H352" s="192">
        <v>1</v>
      </c>
      <c r="I352" s="192">
        <v>0</v>
      </c>
      <c r="J352" s="192">
        <v>1</v>
      </c>
      <c r="K352" s="192">
        <v>0</v>
      </c>
      <c r="L352" s="192">
        <v>1</v>
      </c>
      <c r="M352" s="192">
        <v>1</v>
      </c>
      <c r="N352" s="192">
        <v>1</v>
      </c>
      <c r="O352" s="192">
        <v>0</v>
      </c>
      <c r="P352" s="192">
        <v>2</v>
      </c>
      <c r="Q352" s="192">
        <v>2</v>
      </c>
      <c r="R352" s="192">
        <v>1</v>
      </c>
      <c r="S352" s="191">
        <v>0</v>
      </c>
      <c r="T352" s="192">
        <v>0</v>
      </c>
      <c r="U352" s="192">
        <v>0</v>
      </c>
      <c r="V352" s="192">
        <v>1</v>
      </c>
      <c r="W352" s="192">
        <v>0</v>
      </c>
      <c r="X352" s="192">
        <v>1</v>
      </c>
      <c r="Y352" s="192">
        <v>0</v>
      </c>
      <c r="Z352" s="192">
        <v>1</v>
      </c>
      <c r="AA352" s="192">
        <v>1</v>
      </c>
      <c r="AB352" s="192">
        <v>3</v>
      </c>
      <c r="AC352" s="192">
        <v>2</v>
      </c>
      <c r="AD352" s="193">
        <v>2</v>
      </c>
      <c r="AE352" s="191">
        <v>0</v>
      </c>
      <c r="AF352" s="192">
        <v>1</v>
      </c>
      <c r="AG352" s="192">
        <v>3</v>
      </c>
      <c r="AH352" s="192">
        <v>1</v>
      </c>
      <c r="AI352" s="192">
        <v>1</v>
      </c>
      <c r="AJ352" s="192">
        <v>2</v>
      </c>
      <c r="AK352" s="192">
        <v>0</v>
      </c>
      <c r="AL352" s="192">
        <v>1</v>
      </c>
      <c r="AM352" s="192">
        <v>0</v>
      </c>
      <c r="AN352" s="192">
        <v>3</v>
      </c>
      <c r="AO352" s="192">
        <v>3</v>
      </c>
      <c r="AP352" s="192">
        <v>2</v>
      </c>
      <c r="AQ352" s="151"/>
      <c r="AR352" s="96">
        <f t="shared" si="34"/>
        <v>11</v>
      </c>
      <c r="AS352" s="96">
        <f t="shared" si="35"/>
        <v>17</v>
      </c>
    </row>
    <row r="353" spans="1:45" ht="15.75" customHeight="1">
      <c r="A353" s="116"/>
      <c r="B353" s="190" t="s">
        <v>392</v>
      </c>
      <c r="C353" s="116" t="s">
        <v>357</v>
      </c>
      <c r="D353" s="120">
        <v>2</v>
      </c>
      <c r="E353" s="116" t="s">
        <v>348</v>
      </c>
      <c r="F353" s="119" t="s">
        <v>355</v>
      </c>
      <c r="G353" s="192">
        <v>0</v>
      </c>
      <c r="H353" s="192">
        <v>2</v>
      </c>
      <c r="I353" s="192">
        <v>1</v>
      </c>
      <c r="J353" s="192">
        <v>2</v>
      </c>
      <c r="K353" s="192">
        <v>1</v>
      </c>
      <c r="L353" s="192">
        <v>2</v>
      </c>
      <c r="M353" s="192">
        <v>2</v>
      </c>
      <c r="N353" s="192">
        <v>2</v>
      </c>
      <c r="O353" s="192">
        <v>1</v>
      </c>
      <c r="P353" s="192">
        <v>5</v>
      </c>
      <c r="Q353" s="192">
        <v>4</v>
      </c>
      <c r="R353" s="192">
        <v>3</v>
      </c>
      <c r="S353" s="191">
        <v>0</v>
      </c>
      <c r="T353" s="192">
        <v>0</v>
      </c>
      <c r="U353" s="192">
        <v>6</v>
      </c>
      <c r="V353" s="192">
        <v>2</v>
      </c>
      <c r="W353" s="192">
        <v>1</v>
      </c>
      <c r="X353" s="192">
        <v>2</v>
      </c>
      <c r="Y353" s="192">
        <v>1</v>
      </c>
      <c r="Z353" s="192">
        <v>2</v>
      </c>
      <c r="AA353" s="192">
        <v>0</v>
      </c>
      <c r="AB353" s="192">
        <v>6</v>
      </c>
      <c r="AC353" s="192">
        <v>8</v>
      </c>
      <c r="AD353" s="193">
        <v>3</v>
      </c>
      <c r="AE353" s="191">
        <v>0</v>
      </c>
      <c r="AF353" s="192">
        <v>2</v>
      </c>
      <c r="AG353" s="192">
        <v>0</v>
      </c>
      <c r="AH353" s="192">
        <v>1</v>
      </c>
      <c r="AI353" s="192">
        <v>1</v>
      </c>
      <c r="AJ353" s="192">
        <v>2</v>
      </c>
      <c r="AK353" s="192">
        <v>1</v>
      </c>
      <c r="AL353" s="192">
        <v>3</v>
      </c>
      <c r="AM353" s="192">
        <v>2</v>
      </c>
      <c r="AN353" s="192">
        <v>8</v>
      </c>
      <c r="AO353" s="192">
        <v>7</v>
      </c>
      <c r="AP353" s="192">
        <v>4</v>
      </c>
      <c r="AQ353" s="151"/>
      <c r="AR353" s="96">
        <f t="shared" si="34"/>
        <v>31</v>
      </c>
      <c r="AS353" s="96">
        <f t="shared" si="35"/>
        <v>31</v>
      </c>
    </row>
    <row r="354" spans="1:45" ht="15.75" customHeight="1">
      <c r="A354" s="116"/>
      <c r="B354" s="190" t="s">
        <v>392</v>
      </c>
      <c r="C354" s="116" t="s">
        <v>358</v>
      </c>
      <c r="D354" s="120">
        <v>1</v>
      </c>
      <c r="E354" s="116" t="s">
        <v>348</v>
      </c>
      <c r="F354" s="119" t="s">
        <v>355</v>
      </c>
      <c r="G354" s="192">
        <v>0</v>
      </c>
      <c r="H354" s="192">
        <v>3</v>
      </c>
      <c r="I354" s="192">
        <v>2</v>
      </c>
      <c r="J354" s="192">
        <v>3</v>
      </c>
      <c r="K354" s="192">
        <v>2</v>
      </c>
      <c r="L354" s="192">
        <v>0</v>
      </c>
      <c r="M354" s="192">
        <v>1</v>
      </c>
      <c r="N354" s="192">
        <v>1</v>
      </c>
      <c r="O354" s="192">
        <v>2</v>
      </c>
      <c r="P354" s="192">
        <v>4</v>
      </c>
      <c r="Q354" s="192">
        <v>2</v>
      </c>
      <c r="R354" s="192">
        <v>1</v>
      </c>
      <c r="S354" s="191">
        <v>0</v>
      </c>
      <c r="T354" s="192">
        <v>0</v>
      </c>
      <c r="U354" s="192">
        <v>1</v>
      </c>
      <c r="V354" s="192">
        <v>3</v>
      </c>
      <c r="W354" s="192">
        <v>2</v>
      </c>
      <c r="X354" s="192">
        <v>3</v>
      </c>
      <c r="Y354" s="192">
        <v>0</v>
      </c>
      <c r="Z354" s="192">
        <v>2</v>
      </c>
      <c r="AA354" s="192">
        <v>3</v>
      </c>
      <c r="AB354" s="192">
        <v>2</v>
      </c>
      <c r="AC354" s="192">
        <v>3</v>
      </c>
      <c r="AD354" s="193">
        <v>2</v>
      </c>
      <c r="AE354" s="191">
        <v>1</v>
      </c>
      <c r="AF354" s="192">
        <v>2</v>
      </c>
      <c r="AG354" s="192">
        <v>1</v>
      </c>
      <c r="AH354" s="192">
        <v>4</v>
      </c>
      <c r="AI354" s="192">
        <v>2</v>
      </c>
      <c r="AJ354" s="192">
        <v>1</v>
      </c>
      <c r="AK354" s="192">
        <v>1</v>
      </c>
      <c r="AL354" s="192">
        <v>1</v>
      </c>
      <c r="AM354" s="192">
        <v>2</v>
      </c>
      <c r="AN354" s="192">
        <v>5</v>
      </c>
      <c r="AO354" s="192">
        <v>3</v>
      </c>
      <c r="AP354" s="192">
        <v>1</v>
      </c>
      <c r="AQ354" s="151"/>
      <c r="AR354" s="96">
        <f t="shared" si="34"/>
        <v>21</v>
      </c>
      <c r="AS354" s="96">
        <f t="shared" si="35"/>
        <v>24</v>
      </c>
    </row>
    <row r="355" spans="1:45" ht="15.75" customHeight="1">
      <c r="A355" s="116"/>
      <c r="B355" s="190" t="s">
        <v>392</v>
      </c>
      <c r="C355" s="116" t="s">
        <v>359</v>
      </c>
      <c r="D355" s="120">
        <v>1</v>
      </c>
      <c r="E355" s="116" t="s">
        <v>348</v>
      </c>
      <c r="F355" s="119" t="s">
        <v>355</v>
      </c>
      <c r="G355" s="192">
        <v>2</v>
      </c>
      <c r="H355" s="192">
        <v>0</v>
      </c>
      <c r="I355" s="192">
        <v>5</v>
      </c>
      <c r="J355" s="192">
        <v>4</v>
      </c>
      <c r="K355" s="192">
        <v>3</v>
      </c>
      <c r="L355" s="192">
        <v>4</v>
      </c>
      <c r="M355" s="192">
        <v>1</v>
      </c>
      <c r="N355" s="192">
        <v>1</v>
      </c>
      <c r="O355" s="192">
        <v>5</v>
      </c>
      <c r="P355" s="192">
        <v>4</v>
      </c>
      <c r="Q355" s="192">
        <v>4</v>
      </c>
      <c r="R355" s="192">
        <v>5</v>
      </c>
      <c r="S355" s="191">
        <v>0</v>
      </c>
      <c r="T355" s="192">
        <v>2</v>
      </c>
      <c r="U355" s="192">
        <v>5</v>
      </c>
      <c r="V355" s="192">
        <v>4</v>
      </c>
      <c r="W355" s="192">
        <v>5</v>
      </c>
      <c r="X355" s="192">
        <v>4</v>
      </c>
      <c r="Y355" s="192">
        <v>3</v>
      </c>
      <c r="Z355" s="192">
        <v>3</v>
      </c>
      <c r="AA355" s="192">
        <v>4</v>
      </c>
      <c r="AB355" s="192">
        <v>4</v>
      </c>
      <c r="AC355" s="192">
        <v>5</v>
      </c>
      <c r="AD355" s="193">
        <v>4</v>
      </c>
      <c r="AE355" s="191">
        <v>1</v>
      </c>
      <c r="AF355" s="192">
        <v>3</v>
      </c>
      <c r="AG355" s="192">
        <v>4</v>
      </c>
      <c r="AH355" s="192">
        <v>4</v>
      </c>
      <c r="AI355" s="192">
        <v>5</v>
      </c>
      <c r="AJ355" s="192">
        <v>2</v>
      </c>
      <c r="AK355" s="192">
        <v>2</v>
      </c>
      <c r="AL355" s="192">
        <v>3</v>
      </c>
      <c r="AM355" s="192">
        <v>3</v>
      </c>
      <c r="AN355" s="192">
        <v>4</v>
      </c>
      <c r="AO355" s="192">
        <v>4</v>
      </c>
      <c r="AP355" s="192">
        <v>2</v>
      </c>
      <c r="AQ355" s="151"/>
      <c r="AR355" s="96">
        <f t="shared" si="34"/>
        <v>43</v>
      </c>
      <c r="AS355" s="96">
        <f t="shared" si="35"/>
        <v>37</v>
      </c>
    </row>
    <row r="356" spans="1:45" ht="15.75" customHeight="1">
      <c r="A356" s="116"/>
      <c r="B356" s="190" t="s">
        <v>392</v>
      </c>
      <c r="C356" s="116" t="s">
        <v>360</v>
      </c>
      <c r="D356" s="120">
        <v>2</v>
      </c>
      <c r="E356" s="116" t="s">
        <v>348</v>
      </c>
      <c r="F356" s="119" t="s">
        <v>355</v>
      </c>
      <c r="G356" s="192">
        <v>0</v>
      </c>
      <c r="H356" s="192">
        <v>0</v>
      </c>
      <c r="I356" s="192">
        <v>0</v>
      </c>
      <c r="J356" s="192">
        <v>0</v>
      </c>
      <c r="K356" s="192">
        <v>0</v>
      </c>
      <c r="L356" s="192">
        <v>0</v>
      </c>
      <c r="M356" s="192">
        <v>0</v>
      </c>
      <c r="N356" s="192">
        <v>0</v>
      </c>
      <c r="O356" s="192">
        <v>0</v>
      </c>
      <c r="P356" s="192">
        <v>0</v>
      </c>
      <c r="Q356" s="192">
        <v>0</v>
      </c>
      <c r="R356" s="192">
        <v>0</v>
      </c>
      <c r="S356" s="191">
        <v>0</v>
      </c>
      <c r="T356" s="192">
        <v>0</v>
      </c>
      <c r="U356" s="192">
        <v>0</v>
      </c>
      <c r="V356" s="192">
        <v>0</v>
      </c>
      <c r="W356" s="192">
        <v>0</v>
      </c>
      <c r="X356" s="192">
        <v>0</v>
      </c>
      <c r="Y356" s="192">
        <v>0</v>
      </c>
      <c r="Z356" s="192">
        <v>0</v>
      </c>
      <c r="AA356" s="192">
        <v>0</v>
      </c>
      <c r="AB356" s="192">
        <v>0</v>
      </c>
      <c r="AC356" s="192">
        <v>0</v>
      </c>
      <c r="AD356" s="193">
        <v>0</v>
      </c>
      <c r="AE356" s="191">
        <v>0</v>
      </c>
      <c r="AF356" s="192">
        <v>0</v>
      </c>
      <c r="AG356" s="192">
        <v>1</v>
      </c>
      <c r="AH356" s="192">
        <v>2</v>
      </c>
      <c r="AI356" s="192">
        <v>2</v>
      </c>
      <c r="AJ356" s="192">
        <v>1</v>
      </c>
      <c r="AK356" s="192">
        <v>1</v>
      </c>
      <c r="AL356" s="192">
        <v>0</v>
      </c>
      <c r="AM356" s="192">
        <v>2</v>
      </c>
      <c r="AN356" s="192">
        <v>2</v>
      </c>
      <c r="AO356" s="192">
        <v>2</v>
      </c>
      <c r="AP356" s="192">
        <v>0</v>
      </c>
      <c r="AQ356" s="151"/>
      <c r="AR356" s="96">
        <f t="shared" si="34"/>
        <v>0</v>
      </c>
      <c r="AS356" s="96">
        <f t="shared" si="35"/>
        <v>13</v>
      </c>
    </row>
    <row r="357" spans="1:45" ht="15.75" customHeight="1">
      <c r="A357" s="116"/>
      <c r="B357" s="190" t="s">
        <v>392</v>
      </c>
      <c r="C357" s="116" t="s">
        <v>361</v>
      </c>
      <c r="D357" s="120">
        <v>1</v>
      </c>
      <c r="E357" s="116" t="s">
        <v>348</v>
      </c>
      <c r="F357" s="119" t="s">
        <v>355</v>
      </c>
      <c r="G357" s="192">
        <v>1</v>
      </c>
      <c r="H357" s="192">
        <v>1</v>
      </c>
      <c r="I357" s="192">
        <v>0</v>
      </c>
      <c r="J357" s="192">
        <v>1</v>
      </c>
      <c r="K357" s="192">
        <v>3</v>
      </c>
      <c r="L357" s="192">
        <v>0</v>
      </c>
      <c r="M357" s="192">
        <v>0</v>
      </c>
      <c r="N357" s="192">
        <v>1</v>
      </c>
      <c r="O357" s="192">
        <v>2</v>
      </c>
      <c r="P357" s="192">
        <v>3</v>
      </c>
      <c r="Q357" s="192">
        <v>2</v>
      </c>
      <c r="R357" s="192">
        <v>1</v>
      </c>
      <c r="S357" s="191">
        <v>0</v>
      </c>
      <c r="T357" s="192">
        <v>1</v>
      </c>
      <c r="U357" s="192">
        <v>0</v>
      </c>
      <c r="V357" s="192">
        <v>1</v>
      </c>
      <c r="W357" s="192">
        <v>3</v>
      </c>
      <c r="X357" s="192">
        <v>2</v>
      </c>
      <c r="Y357" s="192">
        <v>0</v>
      </c>
      <c r="Z357" s="192">
        <v>0</v>
      </c>
      <c r="AA357" s="192">
        <v>0</v>
      </c>
      <c r="AB357" s="192">
        <v>1</v>
      </c>
      <c r="AC357" s="192">
        <v>1</v>
      </c>
      <c r="AD357" s="193">
        <v>2</v>
      </c>
      <c r="AE357" s="191">
        <v>0</v>
      </c>
      <c r="AF357" s="192">
        <v>0</v>
      </c>
      <c r="AG357" s="192">
        <v>0</v>
      </c>
      <c r="AH357" s="192">
        <v>1</v>
      </c>
      <c r="AI357" s="192">
        <v>4</v>
      </c>
      <c r="AJ357" s="192">
        <v>1</v>
      </c>
      <c r="AK357" s="192">
        <v>1</v>
      </c>
      <c r="AL357" s="192">
        <v>0</v>
      </c>
      <c r="AM357" s="192">
        <v>0</v>
      </c>
      <c r="AN357" s="192">
        <v>1</v>
      </c>
      <c r="AO357" s="192">
        <v>3</v>
      </c>
      <c r="AP357" s="192">
        <v>1</v>
      </c>
      <c r="AQ357" s="151"/>
      <c r="AR357" s="96">
        <f t="shared" si="34"/>
        <v>11</v>
      </c>
      <c r="AS357" s="96">
        <f t="shared" si="35"/>
        <v>12</v>
      </c>
    </row>
    <row r="358" spans="1:45" ht="15.75" customHeight="1">
      <c r="A358" s="116"/>
      <c r="B358" s="190" t="s">
        <v>392</v>
      </c>
      <c r="C358" s="116" t="s">
        <v>362</v>
      </c>
      <c r="D358" s="120">
        <v>1</v>
      </c>
      <c r="E358" s="116" t="s">
        <v>348</v>
      </c>
      <c r="F358" s="119" t="s">
        <v>363</v>
      </c>
      <c r="G358" s="192">
        <v>1</v>
      </c>
      <c r="H358" s="192">
        <v>1</v>
      </c>
      <c r="I358" s="192">
        <v>3</v>
      </c>
      <c r="J358" s="192">
        <v>1</v>
      </c>
      <c r="K358" s="192">
        <v>1</v>
      </c>
      <c r="L358" s="192">
        <v>1</v>
      </c>
      <c r="M358" s="192">
        <v>1</v>
      </c>
      <c r="N358" s="192">
        <v>1</v>
      </c>
      <c r="O358" s="192">
        <v>1</v>
      </c>
      <c r="P358" s="192">
        <v>2</v>
      </c>
      <c r="Q358" s="192">
        <v>2</v>
      </c>
      <c r="R358" s="192">
        <v>3</v>
      </c>
      <c r="S358" s="191">
        <v>0</v>
      </c>
      <c r="T358" s="192">
        <v>1</v>
      </c>
      <c r="U358" s="192">
        <v>1</v>
      </c>
      <c r="V358" s="192">
        <v>2</v>
      </c>
      <c r="W358" s="192">
        <v>3</v>
      </c>
      <c r="X358" s="192">
        <v>0</v>
      </c>
      <c r="Y358" s="192">
        <v>1</v>
      </c>
      <c r="Z358" s="192">
        <v>1</v>
      </c>
      <c r="AA358" s="192">
        <v>0</v>
      </c>
      <c r="AB358" s="192">
        <v>2</v>
      </c>
      <c r="AC358" s="192">
        <v>2</v>
      </c>
      <c r="AD358" s="193">
        <v>1</v>
      </c>
      <c r="AE358" s="191">
        <v>1</v>
      </c>
      <c r="AF358" s="192">
        <v>1</v>
      </c>
      <c r="AG358" s="192">
        <v>0</v>
      </c>
      <c r="AH358" s="192">
        <v>0</v>
      </c>
      <c r="AI358" s="192">
        <v>3</v>
      </c>
      <c r="AJ358" s="192">
        <v>2</v>
      </c>
      <c r="AK358" s="192">
        <v>1</v>
      </c>
      <c r="AL358" s="192">
        <v>2</v>
      </c>
      <c r="AM358" s="192">
        <v>0</v>
      </c>
      <c r="AN358" s="192">
        <v>3</v>
      </c>
      <c r="AO358" s="192">
        <v>4</v>
      </c>
      <c r="AP358" s="192">
        <v>3</v>
      </c>
      <c r="AQ358" s="151"/>
      <c r="AR358" s="96">
        <f t="shared" si="34"/>
        <v>14</v>
      </c>
      <c r="AS358" s="96">
        <f t="shared" si="35"/>
        <v>20</v>
      </c>
    </row>
    <row r="359" spans="1:45" ht="15.75" customHeight="1">
      <c r="A359" s="116"/>
      <c r="B359" s="190" t="s">
        <v>392</v>
      </c>
      <c r="C359" s="116" t="s">
        <v>364</v>
      </c>
      <c r="D359" s="120">
        <v>1</v>
      </c>
      <c r="E359" s="116" t="s">
        <v>348</v>
      </c>
      <c r="F359" s="119" t="s">
        <v>363</v>
      </c>
      <c r="G359" s="192">
        <v>0</v>
      </c>
      <c r="H359" s="192">
        <v>0</v>
      </c>
      <c r="I359" s="192">
        <v>5</v>
      </c>
      <c r="J359" s="192">
        <v>2</v>
      </c>
      <c r="K359" s="192">
        <v>3</v>
      </c>
      <c r="L359" s="192">
        <v>1</v>
      </c>
      <c r="M359" s="192">
        <v>0</v>
      </c>
      <c r="N359" s="192">
        <v>1</v>
      </c>
      <c r="O359" s="192">
        <v>2</v>
      </c>
      <c r="P359" s="192">
        <v>4</v>
      </c>
      <c r="Q359" s="192">
        <v>2</v>
      </c>
      <c r="R359" s="192">
        <v>1</v>
      </c>
      <c r="S359" s="191">
        <v>1</v>
      </c>
      <c r="T359" s="192">
        <v>2</v>
      </c>
      <c r="U359" s="192">
        <v>1</v>
      </c>
      <c r="V359" s="192">
        <v>1</v>
      </c>
      <c r="W359" s="192">
        <v>1</v>
      </c>
      <c r="X359" s="192">
        <v>1</v>
      </c>
      <c r="Y359" s="192">
        <v>3</v>
      </c>
      <c r="Z359" s="192">
        <v>1</v>
      </c>
      <c r="AA359" s="192">
        <v>1</v>
      </c>
      <c r="AB359" s="192">
        <v>1</v>
      </c>
      <c r="AC359" s="192">
        <v>2</v>
      </c>
      <c r="AD359" s="193">
        <v>0</v>
      </c>
      <c r="AE359" s="191">
        <v>0</v>
      </c>
      <c r="AF359" s="192">
        <v>1</v>
      </c>
      <c r="AG359" s="192">
        <v>1</v>
      </c>
      <c r="AH359" s="192">
        <v>2</v>
      </c>
      <c r="AI359" s="192">
        <v>2</v>
      </c>
      <c r="AJ359" s="192">
        <v>0</v>
      </c>
      <c r="AK359" s="192">
        <v>2</v>
      </c>
      <c r="AL359" s="192">
        <v>1</v>
      </c>
      <c r="AM359" s="192">
        <v>4</v>
      </c>
      <c r="AN359" s="192">
        <v>2</v>
      </c>
      <c r="AO359" s="192">
        <v>2</v>
      </c>
      <c r="AP359" s="192">
        <v>1</v>
      </c>
      <c r="AQ359" s="151"/>
      <c r="AR359" s="96">
        <f t="shared" si="34"/>
        <v>15</v>
      </c>
      <c r="AS359" s="96">
        <f t="shared" si="35"/>
        <v>18</v>
      </c>
    </row>
    <row r="360" spans="1:45" ht="15.75" customHeight="1">
      <c r="A360" s="116"/>
      <c r="B360" s="190" t="s">
        <v>392</v>
      </c>
      <c r="C360" s="116" t="s">
        <v>365</v>
      </c>
      <c r="D360" s="120">
        <v>1</v>
      </c>
      <c r="E360" s="116" t="s">
        <v>348</v>
      </c>
      <c r="F360" s="119" t="s">
        <v>363</v>
      </c>
      <c r="G360" s="192">
        <v>0</v>
      </c>
      <c r="H360" s="192">
        <v>0</v>
      </c>
      <c r="I360" s="192">
        <v>0</v>
      </c>
      <c r="J360" s="192">
        <v>1</v>
      </c>
      <c r="K360" s="192">
        <v>1</v>
      </c>
      <c r="L360" s="192">
        <v>4</v>
      </c>
      <c r="M360" s="192">
        <v>2</v>
      </c>
      <c r="N360" s="192">
        <v>1</v>
      </c>
      <c r="O360" s="192">
        <v>4</v>
      </c>
      <c r="P360" s="192">
        <v>4</v>
      </c>
      <c r="Q360" s="192">
        <v>3</v>
      </c>
      <c r="R360" s="192">
        <v>4</v>
      </c>
      <c r="S360" s="191">
        <v>2</v>
      </c>
      <c r="T360" s="192">
        <v>1</v>
      </c>
      <c r="U360" s="192">
        <v>3</v>
      </c>
      <c r="V360" s="192">
        <v>3</v>
      </c>
      <c r="W360" s="192">
        <v>4</v>
      </c>
      <c r="X360" s="192">
        <v>4</v>
      </c>
      <c r="Y360" s="192">
        <v>3</v>
      </c>
      <c r="Z360" s="192">
        <v>5</v>
      </c>
      <c r="AA360" s="192">
        <v>4</v>
      </c>
      <c r="AB360" s="192">
        <v>4</v>
      </c>
      <c r="AC360" s="192">
        <v>4</v>
      </c>
      <c r="AD360" s="193">
        <v>2</v>
      </c>
      <c r="AE360" s="191">
        <v>1</v>
      </c>
      <c r="AF360" s="192">
        <v>3</v>
      </c>
      <c r="AG360" s="192">
        <v>4</v>
      </c>
      <c r="AH360" s="192">
        <v>3</v>
      </c>
      <c r="AI360" s="192">
        <v>4</v>
      </c>
      <c r="AJ360" s="192">
        <v>4</v>
      </c>
      <c r="AK360" s="192">
        <v>3</v>
      </c>
      <c r="AL360" s="192">
        <v>4</v>
      </c>
      <c r="AM360" s="192">
        <v>2</v>
      </c>
      <c r="AN360" s="192">
        <v>5</v>
      </c>
      <c r="AO360" s="192">
        <v>3</v>
      </c>
      <c r="AP360" s="192">
        <v>2</v>
      </c>
      <c r="AQ360" s="151"/>
      <c r="AR360" s="96">
        <f t="shared" ref="AR360:AR401" si="36">SUM(S360:AD360)</f>
        <v>39</v>
      </c>
      <c r="AS360" s="96">
        <f t="shared" si="35"/>
        <v>38</v>
      </c>
    </row>
    <row r="361" spans="1:45" ht="15.75" customHeight="1">
      <c r="A361" s="116"/>
      <c r="B361" s="190" t="s">
        <v>392</v>
      </c>
      <c r="C361" s="116" t="s">
        <v>366</v>
      </c>
      <c r="D361" s="120">
        <v>1</v>
      </c>
      <c r="E361" s="116" t="s">
        <v>348</v>
      </c>
      <c r="F361" s="119" t="s">
        <v>363</v>
      </c>
      <c r="G361" s="192">
        <v>0</v>
      </c>
      <c r="H361" s="192">
        <v>0</v>
      </c>
      <c r="I361" s="192">
        <v>0</v>
      </c>
      <c r="J361" s="192">
        <v>0</v>
      </c>
      <c r="K361" s="192">
        <v>0</v>
      </c>
      <c r="L361" s="192">
        <v>0</v>
      </c>
      <c r="M361" s="192">
        <v>0</v>
      </c>
      <c r="N361" s="192">
        <v>0</v>
      </c>
      <c r="O361" s="192">
        <v>0</v>
      </c>
      <c r="P361" s="192">
        <v>0</v>
      </c>
      <c r="Q361" s="192">
        <v>0</v>
      </c>
      <c r="R361" s="192">
        <v>1</v>
      </c>
      <c r="S361" s="191">
        <v>0</v>
      </c>
      <c r="T361" s="192">
        <v>1</v>
      </c>
      <c r="U361" s="192">
        <v>4</v>
      </c>
      <c r="V361" s="192">
        <v>0</v>
      </c>
      <c r="W361" s="192">
        <v>0</v>
      </c>
      <c r="X361" s="192">
        <v>1</v>
      </c>
      <c r="Y361" s="192">
        <v>1</v>
      </c>
      <c r="Z361" s="192">
        <v>1</v>
      </c>
      <c r="AA361" s="192">
        <v>1</v>
      </c>
      <c r="AB361" s="192">
        <v>3</v>
      </c>
      <c r="AC361" s="192">
        <v>4</v>
      </c>
      <c r="AD361" s="193">
        <v>0</v>
      </c>
      <c r="AE361" s="191">
        <v>0</v>
      </c>
      <c r="AF361" s="192">
        <v>2</v>
      </c>
      <c r="AG361" s="192">
        <v>1</v>
      </c>
      <c r="AH361" s="192">
        <v>3</v>
      </c>
      <c r="AI361" s="192">
        <v>1</v>
      </c>
      <c r="AJ361" s="192">
        <v>1</v>
      </c>
      <c r="AK361" s="192">
        <v>2</v>
      </c>
      <c r="AL361" s="192">
        <v>2</v>
      </c>
      <c r="AM361" s="192">
        <v>0</v>
      </c>
      <c r="AN361" s="192">
        <v>3</v>
      </c>
      <c r="AO361" s="192">
        <v>2</v>
      </c>
      <c r="AP361" s="192">
        <v>0</v>
      </c>
      <c r="AQ361" s="151"/>
      <c r="AR361" s="96">
        <f t="shared" si="36"/>
        <v>16</v>
      </c>
      <c r="AS361" s="96">
        <f t="shared" ref="AS361:AS401" si="37">SUM(AE361:AP361)</f>
        <v>17</v>
      </c>
    </row>
    <row r="362" spans="1:45" ht="15.75" customHeight="1">
      <c r="A362" s="116"/>
      <c r="B362" s="190" t="s">
        <v>392</v>
      </c>
      <c r="C362" s="116" t="s">
        <v>367</v>
      </c>
      <c r="D362" s="120">
        <v>1</v>
      </c>
      <c r="E362" s="116" t="s">
        <v>348</v>
      </c>
      <c r="F362" s="119" t="s">
        <v>363</v>
      </c>
      <c r="G362" s="192">
        <v>0</v>
      </c>
      <c r="H362" s="192">
        <v>2</v>
      </c>
      <c r="I362" s="192">
        <v>2</v>
      </c>
      <c r="J362" s="192">
        <v>1</v>
      </c>
      <c r="K362" s="192">
        <v>1</v>
      </c>
      <c r="L362" s="192">
        <v>2</v>
      </c>
      <c r="M362" s="192">
        <v>1</v>
      </c>
      <c r="N362" s="192">
        <v>1</v>
      </c>
      <c r="O362" s="192">
        <v>2</v>
      </c>
      <c r="P362" s="192">
        <v>4</v>
      </c>
      <c r="Q362" s="192">
        <v>1</v>
      </c>
      <c r="R362" s="192">
        <v>0</v>
      </c>
      <c r="S362" s="191">
        <v>0</v>
      </c>
      <c r="T362" s="192">
        <v>1</v>
      </c>
      <c r="U362" s="192">
        <v>1</v>
      </c>
      <c r="V362" s="192">
        <v>1</v>
      </c>
      <c r="W362" s="192">
        <v>3</v>
      </c>
      <c r="X362" s="192">
        <v>2</v>
      </c>
      <c r="Y362" s="192">
        <v>1</v>
      </c>
      <c r="Z362" s="192">
        <v>2</v>
      </c>
      <c r="AA362" s="192">
        <v>1</v>
      </c>
      <c r="AB362" s="192">
        <v>3</v>
      </c>
      <c r="AC362" s="192">
        <v>2</v>
      </c>
      <c r="AD362" s="193">
        <v>2</v>
      </c>
      <c r="AE362" s="191">
        <v>2</v>
      </c>
      <c r="AF362" s="192">
        <v>2</v>
      </c>
      <c r="AG362" s="192">
        <v>4</v>
      </c>
      <c r="AH362" s="192">
        <v>2</v>
      </c>
      <c r="AI362" s="192">
        <v>4</v>
      </c>
      <c r="AJ362" s="192">
        <v>0</v>
      </c>
      <c r="AK362" s="192">
        <v>0</v>
      </c>
      <c r="AL362" s="192">
        <v>3</v>
      </c>
      <c r="AM362" s="192">
        <v>0</v>
      </c>
      <c r="AN362" s="192">
        <v>3</v>
      </c>
      <c r="AO362" s="192">
        <v>1</v>
      </c>
      <c r="AP362" s="192">
        <v>0</v>
      </c>
      <c r="AQ362" s="151"/>
      <c r="AR362" s="96">
        <f t="shared" si="36"/>
        <v>19</v>
      </c>
      <c r="AS362" s="96">
        <f t="shared" si="37"/>
        <v>21</v>
      </c>
    </row>
    <row r="363" spans="1:45" ht="15.75" customHeight="1">
      <c r="A363" s="116"/>
      <c r="B363" s="190" t="s">
        <v>392</v>
      </c>
      <c r="C363" s="116" t="s">
        <v>368</v>
      </c>
      <c r="D363" s="120">
        <v>2</v>
      </c>
      <c r="E363" s="116" t="s">
        <v>369</v>
      </c>
      <c r="F363" s="119" t="s">
        <v>369</v>
      </c>
      <c r="G363" s="192">
        <v>1</v>
      </c>
      <c r="H363" s="192">
        <v>3</v>
      </c>
      <c r="I363" s="192">
        <v>1</v>
      </c>
      <c r="J363" s="192">
        <v>2</v>
      </c>
      <c r="K363" s="192">
        <v>4</v>
      </c>
      <c r="L363" s="192">
        <v>5</v>
      </c>
      <c r="M363" s="192">
        <v>1</v>
      </c>
      <c r="N363" s="192">
        <v>0</v>
      </c>
      <c r="O363" s="192">
        <v>5</v>
      </c>
      <c r="P363" s="192">
        <v>8</v>
      </c>
      <c r="Q363" s="192">
        <v>6</v>
      </c>
      <c r="R363" s="192">
        <v>2</v>
      </c>
      <c r="S363" s="191">
        <v>1</v>
      </c>
      <c r="T363" s="192">
        <v>0</v>
      </c>
      <c r="U363" s="192">
        <v>6</v>
      </c>
      <c r="V363" s="192">
        <v>3</v>
      </c>
      <c r="W363" s="192">
        <v>4</v>
      </c>
      <c r="X363" s="192">
        <v>2</v>
      </c>
      <c r="Y363" s="192">
        <v>0</v>
      </c>
      <c r="Z363" s="192">
        <v>4</v>
      </c>
      <c r="AA363" s="192">
        <v>3</v>
      </c>
      <c r="AB363" s="192">
        <v>5</v>
      </c>
      <c r="AC363" s="192">
        <v>9</v>
      </c>
      <c r="AD363" s="193">
        <v>3</v>
      </c>
      <c r="AE363" s="191">
        <v>1</v>
      </c>
      <c r="AF363" s="192">
        <v>0</v>
      </c>
      <c r="AG363" s="192">
        <v>4</v>
      </c>
      <c r="AH363" s="192">
        <v>4</v>
      </c>
      <c r="AI363" s="192">
        <v>4</v>
      </c>
      <c r="AJ363" s="192">
        <v>2</v>
      </c>
      <c r="AK363" s="192">
        <v>2</v>
      </c>
      <c r="AL363" s="192">
        <v>1</v>
      </c>
      <c r="AM363" s="192">
        <v>4</v>
      </c>
      <c r="AN363" s="192">
        <v>6</v>
      </c>
      <c r="AO363" s="192">
        <v>6</v>
      </c>
      <c r="AP363" s="192">
        <v>2</v>
      </c>
      <c r="AQ363" s="151"/>
      <c r="AR363" s="96">
        <f t="shared" si="36"/>
        <v>40</v>
      </c>
      <c r="AS363" s="96">
        <f t="shared" si="37"/>
        <v>36</v>
      </c>
    </row>
    <row r="364" spans="1:45" ht="15.75" customHeight="1">
      <c r="A364" s="116"/>
      <c r="B364" s="190" t="s">
        <v>392</v>
      </c>
      <c r="C364" s="116" t="s">
        <v>451</v>
      </c>
      <c r="D364" s="120">
        <v>1</v>
      </c>
      <c r="E364" s="116" t="s">
        <v>369</v>
      </c>
      <c r="F364" s="119" t="s">
        <v>369</v>
      </c>
      <c r="G364" s="192">
        <v>1</v>
      </c>
      <c r="H364" s="192">
        <v>0</v>
      </c>
      <c r="I364" s="192">
        <v>5</v>
      </c>
      <c r="J364" s="192">
        <v>4</v>
      </c>
      <c r="K364" s="192">
        <v>1</v>
      </c>
      <c r="L364" s="192">
        <v>2</v>
      </c>
      <c r="M364" s="192">
        <v>2</v>
      </c>
      <c r="N364" s="192">
        <v>1</v>
      </c>
      <c r="O364" s="192">
        <v>3</v>
      </c>
      <c r="P364" s="192">
        <v>4</v>
      </c>
      <c r="Q364" s="192">
        <v>3</v>
      </c>
      <c r="R364" s="192">
        <v>2</v>
      </c>
      <c r="S364" s="191">
        <v>3</v>
      </c>
      <c r="T364" s="192">
        <v>0</v>
      </c>
      <c r="U364" s="192">
        <v>3</v>
      </c>
      <c r="V364" s="192">
        <v>4</v>
      </c>
      <c r="W364" s="192">
        <v>2</v>
      </c>
      <c r="X364" s="192">
        <v>1</v>
      </c>
      <c r="Y364" s="192">
        <v>3</v>
      </c>
      <c r="Z364" s="192">
        <v>2</v>
      </c>
      <c r="AA364" s="192">
        <v>4</v>
      </c>
      <c r="AB364" s="192">
        <v>4</v>
      </c>
      <c r="AC364" s="192">
        <v>4</v>
      </c>
      <c r="AD364" s="193">
        <v>4</v>
      </c>
      <c r="AE364" s="191">
        <v>2</v>
      </c>
      <c r="AF364" s="192">
        <v>2</v>
      </c>
      <c r="AG364" s="192">
        <v>3</v>
      </c>
      <c r="AH364" s="192">
        <v>4</v>
      </c>
      <c r="AI364" s="192">
        <v>4</v>
      </c>
      <c r="AJ364" s="192">
        <v>1</v>
      </c>
      <c r="AK364" s="192">
        <v>0</v>
      </c>
      <c r="AL364" s="192">
        <v>3</v>
      </c>
      <c r="AM364" s="192">
        <v>2</v>
      </c>
      <c r="AN364" s="192">
        <v>4</v>
      </c>
      <c r="AO364" s="192">
        <v>3</v>
      </c>
      <c r="AP364" s="192">
        <v>1</v>
      </c>
      <c r="AQ364" s="151"/>
      <c r="AR364" s="96">
        <f t="shared" si="36"/>
        <v>34</v>
      </c>
      <c r="AS364" s="96">
        <f t="shared" si="37"/>
        <v>29</v>
      </c>
    </row>
    <row r="365" spans="1:45" ht="15.75" customHeight="1">
      <c r="A365" s="116"/>
      <c r="B365" s="190" t="s">
        <v>392</v>
      </c>
      <c r="C365" s="116" t="s">
        <v>371</v>
      </c>
      <c r="D365" s="120">
        <v>2</v>
      </c>
      <c r="E365" s="116" t="s">
        <v>369</v>
      </c>
      <c r="F365" s="119" t="s">
        <v>369</v>
      </c>
      <c r="G365" s="192">
        <v>0</v>
      </c>
      <c r="H365" s="192">
        <v>0</v>
      </c>
      <c r="I365" s="192">
        <v>0</v>
      </c>
      <c r="J365" s="192">
        <v>0</v>
      </c>
      <c r="K365" s="192">
        <v>0</v>
      </c>
      <c r="L365" s="192">
        <v>0</v>
      </c>
      <c r="M365" s="192">
        <v>0</v>
      </c>
      <c r="N365" s="192">
        <v>0</v>
      </c>
      <c r="O365" s="192">
        <v>0</v>
      </c>
      <c r="P365" s="192">
        <v>0</v>
      </c>
      <c r="Q365" s="192">
        <v>0</v>
      </c>
      <c r="R365" s="192">
        <v>0</v>
      </c>
      <c r="S365" s="191">
        <v>0</v>
      </c>
      <c r="T365" s="192">
        <v>0</v>
      </c>
      <c r="U365" s="192">
        <v>0</v>
      </c>
      <c r="V365" s="192">
        <v>0</v>
      </c>
      <c r="W365" s="192">
        <v>0</v>
      </c>
      <c r="X365" s="192">
        <v>0</v>
      </c>
      <c r="Y365" s="192">
        <v>0</v>
      </c>
      <c r="Z365" s="192">
        <v>0</v>
      </c>
      <c r="AA365" s="192">
        <v>0</v>
      </c>
      <c r="AB365" s="192">
        <v>0</v>
      </c>
      <c r="AC365" s="192">
        <v>0</v>
      </c>
      <c r="AD365" s="193">
        <v>0</v>
      </c>
      <c r="AE365" s="191">
        <v>0</v>
      </c>
      <c r="AF365" s="192">
        <v>0</v>
      </c>
      <c r="AG365" s="192">
        <v>0</v>
      </c>
      <c r="AH365" s="192">
        <v>0</v>
      </c>
      <c r="AI365" s="192">
        <v>0</v>
      </c>
      <c r="AJ365" s="192">
        <v>0</v>
      </c>
      <c r="AK365" s="192">
        <v>0</v>
      </c>
      <c r="AL365" s="192">
        <v>0</v>
      </c>
      <c r="AM365" s="192">
        <v>0</v>
      </c>
      <c r="AN365" s="192">
        <v>0</v>
      </c>
      <c r="AO365" s="192">
        <v>0</v>
      </c>
      <c r="AP365" s="192">
        <v>0</v>
      </c>
      <c r="AQ365" s="151"/>
      <c r="AR365" s="96">
        <f t="shared" si="36"/>
        <v>0</v>
      </c>
      <c r="AS365" s="96">
        <f t="shared" si="37"/>
        <v>0</v>
      </c>
    </row>
    <row r="366" spans="1:45" ht="15.75" customHeight="1">
      <c r="A366" s="116"/>
      <c r="B366" s="190" t="s">
        <v>392</v>
      </c>
      <c r="C366" s="116" t="s">
        <v>372</v>
      </c>
      <c r="D366" s="120">
        <v>1</v>
      </c>
      <c r="E366" s="116" t="s">
        <v>369</v>
      </c>
      <c r="F366" s="119" t="s">
        <v>369</v>
      </c>
      <c r="G366" s="192">
        <v>0</v>
      </c>
      <c r="H366" s="192">
        <v>1</v>
      </c>
      <c r="I366" s="192">
        <v>1</v>
      </c>
      <c r="J366" s="192">
        <v>2</v>
      </c>
      <c r="K366" s="192">
        <v>1</v>
      </c>
      <c r="L366" s="192">
        <v>3</v>
      </c>
      <c r="M366" s="192">
        <v>0</v>
      </c>
      <c r="N366" s="192">
        <v>1</v>
      </c>
      <c r="O366" s="192">
        <v>1</v>
      </c>
      <c r="P366" s="192">
        <v>3</v>
      </c>
      <c r="Q366" s="192">
        <v>2</v>
      </c>
      <c r="R366" s="192">
        <v>2</v>
      </c>
      <c r="S366" s="191">
        <v>2</v>
      </c>
      <c r="T366" s="192">
        <v>1</v>
      </c>
      <c r="U366" s="192">
        <v>1</v>
      </c>
      <c r="V366" s="192">
        <v>2</v>
      </c>
      <c r="W366" s="192">
        <v>2</v>
      </c>
      <c r="X366" s="192">
        <v>0</v>
      </c>
      <c r="Y366" s="192">
        <v>0</v>
      </c>
      <c r="Z366" s="192">
        <v>0</v>
      </c>
      <c r="AA366" s="192">
        <v>0</v>
      </c>
      <c r="AB366" s="192">
        <v>3</v>
      </c>
      <c r="AC366" s="192">
        <v>5</v>
      </c>
      <c r="AD366" s="193">
        <v>1</v>
      </c>
      <c r="AE366" s="191">
        <v>0</v>
      </c>
      <c r="AF366" s="192">
        <v>2</v>
      </c>
      <c r="AG366" s="192">
        <v>2</v>
      </c>
      <c r="AH366" s="192">
        <v>1</v>
      </c>
      <c r="AI366" s="192">
        <v>2</v>
      </c>
      <c r="AJ366" s="192">
        <v>1</v>
      </c>
      <c r="AK366" s="192">
        <v>0</v>
      </c>
      <c r="AL366" s="192">
        <v>0</v>
      </c>
      <c r="AM366" s="192">
        <v>0</v>
      </c>
      <c r="AN366" s="192">
        <v>3</v>
      </c>
      <c r="AO366" s="192">
        <v>1</v>
      </c>
      <c r="AP366" s="192">
        <v>0</v>
      </c>
      <c r="AQ366" s="151"/>
      <c r="AR366" s="96">
        <f t="shared" si="36"/>
        <v>17</v>
      </c>
      <c r="AS366" s="96">
        <f t="shared" si="37"/>
        <v>12</v>
      </c>
    </row>
    <row r="367" spans="1:45" ht="15.75" customHeight="1">
      <c r="A367" s="116"/>
      <c r="B367" s="190" t="s">
        <v>392</v>
      </c>
      <c r="C367" s="116" t="s">
        <v>373</v>
      </c>
      <c r="D367" s="120">
        <v>1</v>
      </c>
      <c r="E367" s="116" t="s">
        <v>369</v>
      </c>
      <c r="F367" s="119" t="s">
        <v>369</v>
      </c>
      <c r="G367" s="192">
        <v>2</v>
      </c>
      <c r="H367" s="192">
        <v>1</v>
      </c>
      <c r="I367" s="192">
        <v>4</v>
      </c>
      <c r="J367" s="192">
        <v>2</v>
      </c>
      <c r="K367" s="192">
        <v>3</v>
      </c>
      <c r="L367" s="192">
        <v>3</v>
      </c>
      <c r="M367" s="192">
        <v>3</v>
      </c>
      <c r="N367" s="192">
        <v>3</v>
      </c>
      <c r="O367" s="192">
        <v>4</v>
      </c>
      <c r="P367" s="192">
        <v>4</v>
      </c>
      <c r="Q367" s="192">
        <v>3</v>
      </c>
      <c r="R367" s="192">
        <v>5</v>
      </c>
      <c r="S367" s="191">
        <v>0</v>
      </c>
      <c r="T367" s="192">
        <v>0</v>
      </c>
      <c r="U367" s="192">
        <v>2</v>
      </c>
      <c r="V367" s="192">
        <v>4</v>
      </c>
      <c r="W367" s="192">
        <v>5</v>
      </c>
      <c r="X367" s="192">
        <v>4</v>
      </c>
      <c r="Y367" s="192">
        <v>1</v>
      </c>
      <c r="Z367" s="192">
        <v>1</v>
      </c>
      <c r="AA367" s="192">
        <v>4</v>
      </c>
      <c r="AB367" s="192">
        <v>4</v>
      </c>
      <c r="AC367" s="192">
        <v>4</v>
      </c>
      <c r="AD367" s="193">
        <v>3</v>
      </c>
      <c r="AE367" s="191">
        <v>1</v>
      </c>
      <c r="AF367" s="192">
        <v>2</v>
      </c>
      <c r="AG367" s="192">
        <v>4</v>
      </c>
      <c r="AH367" s="192">
        <v>3</v>
      </c>
      <c r="AI367" s="192">
        <v>4</v>
      </c>
      <c r="AJ367" s="192">
        <v>1</v>
      </c>
      <c r="AK367" s="192">
        <v>1</v>
      </c>
      <c r="AL367" s="192">
        <v>0</v>
      </c>
      <c r="AM367" s="192">
        <v>2</v>
      </c>
      <c r="AN367" s="192">
        <v>5</v>
      </c>
      <c r="AO367" s="192">
        <v>4</v>
      </c>
      <c r="AP367" s="192">
        <v>2</v>
      </c>
      <c r="AQ367" s="151"/>
      <c r="AR367" s="96">
        <f t="shared" si="36"/>
        <v>32</v>
      </c>
      <c r="AS367" s="96">
        <f t="shared" si="37"/>
        <v>29</v>
      </c>
    </row>
    <row r="368" spans="1:45" ht="15.75" customHeight="1">
      <c r="A368" s="116"/>
      <c r="B368" s="190" t="s">
        <v>392</v>
      </c>
      <c r="C368" s="116" t="s">
        <v>374</v>
      </c>
      <c r="D368" s="120">
        <v>2</v>
      </c>
      <c r="E368" s="116" t="s">
        <v>369</v>
      </c>
      <c r="F368" s="119" t="s">
        <v>369</v>
      </c>
      <c r="G368" s="192">
        <v>1</v>
      </c>
      <c r="H368" s="192">
        <v>1</v>
      </c>
      <c r="I368" s="192">
        <v>3</v>
      </c>
      <c r="J368" s="192">
        <v>1</v>
      </c>
      <c r="K368" s="192">
        <v>0</v>
      </c>
      <c r="L368" s="192">
        <v>2</v>
      </c>
      <c r="M368" s="192">
        <v>0</v>
      </c>
      <c r="N368" s="192">
        <v>4</v>
      </c>
      <c r="O368" s="192">
        <v>1</v>
      </c>
      <c r="P368" s="192">
        <v>8</v>
      </c>
      <c r="Q368" s="192">
        <v>6</v>
      </c>
      <c r="R368" s="192">
        <v>2</v>
      </c>
      <c r="S368" s="191">
        <v>1</v>
      </c>
      <c r="T368" s="192">
        <v>2</v>
      </c>
      <c r="U368" s="192">
        <v>5</v>
      </c>
      <c r="V368" s="192">
        <v>2</v>
      </c>
      <c r="W368" s="192">
        <v>0</v>
      </c>
      <c r="X368" s="192">
        <v>0</v>
      </c>
      <c r="Y368" s="192">
        <v>2</v>
      </c>
      <c r="Z368" s="192">
        <v>2</v>
      </c>
      <c r="AA368" s="192">
        <v>2</v>
      </c>
      <c r="AB368" s="192">
        <v>2</v>
      </c>
      <c r="AC368" s="192">
        <v>7</v>
      </c>
      <c r="AD368" s="193">
        <v>2</v>
      </c>
      <c r="AE368" s="191">
        <v>0</v>
      </c>
      <c r="AF368" s="192">
        <v>1</v>
      </c>
      <c r="AG368" s="192">
        <v>2</v>
      </c>
      <c r="AH368" s="192">
        <v>2</v>
      </c>
      <c r="AI368" s="192">
        <v>0</v>
      </c>
      <c r="AJ368" s="192">
        <v>2</v>
      </c>
      <c r="AK368" s="192">
        <v>0</v>
      </c>
      <c r="AL368" s="192">
        <v>2</v>
      </c>
      <c r="AM368" s="192">
        <v>0</v>
      </c>
      <c r="AN368" s="192">
        <v>5</v>
      </c>
      <c r="AO368" s="192">
        <v>2</v>
      </c>
      <c r="AP368" s="192">
        <v>3</v>
      </c>
      <c r="AQ368" s="151"/>
      <c r="AR368" s="96">
        <f t="shared" si="36"/>
        <v>27</v>
      </c>
      <c r="AS368" s="96">
        <f t="shared" si="37"/>
        <v>19</v>
      </c>
    </row>
    <row r="369" spans="1:45" ht="15.75" customHeight="1">
      <c r="A369" s="116"/>
      <c r="B369" s="190" t="s">
        <v>392</v>
      </c>
      <c r="C369" s="116" t="s">
        <v>375</v>
      </c>
      <c r="D369" s="120">
        <v>1</v>
      </c>
      <c r="E369" s="116" t="s">
        <v>369</v>
      </c>
      <c r="F369" s="119" t="s">
        <v>369</v>
      </c>
      <c r="G369" s="192">
        <v>0</v>
      </c>
      <c r="H369" s="192">
        <v>0</v>
      </c>
      <c r="I369" s="192">
        <v>0</v>
      </c>
      <c r="J369" s="192">
        <v>0</v>
      </c>
      <c r="K369" s="192">
        <v>0</v>
      </c>
      <c r="L369" s="192">
        <v>0</v>
      </c>
      <c r="M369" s="192">
        <v>0</v>
      </c>
      <c r="N369" s="192">
        <v>0</v>
      </c>
      <c r="O369" s="192">
        <v>0</v>
      </c>
      <c r="P369" s="192">
        <v>0</v>
      </c>
      <c r="Q369" s="192">
        <v>0</v>
      </c>
      <c r="R369" s="192">
        <v>0</v>
      </c>
      <c r="S369" s="191">
        <v>0</v>
      </c>
      <c r="T369" s="192">
        <v>0</v>
      </c>
      <c r="U369" s="192">
        <v>0</v>
      </c>
      <c r="V369" s="192">
        <v>2</v>
      </c>
      <c r="W369" s="192">
        <v>0</v>
      </c>
      <c r="X369" s="192">
        <v>0</v>
      </c>
      <c r="Y369" s="192">
        <v>0</v>
      </c>
      <c r="Z369" s="192">
        <v>0</v>
      </c>
      <c r="AA369" s="192">
        <v>1</v>
      </c>
      <c r="AB369" s="192">
        <v>0</v>
      </c>
      <c r="AC369" s="192">
        <v>1</v>
      </c>
      <c r="AD369" s="193">
        <v>0</v>
      </c>
      <c r="AE369" s="191">
        <v>2</v>
      </c>
      <c r="AF369" s="192">
        <v>1</v>
      </c>
      <c r="AG369" s="192">
        <v>2</v>
      </c>
      <c r="AH369" s="192">
        <v>1</v>
      </c>
      <c r="AI369" s="192">
        <v>1</v>
      </c>
      <c r="AJ369" s="192">
        <v>0</v>
      </c>
      <c r="AK369" s="192">
        <v>0</v>
      </c>
      <c r="AL369" s="192">
        <v>0</v>
      </c>
      <c r="AM369" s="192">
        <v>1</v>
      </c>
      <c r="AN369" s="192">
        <v>1</v>
      </c>
      <c r="AO369" s="192">
        <v>0</v>
      </c>
      <c r="AP369" s="192">
        <v>0</v>
      </c>
      <c r="AQ369" s="151"/>
      <c r="AR369" s="96">
        <f t="shared" si="36"/>
        <v>4</v>
      </c>
      <c r="AS369" s="96">
        <f t="shared" si="37"/>
        <v>9</v>
      </c>
    </row>
    <row r="370" spans="1:45" ht="15.75" customHeight="1">
      <c r="A370" s="116"/>
      <c r="B370" s="190" t="s">
        <v>392</v>
      </c>
      <c r="C370" s="116" t="s">
        <v>376</v>
      </c>
      <c r="D370" s="120">
        <v>1</v>
      </c>
      <c r="E370" s="116" t="s">
        <v>377</v>
      </c>
      <c r="F370" s="119" t="s">
        <v>377</v>
      </c>
      <c r="G370" s="192">
        <v>2</v>
      </c>
      <c r="H370" s="192">
        <v>1</v>
      </c>
      <c r="I370" s="192">
        <v>1</v>
      </c>
      <c r="J370" s="192">
        <v>3</v>
      </c>
      <c r="K370" s="192">
        <v>0</v>
      </c>
      <c r="L370" s="192">
        <v>2</v>
      </c>
      <c r="M370" s="192">
        <v>1</v>
      </c>
      <c r="N370" s="192">
        <v>3</v>
      </c>
      <c r="O370" s="192">
        <v>3</v>
      </c>
      <c r="P370" s="192">
        <v>1</v>
      </c>
      <c r="Q370" s="192">
        <v>3</v>
      </c>
      <c r="R370" s="192">
        <v>2</v>
      </c>
      <c r="S370" s="191">
        <v>2</v>
      </c>
      <c r="T370" s="192">
        <v>3</v>
      </c>
      <c r="U370" s="192">
        <v>3</v>
      </c>
      <c r="V370" s="192">
        <v>2</v>
      </c>
      <c r="W370" s="192">
        <v>0</v>
      </c>
      <c r="X370" s="192">
        <v>1</v>
      </c>
      <c r="Y370" s="192">
        <v>3</v>
      </c>
      <c r="Z370" s="192">
        <v>1</v>
      </c>
      <c r="AA370" s="192">
        <v>1</v>
      </c>
      <c r="AB370" s="192">
        <v>3</v>
      </c>
      <c r="AC370" s="192">
        <v>2</v>
      </c>
      <c r="AD370" s="193">
        <v>1</v>
      </c>
      <c r="AE370" s="191">
        <v>3</v>
      </c>
      <c r="AF370" s="192">
        <v>1</v>
      </c>
      <c r="AG370" s="192">
        <v>2</v>
      </c>
      <c r="AH370" s="192">
        <v>3</v>
      </c>
      <c r="AI370" s="192">
        <v>4</v>
      </c>
      <c r="AJ370" s="192">
        <v>0</v>
      </c>
      <c r="AK370" s="192">
        <v>1</v>
      </c>
      <c r="AL370" s="192">
        <v>4</v>
      </c>
      <c r="AM370" s="192">
        <v>3</v>
      </c>
      <c r="AN370" s="192">
        <v>1</v>
      </c>
      <c r="AO370" s="192">
        <v>3</v>
      </c>
      <c r="AP370" s="192">
        <v>3</v>
      </c>
      <c r="AQ370" s="151"/>
      <c r="AR370" s="96">
        <f t="shared" si="36"/>
        <v>22</v>
      </c>
      <c r="AS370" s="96">
        <f t="shared" si="37"/>
        <v>28</v>
      </c>
    </row>
    <row r="371" spans="1:45" ht="15.75" customHeight="1">
      <c r="A371" s="116"/>
      <c r="B371" s="190" t="s">
        <v>392</v>
      </c>
      <c r="C371" s="116" t="s">
        <v>378</v>
      </c>
      <c r="D371" s="120">
        <v>1</v>
      </c>
      <c r="E371" s="116" t="s">
        <v>377</v>
      </c>
      <c r="F371" s="119" t="s">
        <v>377</v>
      </c>
      <c r="G371" s="192">
        <v>1</v>
      </c>
      <c r="H371" s="192">
        <v>3</v>
      </c>
      <c r="I371" s="192">
        <v>1</v>
      </c>
      <c r="J371" s="192">
        <v>2</v>
      </c>
      <c r="K371" s="192">
        <v>1</v>
      </c>
      <c r="L371" s="192">
        <v>2</v>
      </c>
      <c r="M371" s="192">
        <v>2</v>
      </c>
      <c r="N371" s="192">
        <v>0</v>
      </c>
      <c r="O371" s="192">
        <v>0</v>
      </c>
      <c r="P371" s="192">
        <v>1</v>
      </c>
      <c r="Q371" s="192">
        <v>3</v>
      </c>
      <c r="R371" s="192">
        <v>2</v>
      </c>
      <c r="S371" s="191">
        <v>1</v>
      </c>
      <c r="T371" s="192">
        <v>4</v>
      </c>
      <c r="U371" s="192">
        <v>2</v>
      </c>
      <c r="V371" s="192">
        <v>2</v>
      </c>
      <c r="W371" s="192">
        <v>3</v>
      </c>
      <c r="X371" s="192">
        <v>2</v>
      </c>
      <c r="Y371" s="192">
        <v>1</v>
      </c>
      <c r="Z371" s="192">
        <v>2</v>
      </c>
      <c r="AA371" s="192">
        <v>0</v>
      </c>
      <c r="AB371" s="192">
        <v>2</v>
      </c>
      <c r="AC371" s="192">
        <v>1</v>
      </c>
      <c r="AD371" s="193">
        <v>2</v>
      </c>
      <c r="AE371" s="191">
        <v>0</v>
      </c>
      <c r="AF371" s="192">
        <v>3</v>
      </c>
      <c r="AG371" s="192">
        <v>1</v>
      </c>
      <c r="AH371" s="192">
        <v>1</v>
      </c>
      <c r="AI371" s="192">
        <v>3</v>
      </c>
      <c r="AJ371" s="192">
        <v>3</v>
      </c>
      <c r="AK371" s="192">
        <v>1</v>
      </c>
      <c r="AL371" s="192">
        <v>4</v>
      </c>
      <c r="AM371" s="192">
        <v>3</v>
      </c>
      <c r="AN371" s="192">
        <v>1</v>
      </c>
      <c r="AO371" s="192">
        <v>3</v>
      </c>
      <c r="AP371" s="192">
        <v>1</v>
      </c>
      <c r="AQ371" s="151"/>
      <c r="AR371" s="96">
        <f t="shared" si="36"/>
        <v>22</v>
      </c>
      <c r="AS371" s="96">
        <f t="shared" si="37"/>
        <v>24</v>
      </c>
    </row>
    <row r="372" spans="1:45" ht="15.75" customHeight="1">
      <c r="A372" s="116"/>
      <c r="B372" s="190" t="s">
        <v>392</v>
      </c>
      <c r="C372" s="116" t="s">
        <v>452</v>
      </c>
      <c r="D372" s="120">
        <v>1</v>
      </c>
      <c r="E372" s="116" t="s">
        <v>377</v>
      </c>
      <c r="F372" s="119" t="s">
        <v>377</v>
      </c>
      <c r="G372" s="192">
        <v>0</v>
      </c>
      <c r="H372" s="192">
        <v>0</v>
      </c>
      <c r="I372" s="192">
        <v>0</v>
      </c>
      <c r="J372" s="192">
        <v>0</v>
      </c>
      <c r="K372" s="192">
        <v>0</v>
      </c>
      <c r="L372" s="192">
        <v>0</v>
      </c>
      <c r="M372" s="192">
        <v>0</v>
      </c>
      <c r="N372" s="192">
        <v>0</v>
      </c>
      <c r="O372" s="192">
        <v>0</v>
      </c>
      <c r="P372" s="192">
        <v>0</v>
      </c>
      <c r="Q372" s="192">
        <v>0</v>
      </c>
      <c r="R372" s="192">
        <v>0</v>
      </c>
      <c r="S372" s="191">
        <v>0</v>
      </c>
      <c r="T372" s="192">
        <v>0</v>
      </c>
      <c r="U372" s="192">
        <v>0</v>
      </c>
      <c r="V372" s="192">
        <v>0</v>
      </c>
      <c r="W372" s="192">
        <v>0</v>
      </c>
      <c r="X372" s="192">
        <v>0</v>
      </c>
      <c r="Y372" s="192">
        <v>0</v>
      </c>
      <c r="Z372" s="192">
        <v>0</v>
      </c>
      <c r="AA372" s="192">
        <v>0</v>
      </c>
      <c r="AB372" s="192">
        <v>0</v>
      </c>
      <c r="AC372" s="192">
        <v>0</v>
      </c>
      <c r="AD372" s="193">
        <v>0</v>
      </c>
      <c r="AE372" s="191">
        <v>0</v>
      </c>
      <c r="AF372" s="192">
        <v>0</v>
      </c>
      <c r="AG372" s="192">
        <v>0</v>
      </c>
      <c r="AH372" s="192">
        <v>0</v>
      </c>
      <c r="AI372" s="192">
        <v>0</v>
      </c>
      <c r="AJ372" s="192">
        <v>0</v>
      </c>
      <c r="AK372" s="192">
        <v>0</v>
      </c>
      <c r="AL372" s="192">
        <v>0</v>
      </c>
      <c r="AM372" s="192">
        <v>1</v>
      </c>
      <c r="AN372" s="192">
        <v>3</v>
      </c>
      <c r="AO372" s="192">
        <v>3</v>
      </c>
      <c r="AP372" s="192">
        <v>1</v>
      </c>
      <c r="AQ372" s="151"/>
      <c r="AR372" s="96">
        <f t="shared" si="36"/>
        <v>0</v>
      </c>
      <c r="AS372" s="96">
        <f t="shared" si="37"/>
        <v>8</v>
      </c>
    </row>
    <row r="373" spans="1:45" ht="15.75" customHeight="1">
      <c r="A373" s="116"/>
      <c r="B373" s="190" t="s">
        <v>392</v>
      </c>
      <c r="C373" s="116" t="s">
        <v>379</v>
      </c>
      <c r="D373" s="120">
        <v>1</v>
      </c>
      <c r="E373" s="116" t="s">
        <v>377</v>
      </c>
      <c r="F373" s="119" t="s">
        <v>377</v>
      </c>
      <c r="G373" s="192">
        <v>1</v>
      </c>
      <c r="H373" s="192">
        <v>0</v>
      </c>
      <c r="I373" s="192">
        <v>3</v>
      </c>
      <c r="J373" s="192">
        <v>2</v>
      </c>
      <c r="K373" s="192">
        <v>0</v>
      </c>
      <c r="L373" s="192">
        <v>2</v>
      </c>
      <c r="M373" s="192">
        <v>1</v>
      </c>
      <c r="N373" s="192">
        <v>1</v>
      </c>
      <c r="O373" s="192">
        <v>2</v>
      </c>
      <c r="P373" s="192">
        <v>3</v>
      </c>
      <c r="Q373" s="192">
        <v>3</v>
      </c>
      <c r="R373" s="192">
        <v>2</v>
      </c>
      <c r="S373" s="191">
        <v>1</v>
      </c>
      <c r="T373" s="192">
        <v>2</v>
      </c>
      <c r="U373" s="192">
        <v>3</v>
      </c>
      <c r="V373" s="192">
        <v>4</v>
      </c>
      <c r="W373" s="192">
        <v>3</v>
      </c>
      <c r="X373" s="192">
        <v>1</v>
      </c>
      <c r="Y373" s="192">
        <v>1</v>
      </c>
      <c r="Z373" s="192">
        <v>2</v>
      </c>
      <c r="AA373" s="192">
        <v>0</v>
      </c>
      <c r="AB373" s="192">
        <v>1</v>
      </c>
      <c r="AC373" s="192">
        <v>3</v>
      </c>
      <c r="AD373" s="193">
        <v>1</v>
      </c>
      <c r="AE373" s="191">
        <v>3</v>
      </c>
      <c r="AF373" s="192">
        <v>2</v>
      </c>
      <c r="AG373" s="192">
        <v>0</v>
      </c>
      <c r="AH373" s="192">
        <v>1</v>
      </c>
      <c r="AI373" s="192">
        <v>3</v>
      </c>
      <c r="AJ373" s="192">
        <v>1</v>
      </c>
      <c r="AK373" s="192">
        <v>2</v>
      </c>
      <c r="AL373" s="192">
        <v>2</v>
      </c>
      <c r="AM373" s="192">
        <v>2</v>
      </c>
      <c r="AN373" s="192">
        <v>3</v>
      </c>
      <c r="AO373" s="192">
        <v>1</v>
      </c>
      <c r="AP373" s="192">
        <v>2</v>
      </c>
      <c r="AQ373" s="151"/>
      <c r="AR373" s="96">
        <f t="shared" si="36"/>
        <v>22</v>
      </c>
      <c r="AS373" s="96">
        <f t="shared" si="37"/>
        <v>22</v>
      </c>
    </row>
    <row r="374" spans="1:45" ht="15.75" customHeight="1">
      <c r="A374" s="116"/>
      <c r="B374" s="190" t="s">
        <v>392</v>
      </c>
      <c r="C374" s="116" t="s">
        <v>380</v>
      </c>
      <c r="D374" s="120">
        <v>1</v>
      </c>
      <c r="E374" s="116" t="s">
        <v>377</v>
      </c>
      <c r="F374" s="119" t="s">
        <v>377</v>
      </c>
      <c r="G374" s="192">
        <v>3</v>
      </c>
      <c r="H374" s="192">
        <v>2</v>
      </c>
      <c r="I374" s="192">
        <v>3</v>
      </c>
      <c r="J374" s="192">
        <v>4</v>
      </c>
      <c r="K374" s="192">
        <v>2</v>
      </c>
      <c r="L374" s="192">
        <v>4</v>
      </c>
      <c r="M374" s="192">
        <v>2</v>
      </c>
      <c r="N374" s="192">
        <v>0</v>
      </c>
      <c r="O374" s="192">
        <v>2</v>
      </c>
      <c r="P374" s="192">
        <v>3</v>
      </c>
      <c r="Q374" s="192">
        <v>2</v>
      </c>
      <c r="R374" s="192">
        <v>3</v>
      </c>
      <c r="S374" s="191">
        <v>0</v>
      </c>
      <c r="T374" s="192">
        <v>2</v>
      </c>
      <c r="U374" s="192">
        <v>3</v>
      </c>
      <c r="V374" s="192">
        <v>3</v>
      </c>
      <c r="W374" s="192">
        <v>2</v>
      </c>
      <c r="X374" s="192">
        <v>1</v>
      </c>
      <c r="Y374" s="192">
        <v>1</v>
      </c>
      <c r="Z374" s="192">
        <v>2</v>
      </c>
      <c r="AA374" s="192">
        <v>0</v>
      </c>
      <c r="AB374" s="192">
        <v>4</v>
      </c>
      <c r="AC374" s="192">
        <v>1</v>
      </c>
      <c r="AD374" s="193">
        <v>2</v>
      </c>
      <c r="AE374" s="191">
        <v>1</v>
      </c>
      <c r="AF374" s="192">
        <v>1</v>
      </c>
      <c r="AG374" s="192">
        <v>2</v>
      </c>
      <c r="AH374" s="192">
        <v>2</v>
      </c>
      <c r="AI374" s="192">
        <v>3</v>
      </c>
      <c r="AJ374" s="192">
        <v>2</v>
      </c>
      <c r="AK374" s="192">
        <v>1</v>
      </c>
      <c r="AL374" s="192">
        <v>2</v>
      </c>
      <c r="AM374" s="192">
        <v>0</v>
      </c>
      <c r="AN374" s="192">
        <v>3</v>
      </c>
      <c r="AO374" s="192">
        <v>3</v>
      </c>
      <c r="AP374" s="192">
        <v>3</v>
      </c>
      <c r="AQ374" s="151"/>
      <c r="AR374" s="96">
        <f t="shared" si="36"/>
        <v>21</v>
      </c>
      <c r="AS374" s="96">
        <f t="shared" si="37"/>
        <v>23</v>
      </c>
    </row>
    <row r="375" spans="1:45" ht="15.75" customHeight="1">
      <c r="A375" s="116"/>
      <c r="B375" s="190" t="s">
        <v>392</v>
      </c>
      <c r="C375" s="116" t="s">
        <v>381</v>
      </c>
      <c r="D375" s="120">
        <v>2</v>
      </c>
      <c r="E375" s="116" t="s">
        <v>377</v>
      </c>
      <c r="F375" s="119" t="s">
        <v>377</v>
      </c>
      <c r="G375" s="192">
        <v>0</v>
      </c>
      <c r="H375" s="192">
        <v>0</v>
      </c>
      <c r="I375" s="192">
        <v>0</v>
      </c>
      <c r="J375" s="192">
        <v>0</v>
      </c>
      <c r="K375" s="192">
        <v>0</v>
      </c>
      <c r="L375" s="192">
        <v>0</v>
      </c>
      <c r="M375" s="192">
        <v>0</v>
      </c>
      <c r="N375" s="192">
        <v>0</v>
      </c>
      <c r="O375" s="192">
        <v>1</v>
      </c>
      <c r="P375" s="192">
        <v>0</v>
      </c>
      <c r="Q375" s="192">
        <v>3</v>
      </c>
      <c r="R375" s="192">
        <v>2</v>
      </c>
      <c r="S375" s="191">
        <v>1</v>
      </c>
      <c r="T375" s="192">
        <v>1</v>
      </c>
      <c r="U375" s="192">
        <v>1</v>
      </c>
      <c r="V375" s="192">
        <v>1</v>
      </c>
      <c r="W375" s="192">
        <v>0</v>
      </c>
      <c r="X375" s="192">
        <v>1</v>
      </c>
      <c r="Y375" s="192">
        <v>0</v>
      </c>
      <c r="Z375" s="192">
        <v>0</v>
      </c>
      <c r="AA375" s="192">
        <v>0</v>
      </c>
      <c r="AB375" s="192">
        <v>4</v>
      </c>
      <c r="AC375" s="192">
        <v>0</v>
      </c>
      <c r="AD375" s="193">
        <v>1</v>
      </c>
      <c r="AE375" s="191">
        <v>1</v>
      </c>
      <c r="AF375" s="192">
        <v>0</v>
      </c>
      <c r="AG375" s="192">
        <v>1</v>
      </c>
      <c r="AH375" s="192">
        <v>3</v>
      </c>
      <c r="AI375" s="192">
        <v>1</v>
      </c>
      <c r="AJ375" s="192">
        <v>0</v>
      </c>
      <c r="AK375" s="192">
        <v>1</v>
      </c>
      <c r="AL375" s="192">
        <v>3</v>
      </c>
      <c r="AM375" s="192">
        <v>3</v>
      </c>
      <c r="AN375" s="192">
        <v>4</v>
      </c>
      <c r="AO375" s="192">
        <v>4</v>
      </c>
      <c r="AP375" s="192">
        <v>0</v>
      </c>
      <c r="AQ375" s="151"/>
      <c r="AR375" s="96">
        <f t="shared" si="36"/>
        <v>10</v>
      </c>
      <c r="AS375" s="96">
        <f t="shared" si="37"/>
        <v>21</v>
      </c>
    </row>
    <row r="376" spans="1:45" ht="15.75" customHeight="1">
      <c r="A376" s="116"/>
      <c r="B376" s="190" t="s">
        <v>392</v>
      </c>
      <c r="C376" s="116" t="s">
        <v>382</v>
      </c>
      <c r="D376" s="120">
        <v>2</v>
      </c>
      <c r="E376" s="116" t="s">
        <v>377</v>
      </c>
      <c r="F376" s="119" t="s">
        <v>377</v>
      </c>
      <c r="G376" s="192">
        <v>5</v>
      </c>
      <c r="H376" s="192">
        <v>3</v>
      </c>
      <c r="I376" s="192">
        <v>7</v>
      </c>
      <c r="J376" s="192">
        <v>5</v>
      </c>
      <c r="K376" s="192">
        <v>4</v>
      </c>
      <c r="L376" s="192">
        <v>0</v>
      </c>
      <c r="M376" s="192">
        <v>6</v>
      </c>
      <c r="N376" s="192">
        <v>3</v>
      </c>
      <c r="O376" s="192">
        <v>3</v>
      </c>
      <c r="P376" s="192">
        <v>7</v>
      </c>
      <c r="Q376" s="192">
        <v>6</v>
      </c>
      <c r="R376" s="192">
        <v>7</v>
      </c>
      <c r="S376" s="191">
        <v>5</v>
      </c>
      <c r="T376" s="192">
        <v>3</v>
      </c>
      <c r="U376" s="192">
        <v>7</v>
      </c>
      <c r="V376" s="192">
        <v>7</v>
      </c>
      <c r="W376" s="192">
        <v>5</v>
      </c>
      <c r="X376" s="192">
        <v>1</v>
      </c>
      <c r="Y376" s="192">
        <v>4</v>
      </c>
      <c r="Z376" s="192">
        <v>2</v>
      </c>
      <c r="AA376" s="192">
        <v>4</v>
      </c>
      <c r="AB376" s="192">
        <v>8</v>
      </c>
      <c r="AC376" s="192">
        <v>9</v>
      </c>
      <c r="AD376" s="193">
        <v>2</v>
      </c>
      <c r="AE376" s="191">
        <v>2</v>
      </c>
      <c r="AF376" s="192">
        <v>4</v>
      </c>
      <c r="AG376" s="192">
        <v>5</v>
      </c>
      <c r="AH376" s="192">
        <v>5</v>
      </c>
      <c r="AI376" s="192">
        <v>6</v>
      </c>
      <c r="AJ376" s="192">
        <v>4</v>
      </c>
      <c r="AK376" s="192">
        <v>3</v>
      </c>
      <c r="AL376" s="192">
        <v>5</v>
      </c>
      <c r="AM376" s="192">
        <v>6</v>
      </c>
      <c r="AN376" s="192">
        <v>5</v>
      </c>
      <c r="AO376" s="192">
        <v>5</v>
      </c>
      <c r="AP376" s="192">
        <v>5</v>
      </c>
      <c r="AQ376" s="151"/>
      <c r="AR376" s="96">
        <f t="shared" si="36"/>
        <v>57</v>
      </c>
      <c r="AS376" s="96">
        <f t="shared" si="37"/>
        <v>55</v>
      </c>
    </row>
    <row r="377" spans="1:45" ht="15.75" customHeight="1">
      <c r="A377" s="116"/>
      <c r="B377" s="190" t="s">
        <v>392</v>
      </c>
      <c r="C377" s="116" t="s">
        <v>383</v>
      </c>
      <c r="D377" s="120">
        <v>1</v>
      </c>
      <c r="E377" s="116" t="s">
        <v>377</v>
      </c>
      <c r="F377" s="119" t="s">
        <v>377</v>
      </c>
      <c r="G377" s="192">
        <v>0</v>
      </c>
      <c r="H377" s="192">
        <v>0</v>
      </c>
      <c r="I377" s="192">
        <v>0</v>
      </c>
      <c r="J377" s="192">
        <v>0</v>
      </c>
      <c r="K377" s="192">
        <v>0</v>
      </c>
      <c r="L377" s="192">
        <v>0</v>
      </c>
      <c r="M377" s="192">
        <v>0</v>
      </c>
      <c r="N377" s="192">
        <v>0</v>
      </c>
      <c r="O377" s="192">
        <v>0</v>
      </c>
      <c r="P377" s="192">
        <v>0</v>
      </c>
      <c r="Q377" s="192">
        <v>0</v>
      </c>
      <c r="R377" s="192">
        <v>0</v>
      </c>
      <c r="S377" s="191">
        <v>0</v>
      </c>
      <c r="T377" s="192">
        <v>0</v>
      </c>
      <c r="U377" s="192">
        <v>0</v>
      </c>
      <c r="V377" s="192">
        <v>0</v>
      </c>
      <c r="W377" s="192">
        <v>0</v>
      </c>
      <c r="X377" s="192">
        <v>0</v>
      </c>
      <c r="Y377" s="192">
        <v>0</v>
      </c>
      <c r="Z377" s="192">
        <v>0</v>
      </c>
      <c r="AA377" s="192">
        <v>0</v>
      </c>
      <c r="AB377" s="192">
        <v>0</v>
      </c>
      <c r="AC377" s="192">
        <v>0</v>
      </c>
      <c r="AD377" s="193">
        <v>0</v>
      </c>
      <c r="AE377" s="191">
        <v>0</v>
      </c>
      <c r="AF377" s="192">
        <v>0</v>
      </c>
      <c r="AG377" s="192">
        <v>0</v>
      </c>
      <c r="AH377" s="192">
        <v>2</v>
      </c>
      <c r="AI377" s="192">
        <v>1</v>
      </c>
      <c r="AJ377" s="192">
        <v>0</v>
      </c>
      <c r="AK377" s="192">
        <v>0</v>
      </c>
      <c r="AL377" s="192">
        <v>0</v>
      </c>
      <c r="AM377" s="192">
        <v>2</v>
      </c>
      <c r="AN377" s="192">
        <v>1</v>
      </c>
      <c r="AO377" s="192">
        <v>1</v>
      </c>
      <c r="AP377" s="192">
        <v>0</v>
      </c>
      <c r="AQ377" s="151"/>
      <c r="AR377" s="96">
        <f t="shared" si="36"/>
        <v>0</v>
      </c>
      <c r="AS377" s="96">
        <f t="shared" si="37"/>
        <v>7</v>
      </c>
    </row>
    <row r="378" spans="1:45" ht="15.75" customHeight="1">
      <c r="A378" s="116"/>
      <c r="B378" s="190" t="s">
        <v>392</v>
      </c>
      <c r="C378" s="116" t="s">
        <v>384</v>
      </c>
      <c r="D378" s="120">
        <v>1</v>
      </c>
      <c r="E378" s="116" t="s">
        <v>385</v>
      </c>
      <c r="F378" s="119" t="s">
        <v>385</v>
      </c>
      <c r="G378" s="192">
        <v>2</v>
      </c>
      <c r="H378" s="192">
        <v>4</v>
      </c>
      <c r="I378" s="192">
        <v>5</v>
      </c>
      <c r="J378" s="192">
        <v>3</v>
      </c>
      <c r="K378" s="192">
        <v>4</v>
      </c>
      <c r="L378" s="192">
        <v>5</v>
      </c>
      <c r="M378" s="192">
        <v>4</v>
      </c>
      <c r="N378" s="192">
        <v>4</v>
      </c>
      <c r="O378" s="192">
        <v>5</v>
      </c>
      <c r="P378" s="192">
        <v>4</v>
      </c>
      <c r="Q378" s="192">
        <v>4</v>
      </c>
      <c r="R378" s="192">
        <v>5</v>
      </c>
      <c r="S378" s="191">
        <v>2</v>
      </c>
      <c r="T378" s="192">
        <v>3</v>
      </c>
      <c r="U378" s="192">
        <v>2</v>
      </c>
      <c r="V378" s="192">
        <v>4</v>
      </c>
      <c r="W378" s="192">
        <v>5</v>
      </c>
      <c r="X378" s="192">
        <v>3</v>
      </c>
      <c r="Y378" s="192">
        <v>4</v>
      </c>
      <c r="Z378" s="192">
        <v>5</v>
      </c>
      <c r="AA378" s="192">
        <v>4</v>
      </c>
      <c r="AB378" s="192">
        <v>4</v>
      </c>
      <c r="AC378" s="192">
        <v>5</v>
      </c>
      <c r="AD378" s="193">
        <v>4</v>
      </c>
      <c r="AE378" s="191">
        <v>2</v>
      </c>
      <c r="AF378" s="192">
        <v>3</v>
      </c>
      <c r="AG378" s="192">
        <v>4</v>
      </c>
      <c r="AH378" s="192">
        <v>4</v>
      </c>
      <c r="AI378" s="192">
        <v>5</v>
      </c>
      <c r="AJ378" s="192">
        <v>4</v>
      </c>
      <c r="AK378" s="192">
        <v>4</v>
      </c>
      <c r="AL378" s="192">
        <v>4</v>
      </c>
      <c r="AM378" s="192">
        <v>4</v>
      </c>
      <c r="AN378" s="192">
        <v>5</v>
      </c>
      <c r="AO378" s="192">
        <v>4</v>
      </c>
      <c r="AP378" s="192">
        <v>3</v>
      </c>
      <c r="AQ378" s="151"/>
      <c r="AR378" s="96">
        <f t="shared" si="36"/>
        <v>45</v>
      </c>
      <c r="AS378" s="96">
        <f t="shared" si="37"/>
        <v>46</v>
      </c>
    </row>
    <row r="379" spans="1:45" ht="15.75" customHeight="1">
      <c r="A379" s="116"/>
      <c r="B379" s="194" t="s">
        <v>392</v>
      </c>
      <c r="C379" s="195" t="s">
        <v>386</v>
      </c>
      <c r="D379" s="173">
        <v>1</v>
      </c>
      <c r="E379" s="174" t="s">
        <v>348</v>
      </c>
      <c r="F379" s="196" t="s">
        <v>363</v>
      </c>
      <c r="G379" s="197">
        <v>0</v>
      </c>
      <c r="H379" s="197">
        <v>0</v>
      </c>
      <c r="I379" s="197">
        <v>0</v>
      </c>
      <c r="J379" s="197">
        <v>0</v>
      </c>
      <c r="K379" s="197">
        <v>0</v>
      </c>
      <c r="L379" s="197">
        <v>0</v>
      </c>
      <c r="M379" s="197">
        <v>0</v>
      </c>
      <c r="N379" s="197">
        <v>0</v>
      </c>
      <c r="O379" s="197">
        <v>0</v>
      </c>
      <c r="P379" s="197">
        <v>0</v>
      </c>
      <c r="Q379" s="197">
        <v>0</v>
      </c>
      <c r="R379" s="197">
        <v>0</v>
      </c>
      <c r="S379" s="198">
        <v>0</v>
      </c>
      <c r="T379" s="197">
        <v>0</v>
      </c>
      <c r="U379" s="197">
        <v>0</v>
      </c>
      <c r="V379" s="197">
        <v>0</v>
      </c>
      <c r="W379" s="197">
        <v>0</v>
      </c>
      <c r="X379" s="197">
        <v>0</v>
      </c>
      <c r="Y379" s="197">
        <v>0</v>
      </c>
      <c r="Z379" s="197">
        <v>0</v>
      </c>
      <c r="AA379" s="197">
        <v>0</v>
      </c>
      <c r="AB379" s="197">
        <v>0</v>
      </c>
      <c r="AC379" s="197">
        <v>0</v>
      </c>
      <c r="AD379" s="199">
        <v>0</v>
      </c>
      <c r="AE379" s="198">
        <v>0</v>
      </c>
      <c r="AF379" s="197">
        <v>0</v>
      </c>
      <c r="AG379" s="197">
        <v>0</v>
      </c>
      <c r="AH379" s="197">
        <v>3</v>
      </c>
      <c r="AI379" s="197">
        <v>3</v>
      </c>
      <c r="AJ379" s="197">
        <v>1</v>
      </c>
      <c r="AK379" s="197">
        <v>1</v>
      </c>
      <c r="AL379" s="197">
        <v>0</v>
      </c>
      <c r="AM379" s="197">
        <v>1</v>
      </c>
      <c r="AN379" s="197">
        <v>5</v>
      </c>
      <c r="AO379" s="197">
        <v>3</v>
      </c>
      <c r="AP379" s="197">
        <v>2</v>
      </c>
      <c r="AQ379" s="151"/>
      <c r="AR379" s="96">
        <f t="shared" si="36"/>
        <v>0</v>
      </c>
      <c r="AS379" s="96">
        <f t="shared" si="37"/>
        <v>19</v>
      </c>
    </row>
    <row r="380" spans="1:45" ht="15.75" customHeight="1">
      <c r="A380" s="116"/>
      <c r="B380" s="190" t="s">
        <v>393</v>
      </c>
      <c r="C380" s="116" t="s">
        <v>347</v>
      </c>
      <c r="D380" s="120">
        <v>1</v>
      </c>
      <c r="E380" s="116" t="s">
        <v>348</v>
      </c>
      <c r="F380" s="119" t="s">
        <v>349</v>
      </c>
      <c r="G380" s="191">
        <f t="shared" ref="G380:AP387" si="38">G40-G278-G312-G346</f>
        <v>0</v>
      </c>
      <c r="H380" s="192">
        <f t="shared" si="38"/>
        <v>2</v>
      </c>
      <c r="I380" s="192">
        <f t="shared" si="38"/>
        <v>2</v>
      </c>
      <c r="J380" s="192">
        <f t="shared" si="38"/>
        <v>1</v>
      </c>
      <c r="K380" s="192">
        <f t="shared" si="38"/>
        <v>0</v>
      </c>
      <c r="L380" s="192">
        <f t="shared" si="38"/>
        <v>2</v>
      </c>
      <c r="M380" s="192">
        <f t="shared" si="38"/>
        <v>1</v>
      </c>
      <c r="N380" s="192">
        <f t="shared" si="38"/>
        <v>2</v>
      </c>
      <c r="O380" s="192">
        <f t="shared" si="38"/>
        <v>0</v>
      </c>
      <c r="P380" s="192">
        <f t="shared" si="38"/>
        <v>2</v>
      </c>
      <c r="Q380" s="192">
        <f t="shared" si="38"/>
        <v>0</v>
      </c>
      <c r="R380" s="192">
        <f t="shared" si="38"/>
        <v>2</v>
      </c>
      <c r="S380" s="191">
        <f t="shared" si="38"/>
        <v>1</v>
      </c>
      <c r="T380" s="192">
        <f t="shared" si="38"/>
        <v>0</v>
      </c>
      <c r="U380" s="192">
        <f t="shared" si="38"/>
        <v>0</v>
      </c>
      <c r="V380" s="192">
        <f t="shared" si="38"/>
        <v>1</v>
      </c>
      <c r="W380" s="192">
        <f t="shared" si="38"/>
        <v>0</v>
      </c>
      <c r="X380" s="192">
        <f t="shared" si="38"/>
        <v>1</v>
      </c>
      <c r="Y380" s="192">
        <f t="shared" si="38"/>
        <v>1</v>
      </c>
      <c r="Z380" s="192">
        <f t="shared" si="38"/>
        <v>1</v>
      </c>
      <c r="AA380" s="192">
        <f t="shared" si="38"/>
        <v>2</v>
      </c>
      <c r="AB380" s="192">
        <f t="shared" si="38"/>
        <v>1</v>
      </c>
      <c r="AC380" s="192">
        <f t="shared" si="38"/>
        <v>0</v>
      </c>
      <c r="AD380" s="193">
        <f t="shared" si="38"/>
        <v>2</v>
      </c>
      <c r="AE380" s="191">
        <f t="shared" si="38"/>
        <v>0</v>
      </c>
      <c r="AF380" s="192">
        <f t="shared" si="38"/>
        <v>0</v>
      </c>
      <c r="AG380" s="192">
        <f t="shared" si="38"/>
        <v>2</v>
      </c>
      <c r="AH380" s="192">
        <f t="shared" si="38"/>
        <v>1</v>
      </c>
      <c r="AI380" s="192">
        <f t="shared" si="38"/>
        <v>2</v>
      </c>
      <c r="AJ380" s="192">
        <f t="shared" si="38"/>
        <v>0</v>
      </c>
      <c r="AK380" s="192">
        <f t="shared" si="38"/>
        <v>0</v>
      </c>
      <c r="AL380" s="192">
        <f t="shared" si="38"/>
        <v>0</v>
      </c>
      <c r="AM380" s="192">
        <f t="shared" si="38"/>
        <v>0</v>
      </c>
      <c r="AN380" s="192">
        <f t="shared" si="38"/>
        <v>4</v>
      </c>
      <c r="AO380" s="192">
        <f t="shared" si="38"/>
        <v>3</v>
      </c>
      <c r="AP380" s="192">
        <f t="shared" si="38"/>
        <v>2</v>
      </c>
      <c r="AQ380" s="151"/>
      <c r="AR380" s="96">
        <f t="shared" si="36"/>
        <v>10</v>
      </c>
      <c r="AS380" s="96">
        <f t="shared" si="37"/>
        <v>14</v>
      </c>
    </row>
    <row r="381" spans="1:45" ht="15.75" customHeight="1">
      <c r="A381" s="116"/>
      <c r="B381" s="190" t="s">
        <v>393</v>
      </c>
      <c r="C381" s="116" t="s">
        <v>350</v>
      </c>
      <c r="D381" s="120">
        <v>2</v>
      </c>
      <c r="E381" s="116" t="s">
        <v>348</v>
      </c>
      <c r="F381" s="119" t="s">
        <v>349</v>
      </c>
      <c r="G381" s="192">
        <f t="shared" si="38"/>
        <v>0</v>
      </c>
      <c r="H381" s="192">
        <f t="shared" si="38"/>
        <v>1</v>
      </c>
      <c r="I381" s="192">
        <f t="shared" si="38"/>
        <v>1</v>
      </c>
      <c r="J381" s="192">
        <f t="shared" si="38"/>
        <v>0</v>
      </c>
      <c r="K381" s="192">
        <f t="shared" si="38"/>
        <v>3</v>
      </c>
      <c r="L381" s="192">
        <f t="shared" si="38"/>
        <v>1</v>
      </c>
      <c r="M381" s="192">
        <f t="shared" si="38"/>
        <v>1</v>
      </c>
      <c r="N381" s="192">
        <f t="shared" si="38"/>
        <v>2</v>
      </c>
      <c r="O381" s="192">
        <f t="shared" si="38"/>
        <v>0</v>
      </c>
      <c r="P381" s="192">
        <f t="shared" si="38"/>
        <v>1</v>
      </c>
      <c r="Q381" s="192">
        <f t="shared" si="38"/>
        <v>1</v>
      </c>
      <c r="R381" s="192">
        <f t="shared" si="38"/>
        <v>4</v>
      </c>
      <c r="S381" s="191">
        <f t="shared" si="38"/>
        <v>0</v>
      </c>
      <c r="T381" s="192">
        <f t="shared" si="38"/>
        <v>1</v>
      </c>
      <c r="U381" s="192">
        <f t="shared" si="38"/>
        <v>1</v>
      </c>
      <c r="V381" s="192">
        <f t="shared" si="38"/>
        <v>2</v>
      </c>
      <c r="W381" s="192">
        <f t="shared" si="38"/>
        <v>3</v>
      </c>
      <c r="X381" s="192">
        <f t="shared" si="38"/>
        <v>0</v>
      </c>
      <c r="Y381" s="192">
        <f t="shared" si="38"/>
        <v>2</v>
      </c>
      <c r="Z381" s="192">
        <f t="shared" si="38"/>
        <v>1</v>
      </c>
      <c r="AA381" s="192">
        <f t="shared" si="38"/>
        <v>4</v>
      </c>
      <c r="AB381" s="192">
        <f t="shared" si="38"/>
        <v>1</v>
      </c>
      <c r="AC381" s="192">
        <f t="shared" si="38"/>
        <v>0</v>
      </c>
      <c r="AD381" s="193">
        <f t="shared" si="38"/>
        <v>0</v>
      </c>
      <c r="AE381" s="191">
        <f t="shared" si="38"/>
        <v>2</v>
      </c>
      <c r="AF381" s="192">
        <f t="shared" si="38"/>
        <v>0</v>
      </c>
      <c r="AG381" s="192">
        <f t="shared" si="38"/>
        <v>0</v>
      </c>
      <c r="AH381" s="192">
        <f t="shared" si="38"/>
        <v>0</v>
      </c>
      <c r="AI381" s="192">
        <f t="shared" si="38"/>
        <v>2</v>
      </c>
      <c r="AJ381" s="192">
        <f t="shared" si="38"/>
        <v>1</v>
      </c>
      <c r="AK381" s="192">
        <f t="shared" si="38"/>
        <v>1</v>
      </c>
      <c r="AL381" s="192">
        <f t="shared" si="38"/>
        <v>4</v>
      </c>
      <c r="AM381" s="192">
        <f t="shared" si="38"/>
        <v>1</v>
      </c>
      <c r="AN381" s="192">
        <f t="shared" si="38"/>
        <v>4</v>
      </c>
      <c r="AO381" s="192">
        <f t="shared" si="38"/>
        <v>1</v>
      </c>
      <c r="AP381" s="192">
        <f t="shared" si="38"/>
        <v>1</v>
      </c>
      <c r="AQ381" s="151"/>
      <c r="AR381" s="96">
        <f t="shared" si="36"/>
        <v>15</v>
      </c>
      <c r="AS381" s="96">
        <f t="shared" si="37"/>
        <v>17</v>
      </c>
    </row>
    <row r="382" spans="1:45" ht="15.75" customHeight="1">
      <c r="A382" s="116"/>
      <c r="B382" s="190" t="s">
        <v>393</v>
      </c>
      <c r="C382" s="116" t="s">
        <v>351</v>
      </c>
      <c r="D382" s="120">
        <v>2</v>
      </c>
      <c r="E382" s="116" t="s">
        <v>348</v>
      </c>
      <c r="F382" s="119" t="s">
        <v>349</v>
      </c>
      <c r="G382" s="192">
        <f t="shared" si="38"/>
        <v>2</v>
      </c>
      <c r="H382" s="192">
        <f t="shared" si="38"/>
        <v>0</v>
      </c>
      <c r="I382" s="192">
        <f t="shared" si="38"/>
        <v>3</v>
      </c>
      <c r="J382" s="192">
        <f t="shared" si="38"/>
        <v>2</v>
      </c>
      <c r="K382" s="192">
        <f t="shared" si="38"/>
        <v>3</v>
      </c>
      <c r="L382" s="192">
        <f t="shared" si="38"/>
        <v>3</v>
      </c>
      <c r="M382" s="192">
        <f t="shared" si="38"/>
        <v>1</v>
      </c>
      <c r="N382" s="192">
        <f t="shared" si="38"/>
        <v>3</v>
      </c>
      <c r="O382" s="192">
        <f t="shared" si="38"/>
        <v>1</v>
      </c>
      <c r="P382" s="192">
        <f t="shared" si="38"/>
        <v>0</v>
      </c>
      <c r="Q382" s="192">
        <f t="shared" si="38"/>
        <v>2</v>
      </c>
      <c r="R382" s="192">
        <f t="shared" si="38"/>
        <v>4</v>
      </c>
      <c r="S382" s="191">
        <f t="shared" si="38"/>
        <v>1</v>
      </c>
      <c r="T382" s="192">
        <f t="shared" si="38"/>
        <v>3</v>
      </c>
      <c r="U382" s="192">
        <f t="shared" si="38"/>
        <v>1</v>
      </c>
      <c r="V382" s="192">
        <f t="shared" si="38"/>
        <v>2</v>
      </c>
      <c r="W382" s="192">
        <f t="shared" si="38"/>
        <v>1</v>
      </c>
      <c r="X382" s="192">
        <f t="shared" si="38"/>
        <v>3</v>
      </c>
      <c r="Y382" s="192">
        <f t="shared" si="38"/>
        <v>1</v>
      </c>
      <c r="Z382" s="192">
        <f t="shared" si="38"/>
        <v>0</v>
      </c>
      <c r="AA382" s="192">
        <f t="shared" si="38"/>
        <v>1</v>
      </c>
      <c r="AB382" s="192">
        <f t="shared" si="38"/>
        <v>3</v>
      </c>
      <c r="AC382" s="192">
        <f t="shared" si="38"/>
        <v>2</v>
      </c>
      <c r="AD382" s="193">
        <f t="shared" si="38"/>
        <v>3</v>
      </c>
      <c r="AE382" s="191">
        <f t="shared" si="38"/>
        <v>1</v>
      </c>
      <c r="AF382" s="192">
        <f t="shared" si="38"/>
        <v>0</v>
      </c>
      <c r="AG382" s="192">
        <f t="shared" si="38"/>
        <v>0</v>
      </c>
      <c r="AH382" s="192">
        <f t="shared" si="38"/>
        <v>0</v>
      </c>
      <c r="AI382" s="192">
        <f t="shared" si="38"/>
        <v>3</v>
      </c>
      <c r="AJ382" s="192">
        <f t="shared" si="38"/>
        <v>3</v>
      </c>
      <c r="AK382" s="192">
        <f t="shared" si="38"/>
        <v>0</v>
      </c>
      <c r="AL382" s="192">
        <f t="shared" si="38"/>
        <v>0</v>
      </c>
      <c r="AM382" s="192">
        <f t="shared" si="38"/>
        <v>0</v>
      </c>
      <c r="AN382" s="192">
        <f t="shared" si="38"/>
        <v>1</v>
      </c>
      <c r="AO382" s="192">
        <f t="shared" si="38"/>
        <v>1</v>
      </c>
      <c r="AP382" s="192">
        <f t="shared" si="38"/>
        <v>3</v>
      </c>
      <c r="AQ382" s="151"/>
      <c r="AR382" s="96">
        <f t="shared" si="36"/>
        <v>21</v>
      </c>
      <c r="AS382" s="96">
        <f t="shared" si="37"/>
        <v>12</v>
      </c>
    </row>
    <row r="383" spans="1:45" ht="15.75" customHeight="1">
      <c r="A383" s="116"/>
      <c r="B383" s="190" t="s">
        <v>393</v>
      </c>
      <c r="C383" s="116" t="s">
        <v>352</v>
      </c>
      <c r="D383" s="120">
        <v>1</v>
      </c>
      <c r="E383" s="116" t="s">
        <v>348</v>
      </c>
      <c r="F383" s="119" t="s">
        <v>349</v>
      </c>
      <c r="G383" s="192">
        <f t="shared" si="38"/>
        <v>0</v>
      </c>
      <c r="H383" s="192">
        <f t="shared" si="38"/>
        <v>0</v>
      </c>
      <c r="I383" s="192">
        <f t="shared" si="38"/>
        <v>1</v>
      </c>
      <c r="J383" s="192">
        <f t="shared" si="38"/>
        <v>2</v>
      </c>
      <c r="K383" s="192">
        <f t="shared" si="38"/>
        <v>1</v>
      </c>
      <c r="L383" s="192">
        <f t="shared" si="38"/>
        <v>1</v>
      </c>
      <c r="M383" s="192">
        <f t="shared" si="38"/>
        <v>3</v>
      </c>
      <c r="N383" s="192">
        <f t="shared" si="38"/>
        <v>1</v>
      </c>
      <c r="O383" s="192">
        <f t="shared" si="38"/>
        <v>0</v>
      </c>
      <c r="P383" s="192">
        <f t="shared" si="38"/>
        <v>2</v>
      </c>
      <c r="Q383" s="192">
        <f t="shared" si="38"/>
        <v>3</v>
      </c>
      <c r="R383" s="192">
        <f t="shared" si="38"/>
        <v>4</v>
      </c>
      <c r="S383" s="191">
        <f t="shared" si="38"/>
        <v>1</v>
      </c>
      <c r="T383" s="192">
        <f t="shared" si="38"/>
        <v>1</v>
      </c>
      <c r="U383" s="192">
        <f t="shared" si="38"/>
        <v>4</v>
      </c>
      <c r="V383" s="192">
        <f t="shared" si="38"/>
        <v>0</v>
      </c>
      <c r="W383" s="192">
        <f t="shared" si="38"/>
        <v>3</v>
      </c>
      <c r="X383" s="192">
        <f t="shared" si="38"/>
        <v>5</v>
      </c>
      <c r="Y383" s="192">
        <f t="shared" si="38"/>
        <v>3</v>
      </c>
      <c r="Z383" s="192">
        <f t="shared" si="38"/>
        <v>2</v>
      </c>
      <c r="AA383" s="192">
        <f t="shared" si="38"/>
        <v>1</v>
      </c>
      <c r="AB383" s="192">
        <f t="shared" si="38"/>
        <v>1</v>
      </c>
      <c r="AC383" s="192">
        <f t="shared" si="38"/>
        <v>4</v>
      </c>
      <c r="AD383" s="193">
        <f t="shared" si="38"/>
        <v>2</v>
      </c>
      <c r="AE383" s="191">
        <f t="shared" si="38"/>
        <v>2</v>
      </c>
      <c r="AF383" s="192">
        <f t="shared" si="38"/>
        <v>4</v>
      </c>
      <c r="AG383" s="192">
        <f t="shared" si="38"/>
        <v>3</v>
      </c>
      <c r="AH383" s="192">
        <f t="shared" si="38"/>
        <v>2</v>
      </c>
      <c r="AI383" s="192">
        <f t="shared" si="38"/>
        <v>5</v>
      </c>
      <c r="AJ383" s="192">
        <f t="shared" si="38"/>
        <v>6</v>
      </c>
      <c r="AK383" s="192">
        <f t="shared" si="38"/>
        <v>3</v>
      </c>
      <c r="AL383" s="192">
        <f t="shared" si="38"/>
        <v>2</v>
      </c>
      <c r="AM383" s="192">
        <f t="shared" si="38"/>
        <v>2</v>
      </c>
      <c r="AN383" s="192">
        <f t="shared" si="38"/>
        <v>7</v>
      </c>
      <c r="AO383" s="192">
        <f t="shared" si="38"/>
        <v>6</v>
      </c>
      <c r="AP383" s="192">
        <f t="shared" si="38"/>
        <v>5</v>
      </c>
      <c r="AQ383" s="151"/>
      <c r="AR383" s="96">
        <f t="shared" si="36"/>
        <v>27</v>
      </c>
      <c r="AS383" s="96">
        <f t="shared" si="37"/>
        <v>47</v>
      </c>
    </row>
    <row r="384" spans="1:45" ht="15.75" customHeight="1">
      <c r="A384" s="116"/>
      <c r="B384" s="190" t="s">
        <v>393</v>
      </c>
      <c r="C384" s="116" t="s">
        <v>353</v>
      </c>
      <c r="D384" s="120">
        <v>1</v>
      </c>
      <c r="E384" s="116" t="s">
        <v>348</v>
      </c>
      <c r="F384" s="119" t="s">
        <v>349</v>
      </c>
      <c r="G384" s="192">
        <f t="shared" si="38"/>
        <v>1</v>
      </c>
      <c r="H384" s="192">
        <f t="shared" si="38"/>
        <v>0</v>
      </c>
      <c r="I384" s="192">
        <f t="shared" si="38"/>
        <v>1</v>
      </c>
      <c r="J384" s="192">
        <f t="shared" si="38"/>
        <v>2</v>
      </c>
      <c r="K384" s="192">
        <f t="shared" si="38"/>
        <v>0</v>
      </c>
      <c r="L384" s="192">
        <f t="shared" si="38"/>
        <v>0</v>
      </c>
      <c r="M384" s="192">
        <f t="shared" si="38"/>
        <v>0</v>
      </c>
      <c r="N384" s="192">
        <f t="shared" si="38"/>
        <v>1</v>
      </c>
      <c r="O384" s="192">
        <f t="shared" si="38"/>
        <v>0</v>
      </c>
      <c r="P384" s="192">
        <f t="shared" si="38"/>
        <v>1</v>
      </c>
      <c r="Q384" s="192">
        <f t="shared" si="38"/>
        <v>0</v>
      </c>
      <c r="R384" s="192">
        <f t="shared" si="38"/>
        <v>1</v>
      </c>
      <c r="S384" s="191">
        <f t="shared" si="38"/>
        <v>1</v>
      </c>
      <c r="T384" s="192">
        <f t="shared" si="38"/>
        <v>1</v>
      </c>
      <c r="U384" s="192">
        <f t="shared" si="38"/>
        <v>0</v>
      </c>
      <c r="V384" s="192">
        <f t="shared" si="38"/>
        <v>1</v>
      </c>
      <c r="W384" s="192">
        <f t="shared" si="38"/>
        <v>1</v>
      </c>
      <c r="X384" s="192">
        <f t="shared" si="38"/>
        <v>0</v>
      </c>
      <c r="Y384" s="192">
        <f t="shared" si="38"/>
        <v>0</v>
      </c>
      <c r="Z384" s="192">
        <f t="shared" si="38"/>
        <v>1</v>
      </c>
      <c r="AA384" s="192">
        <f t="shared" si="38"/>
        <v>1</v>
      </c>
      <c r="AB384" s="192">
        <f t="shared" si="38"/>
        <v>0</v>
      </c>
      <c r="AC384" s="192">
        <f t="shared" si="38"/>
        <v>1</v>
      </c>
      <c r="AD384" s="193">
        <f t="shared" si="38"/>
        <v>1</v>
      </c>
      <c r="AE384" s="191">
        <f t="shared" si="38"/>
        <v>0</v>
      </c>
      <c r="AF384" s="192">
        <f t="shared" si="38"/>
        <v>0</v>
      </c>
      <c r="AG384" s="192">
        <f t="shared" si="38"/>
        <v>0</v>
      </c>
      <c r="AH384" s="192">
        <f t="shared" si="38"/>
        <v>5</v>
      </c>
      <c r="AI384" s="192">
        <f t="shared" si="38"/>
        <v>0</v>
      </c>
      <c r="AJ384" s="192">
        <f t="shared" si="38"/>
        <v>1</v>
      </c>
      <c r="AK384" s="192">
        <f t="shared" si="38"/>
        <v>0</v>
      </c>
      <c r="AL384" s="192">
        <f t="shared" si="38"/>
        <v>1</v>
      </c>
      <c r="AM384" s="192">
        <f t="shared" si="38"/>
        <v>0</v>
      </c>
      <c r="AN384" s="192">
        <f t="shared" si="38"/>
        <v>1</v>
      </c>
      <c r="AO384" s="192">
        <f t="shared" si="38"/>
        <v>0</v>
      </c>
      <c r="AP384" s="192">
        <f t="shared" si="38"/>
        <v>0</v>
      </c>
      <c r="AQ384" s="151"/>
      <c r="AR384" s="96">
        <f t="shared" si="36"/>
        <v>8</v>
      </c>
      <c r="AS384" s="96">
        <f t="shared" si="37"/>
        <v>8</v>
      </c>
    </row>
    <row r="385" spans="1:45" ht="15.75" customHeight="1">
      <c r="A385" s="116"/>
      <c r="B385" s="190" t="s">
        <v>393</v>
      </c>
      <c r="C385" s="116" t="s">
        <v>354</v>
      </c>
      <c r="D385" s="120">
        <v>1</v>
      </c>
      <c r="E385" s="116" t="s">
        <v>348</v>
      </c>
      <c r="F385" s="119" t="s">
        <v>355</v>
      </c>
      <c r="G385" s="192">
        <f t="shared" si="38"/>
        <v>0</v>
      </c>
      <c r="H385" s="192">
        <f t="shared" si="38"/>
        <v>2</v>
      </c>
      <c r="I385" s="192">
        <f t="shared" si="38"/>
        <v>2</v>
      </c>
      <c r="J385" s="192">
        <f t="shared" si="38"/>
        <v>2</v>
      </c>
      <c r="K385" s="192">
        <f t="shared" si="38"/>
        <v>4</v>
      </c>
      <c r="L385" s="192">
        <f t="shared" si="38"/>
        <v>3</v>
      </c>
      <c r="M385" s="192">
        <f t="shared" si="38"/>
        <v>1</v>
      </c>
      <c r="N385" s="192">
        <f t="shared" si="38"/>
        <v>1</v>
      </c>
      <c r="O385" s="192">
        <f t="shared" si="38"/>
        <v>1</v>
      </c>
      <c r="P385" s="192">
        <f t="shared" si="38"/>
        <v>4</v>
      </c>
      <c r="Q385" s="192">
        <f t="shared" si="38"/>
        <v>2</v>
      </c>
      <c r="R385" s="192">
        <f t="shared" si="38"/>
        <v>3</v>
      </c>
      <c r="S385" s="191">
        <f t="shared" si="38"/>
        <v>2</v>
      </c>
      <c r="T385" s="192">
        <f t="shared" si="38"/>
        <v>2</v>
      </c>
      <c r="U385" s="192">
        <f t="shared" si="38"/>
        <v>2</v>
      </c>
      <c r="V385" s="192">
        <f t="shared" si="38"/>
        <v>4</v>
      </c>
      <c r="W385" s="192">
        <f t="shared" si="38"/>
        <v>1</v>
      </c>
      <c r="X385" s="192">
        <f t="shared" si="38"/>
        <v>5</v>
      </c>
      <c r="Y385" s="192">
        <f t="shared" si="38"/>
        <v>4</v>
      </c>
      <c r="Z385" s="192">
        <f t="shared" si="38"/>
        <v>3</v>
      </c>
      <c r="AA385" s="192">
        <f t="shared" si="38"/>
        <v>4</v>
      </c>
      <c r="AB385" s="192">
        <f t="shared" si="38"/>
        <v>3</v>
      </c>
      <c r="AC385" s="192">
        <f t="shared" si="38"/>
        <v>3</v>
      </c>
      <c r="AD385" s="193">
        <f t="shared" si="38"/>
        <v>3</v>
      </c>
      <c r="AE385" s="191">
        <f t="shared" si="38"/>
        <v>1</v>
      </c>
      <c r="AF385" s="192">
        <f t="shared" si="38"/>
        <v>2</v>
      </c>
      <c r="AG385" s="192">
        <f t="shared" si="38"/>
        <v>1</v>
      </c>
      <c r="AH385" s="192">
        <f t="shared" si="38"/>
        <v>2</v>
      </c>
      <c r="AI385" s="192">
        <f t="shared" si="38"/>
        <v>5</v>
      </c>
      <c r="AJ385" s="192">
        <f t="shared" si="38"/>
        <v>4</v>
      </c>
      <c r="AK385" s="192">
        <f t="shared" si="38"/>
        <v>3</v>
      </c>
      <c r="AL385" s="192">
        <f t="shared" si="38"/>
        <v>6</v>
      </c>
      <c r="AM385" s="192">
        <f t="shared" si="38"/>
        <v>5</v>
      </c>
      <c r="AN385" s="192">
        <f t="shared" si="38"/>
        <v>3</v>
      </c>
      <c r="AO385" s="192">
        <f t="shared" si="38"/>
        <v>2</v>
      </c>
      <c r="AP385" s="192">
        <f t="shared" si="38"/>
        <v>4</v>
      </c>
      <c r="AQ385" s="151"/>
      <c r="AR385" s="96">
        <f t="shared" si="36"/>
        <v>36</v>
      </c>
      <c r="AS385" s="96">
        <f t="shared" si="37"/>
        <v>38</v>
      </c>
    </row>
    <row r="386" spans="1:45" ht="15.75" customHeight="1">
      <c r="A386" s="116"/>
      <c r="B386" s="190" t="s">
        <v>393</v>
      </c>
      <c r="C386" s="116" t="s">
        <v>356</v>
      </c>
      <c r="D386" s="120">
        <v>1</v>
      </c>
      <c r="E386" s="116" t="s">
        <v>348</v>
      </c>
      <c r="F386" s="119" t="s">
        <v>355</v>
      </c>
      <c r="G386" s="192">
        <f t="shared" si="38"/>
        <v>0</v>
      </c>
      <c r="H386" s="192">
        <f t="shared" si="38"/>
        <v>2</v>
      </c>
      <c r="I386" s="192">
        <f t="shared" si="38"/>
        <v>0</v>
      </c>
      <c r="J386" s="192">
        <f t="shared" si="38"/>
        <v>2</v>
      </c>
      <c r="K386" s="192">
        <f t="shared" si="38"/>
        <v>1</v>
      </c>
      <c r="L386" s="192">
        <f t="shared" si="38"/>
        <v>1</v>
      </c>
      <c r="M386" s="192">
        <f t="shared" si="38"/>
        <v>0</v>
      </c>
      <c r="N386" s="192">
        <f t="shared" si="38"/>
        <v>0</v>
      </c>
      <c r="O386" s="192">
        <f t="shared" si="38"/>
        <v>0</v>
      </c>
      <c r="P386" s="192">
        <f t="shared" si="38"/>
        <v>2</v>
      </c>
      <c r="Q386" s="192">
        <f t="shared" si="38"/>
        <v>2</v>
      </c>
      <c r="R386" s="192">
        <f t="shared" si="38"/>
        <v>0</v>
      </c>
      <c r="S386" s="191">
        <f t="shared" si="38"/>
        <v>0</v>
      </c>
      <c r="T386" s="192">
        <f t="shared" si="38"/>
        <v>1</v>
      </c>
      <c r="U386" s="192">
        <f t="shared" si="38"/>
        <v>0</v>
      </c>
      <c r="V386" s="192">
        <f t="shared" si="38"/>
        <v>2</v>
      </c>
      <c r="W386" s="192">
        <f t="shared" si="38"/>
        <v>1</v>
      </c>
      <c r="X386" s="192">
        <f t="shared" si="38"/>
        <v>0</v>
      </c>
      <c r="Y386" s="192">
        <f t="shared" si="38"/>
        <v>0</v>
      </c>
      <c r="Z386" s="192">
        <f t="shared" si="38"/>
        <v>4</v>
      </c>
      <c r="AA386" s="192">
        <f t="shared" si="38"/>
        <v>0</v>
      </c>
      <c r="AB386" s="192">
        <f t="shared" si="38"/>
        <v>4</v>
      </c>
      <c r="AC386" s="192">
        <f t="shared" si="38"/>
        <v>2</v>
      </c>
      <c r="AD386" s="193">
        <f t="shared" si="38"/>
        <v>1</v>
      </c>
      <c r="AE386" s="191">
        <f t="shared" si="38"/>
        <v>1</v>
      </c>
      <c r="AF386" s="192">
        <f t="shared" si="38"/>
        <v>1</v>
      </c>
      <c r="AG386" s="192">
        <f t="shared" si="38"/>
        <v>0</v>
      </c>
      <c r="AH386" s="192">
        <f t="shared" si="38"/>
        <v>1</v>
      </c>
      <c r="AI386" s="192">
        <f t="shared" si="38"/>
        <v>0</v>
      </c>
      <c r="AJ386" s="192">
        <f t="shared" si="38"/>
        <v>0</v>
      </c>
      <c r="AK386" s="192">
        <f t="shared" si="38"/>
        <v>2</v>
      </c>
      <c r="AL386" s="192">
        <f t="shared" si="38"/>
        <v>0</v>
      </c>
      <c r="AM386" s="192">
        <f t="shared" si="38"/>
        <v>0</v>
      </c>
      <c r="AN386" s="192">
        <f t="shared" si="38"/>
        <v>3</v>
      </c>
      <c r="AO386" s="192">
        <f t="shared" si="38"/>
        <v>1</v>
      </c>
      <c r="AP386" s="192">
        <f t="shared" si="38"/>
        <v>0</v>
      </c>
      <c r="AQ386" s="151"/>
      <c r="AR386" s="96">
        <f t="shared" si="36"/>
        <v>15</v>
      </c>
      <c r="AS386" s="96">
        <f t="shared" si="37"/>
        <v>9</v>
      </c>
    </row>
    <row r="387" spans="1:45" ht="15.75" customHeight="1">
      <c r="A387" s="116"/>
      <c r="B387" s="190" t="s">
        <v>393</v>
      </c>
      <c r="C387" s="116" t="s">
        <v>357</v>
      </c>
      <c r="D387" s="120">
        <v>2</v>
      </c>
      <c r="E387" s="116" t="s">
        <v>348</v>
      </c>
      <c r="F387" s="119" t="s">
        <v>355</v>
      </c>
      <c r="G387" s="192">
        <f t="shared" si="38"/>
        <v>1</v>
      </c>
      <c r="H387" s="192">
        <f t="shared" si="38"/>
        <v>0</v>
      </c>
      <c r="I387" s="192">
        <f t="shared" si="38"/>
        <v>4</v>
      </c>
      <c r="J387" s="192">
        <f t="shared" ref="J387:AP387" si="39">J47-J285-J319-J353</f>
        <v>1</v>
      </c>
      <c r="K387" s="192">
        <f t="shared" si="39"/>
        <v>3</v>
      </c>
      <c r="L387" s="192">
        <f t="shared" si="39"/>
        <v>1</v>
      </c>
      <c r="M387" s="192">
        <f t="shared" si="39"/>
        <v>2</v>
      </c>
      <c r="N387" s="192">
        <f t="shared" si="39"/>
        <v>0</v>
      </c>
      <c r="O387" s="192">
        <f t="shared" si="39"/>
        <v>0</v>
      </c>
      <c r="P387" s="192">
        <f t="shared" si="39"/>
        <v>0</v>
      </c>
      <c r="Q387" s="192">
        <f t="shared" si="39"/>
        <v>1</v>
      </c>
      <c r="R387" s="192">
        <f t="shared" si="39"/>
        <v>1</v>
      </c>
      <c r="S387" s="191">
        <f t="shared" si="39"/>
        <v>0</v>
      </c>
      <c r="T387" s="192">
        <f t="shared" si="39"/>
        <v>0</v>
      </c>
      <c r="U387" s="192">
        <f t="shared" si="39"/>
        <v>2</v>
      </c>
      <c r="V387" s="192">
        <f t="shared" si="39"/>
        <v>1</v>
      </c>
      <c r="W387" s="192">
        <f t="shared" si="39"/>
        <v>0</v>
      </c>
      <c r="X387" s="192">
        <f t="shared" si="39"/>
        <v>2</v>
      </c>
      <c r="Y387" s="192">
        <f t="shared" si="39"/>
        <v>1</v>
      </c>
      <c r="Z387" s="192">
        <f t="shared" si="39"/>
        <v>1</v>
      </c>
      <c r="AA387" s="192">
        <f t="shared" si="39"/>
        <v>0</v>
      </c>
      <c r="AB387" s="192">
        <f t="shared" si="39"/>
        <v>1</v>
      </c>
      <c r="AC387" s="192">
        <f t="shared" si="39"/>
        <v>0</v>
      </c>
      <c r="AD387" s="193">
        <f t="shared" si="39"/>
        <v>1</v>
      </c>
      <c r="AE387" s="191">
        <f t="shared" si="39"/>
        <v>2</v>
      </c>
      <c r="AF387" s="192">
        <f t="shared" si="39"/>
        <v>0</v>
      </c>
      <c r="AG387" s="192">
        <f t="shared" si="39"/>
        <v>0</v>
      </c>
      <c r="AH387" s="192">
        <f t="shared" si="39"/>
        <v>1</v>
      </c>
      <c r="AI387" s="192">
        <f t="shared" si="39"/>
        <v>1</v>
      </c>
      <c r="AJ387" s="192">
        <f t="shared" si="39"/>
        <v>1</v>
      </c>
      <c r="AK387" s="192">
        <f t="shared" si="39"/>
        <v>1</v>
      </c>
      <c r="AL387" s="192">
        <f t="shared" si="39"/>
        <v>1</v>
      </c>
      <c r="AM387" s="192">
        <f t="shared" si="39"/>
        <v>3</v>
      </c>
      <c r="AN387" s="192">
        <f t="shared" si="39"/>
        <v>3</v>
      </c>
      <c r="AO387" s="192">
        <f t="shared" si="39"/>
        <v>2</v>
      </c>
      <c r="AP387" s="192">
        <f t="shared" si="39"/>
        <v>2</v>
      </c>
      <c r="AQ387" s="151"/>
      <c r="AR387" s="96">
        <f t="shared" si="36"/>
        <v>9</v>
      </c>
      <c r="AS387" s="96">
        <f t="shared" si="37"/>
        <v>17</v>
      </c>
    </row>
    <row r="388" spans="1:45" ht="15.75" customHeight="1">
      <c r="A388" s="116"/>
      <c r="B388" s="190" t="s">
        <v>393</v>
      </c>
      <c r="C388" s="116" t="s">
        <v>358</v>
      </c>
      <c r="D388" s="120">
        <v>1</v>
      </c>
      <c r="E388" s="116" t="s">
        <v>348</v>
      </c>
      <c r="F388" s="119" t="s">
        <v>355</v>
      </c>
      <c r="G388" s="192">
        <f t="shared" ref="G388:AP395" si="40">G48-G286-G320-G354</f>
        <v>0</v>
      </c>
      <c r="H388" s="192">
        <f t="shared" si="40"/>
        <v>0</v>
      </c>
      <c r="I388" s="192">
        <f t="shared" si="40"/>
        <v>3</v>
      </c>
      <c r="J388" s="192">
        <f t="shared" si="40"/>
        <v>0</v>
      </c>
      <c r="K388" s="192">
        <f t="shared" si="40"/>
        <v>0</v>
      </c>
      <c r="L388" s="192">
        <f t="shared" si="40"/>
        <v>2</v>
      </c>
      <c r="M388" s="192">
        <f t="shared" si="40"/>
        <v>1</v>
      </c>
      <c r="N388" s="192">
        <f t="shared" si="40"/>
        <v>2</v>
      </c>
      <c r="O388" s="192">
        <f t="shared" si="40"/>
        <v>1</v>
      </c>
      <c r="P388" s="192">
        <f t="shared" si="40"/>
        <v>4</v>
      </c>
      <c r="Q388" s="192">
        <f t="shared" si="40"/>
        <v>1</v>
      </c>
      <c r="R388" s="192">
        <f t="shared" si="40"/>
        <v>2</v>
      </c>
      <c r="S388" s="191">
        <f t="shared" si="40"/>
        <v>0</v>
      </c>
      <c r="T388" s="192">
        <f t="shared" si="40"/>
        <v>1</v>
      </c>
      <c r="U388" s="192">
        <f t="shared" si="40"/>
        <v>1</v>
      </c>
      <c r="V388" s="192">
        <f t="shared" si="40"/>
        <v>3</v>
      </c>
      <c r="W388" s="192">
        <f t="shared" si="40"/>
        <v>0</v>
      </c>
      <c r="X388" s="192">
        <f t="shared" si="40"/>
        <v>0</v>
      </c>
      <c r="Y388" s="192">
        <f t="shared" si="40"/>
        <v>2</v>
      </c>
      <c r="Z388" s="192">
        <f t="shared" si="40"/>
        <v>4</v>
      </c>
      <c r="AA388" s="192">
        <f t="shared" si="40"/>
        <v>2</v>
      </c>
      <c r="AB388" s="192">
        <f t="shared" si="40"/>
        <v>3</v>
      </c>
      <c r="AC388" s="192">
        <f t="shared" si="40"/>
        <v>4</v>
      </c>
      <c r="AD388" s="193">
        <f t="shared" si="40"/>
        <v>4</v>
      </c>
      <c r="AE388" s="191">
        <f t="shared" si="40"/>
        <v>1</v>
      </c>
      <c r="AF388" s="192">
        <f t="shared" si="40"/>
        <v>2</v>
      </c>
      <c r="AG388" s="192">
        <f t="shared" si="40"/>
        <v>0</v>
      </c>
      <c r="AH388" s="192">
        <f t="shared" si="40"/>
        <v>2</v>
      </c>
      <c r="AI388" s="192">
        <f t="shared" si="40"/>
        <v>2</v>
      </c>
      <c r="AJ388" s="192">
        <f t="shared" si="40"/>
        <v>1</v>
      </c>
      <c r="AK388" s="192">
        <f t="shared" si="40"/>
        <v>2</v>
      </c>
      <c r="AL388" s="192">
        <f t="shared" si="40"/>
        <v>1</v>
      </c>
      <c r="AM388" s="192">
        <f t="shared" si="40"/>
        <v>0</v>
      </c>
      <c r="AN388" s="192">
        <f t="shared" si="40"/>
        <v>1</v>
      </c>
      <c r="AO388" s="192">
        <f t="shared" si="40"/>
        <v>3</v>
      </c>
      <c r="AP388" s="192">
        <f t="shared" si="40"/>
        <v>1</v>
      </c>
      <c r="AQ388" s="151"/>
      <c r="AR388" s="96">
        <f t="shared" si="36"/>
        <v>24</v>
      </c>
      <c r="AS388" s="96">
        <f t="shared" si="37"/>
        <v>16</v>
      </c>
    </row>
    <row r="389" spans="1:45" ht="15.75" customHeight="1">
      <c r="A389" s="116"/>
      <c r="B389" s="190" t="s">
        <v>393</v>
      </c>
      <c r="C389" s="116" t="s">
        <v>359</v>
      </c>
      <c r="D389" s="120">
        <v>1</v>
      </c>
      <c r="E389" s="116" t="s">
        <v>348</v>
      </c>
      <c r="F389" s="119" t="s">
        <v>355</v>
      </c>
      <c r="G389" s="192">
        <f t="shared" si="40"/>
        <v>0</v>
      </c>
      <c r="H389" s="192">
        <f t="shared" si="40"/>
        <v>1</v>
      </c>
      <c r="I389" s="192">
        <f t="shared" si="40"/>
        <v>2</v>
      </c>
      <c r="J389" s="192">
        <f t="shared" si="40"/>
        <v>4</v>
      </c>
      <c r="K389" s="192">
        <f t="shared" si="40"/>
        <v>2</v>
      </c>
      <c r="L389" s="192">
        <f t="shared" si="40"/>
        <v>1</v>
      </c>
      <c r="M389" s="192">
        <f t="shared" si="40"/>
        <v>3</v>
      </c>
      <c r="N389" s="192">
        <f t="shared" si="40"/>
        <v>1</v>
      </c>
      <c r="O389" s="192">
        <f t="shared" si="40"/>
        <v>4</v>
      </c>
      <c r="P389" s="192">
        <f t="shared" si="40"/>
        <v>4</v>
      </c>
      <c r="Q389" s="192">
        <f t="shared" si="40"/>
        <v>2</v>
      </c>
      <c r="R389" s="192">
        <f t="shared" si="40"/>
        <v>2</v>
      </c>
      <c r="S389" s="191">
        <f t="shared" si="40"/>
        <v>2</v>
      </c>
      <c r="T389" s="192">
        <f t="shared" si="40"/>
        <v>1</v>
      </c>
      <c r="U389" s="192">
        <f t="shared" si="40"/>
        <v>2</v>
      </c>
      <c r="V389" s="192">
        <f t="shared" si="40"/>
        <v>6</v>
      </c>
      <c r="W389" s="192">
        <f t="shared" si="40"/>
        <v>5</v>
      </c>
      <c r="X389" s="192">
        <f t="shared" si="40"/>
        <v>3</v>
      </c>
      <c r="Y389" s="192">
        <f t="shared" si="40"/>
        <v>1</v>
      </c>
      <c r="Z389" s="192">
        <f t="shared" si="40"/>
        <v>1</v>
      </c>
      <c r="AA389" s="192">
        <f t="shared" si="40"/>
        <v>1</v>
      </c>
      <c r="AB389" s="192">
        <f t="shared" si="40"/>
        <v>4</v>
      </c>
      <c r="AC389" s="192">
        <f t="shared" si="40"/>
        <v>5</v>
      </c>
      <c r="AD389" s="193">
        <f t="shared" si="40"/>
        <v>2</v>
      </c>
      <c r="AE389" s="191">
        <f t="shared" si="40"/>
        <v>1</v>
      </c>
      <c r="AF389" s="192">
        <f t="shared" si="40"/>
        <v>1</v>
      </c>
      <c r="AG389" s="192">
        <f t="shared" si="40"/>
        <v>2</v>
      </c>
      <c r="AH389" s="192">
        <f t="shared" si="40"/>
        <v>4</v>
      </c>
      <c r="AI389" s="192">
        <f t="shared" si="40"/>
        <v>1</v>
      </c>
      <c r="AJ389" s="192">
        <f t="shared" si="40"/>
        <v>0</v>
      </c>
      <c r="AK389" s="192">
        <f t="shared" si="40"/>
        <v>1</v>
      </c>
      <c r="AL389" s="192">
        <f t="shared" si="40"/>
        <v>3</v>
      </c>
      <c r="AM389" s="192">
        <f t="shared" si="40"/>
        <v>2</v>
      </c>
      <c r="AN389" s="192">
        <f t="shared" si="40"/>
        <v>5</v>
      </c>
      <c r="AO389" s="192">
        <f t="shared" si="40"/>
        <v>5</v>
      </c>
      <c r="AP389" s="192">
        <f t="shared" si="40"/>
        <v>2</v>
      </c>
      <c r="AQ389" s="151"/>
      <c r="AR389" s="96">
        <f t="shared" si="36"/>
        <v>33</v>
      </c>
      <c r="AS389" s="96">
        <f t="shared" si="37"/>
        <v>27</v>
      </c>
    </row>
    <row r="390" spans="1:45" ht="15.75" customHeight="1">
      <c r="A390" s="116"/>
      <c r="B390" s="190" t="s">
        <v>393</v>
      </c>
      <c r="C390" s="116" t="s">
        <v>360</v>
      </c>
      <c r="D390" s="120">
        <v>2</v>
      </c>
      <c r="E390" s="116" t="s">
        <v>348</v>
      </c>
      <c r="F390" s="119" t="s">
        <v>355</v>
      </c>
      <c r="G390" s="192">
        <f t="shared" si="40"/>
        <v>0</v>
      </c>
      <c r="H390" s="192">
        <f t="shared" si="40"/>
        <v>0</v>
      </c>
      <c r="I390" s="192">
        <f t="shared" si="40"/>
        <v>0</v>
      </c>
      <c r="J390" s="192">
        <f t="shared" si="40"/>
        <v>0</v>
      </c>
      <c r="K390" s="192">
        <f t="shared" si="40"/>
        <v>0</v>
      </c>
      <c r="L390" s="192">
        <f t="shared" si="40"/>
        <v>0</v>
      </c>
      <c r="M390" s="192">
        <f t="shared" si="40"/>
        <v>0</v>
      </c>
      <c r="N390" s="192">
        <f t="shared" si="40"/>
        <v>0</v>
      </c>
      <c r="O390" s="192">
        <f t="shared" si="40"/>
        <v>0</v>
      </c>
      <c r="P390" s="192">
        <f t="shared" si="40"/>
        <v>0</v>
      </c>
      <c r="Q390" s="192">
        <f t="shared" si="40"/>
        <v>0</v>
      </c>
      <c r="R390" s="192">
        <f t="shared" si="40"/>
        <v>0</v>
      </c>
      <c r="S390" s="191">
        <f t="shared" si="40"/>
        <v>0</v>
      </c>
      <c r="T390" s="192">
        <f t="shared" si="40"/>
        <v>0</v>
      </c>
      <c r="U390" s="192">
        <f t="shared" si="40"/>
        <v>0</v>
      </c>
      <c r="V390" s="192">
        <f t="shared" si="40"/>
        <v>0</v>
      </c>
      <c r="W390" s="192">
        <f t="shared" si="40"/>
        <v>0</v>
      </c>
      <c r="X390" s="192">
        <f t="shared" si="40"/>
        <v>0</v>
      </c>
      <c r="Y390" s="192">
        <f t="shared" si="40"/>
        <v>0</v>
      </c>
      <c r="Z390" s="192">
        <f t="shared" si="40"/>
        <v>0</v>
      </c>
      <c r="AA390" s="192">
        <f t="shared" si="40"/>
        <v>0</v>
      </c>
      <c r="AB390" s="192">
        <f t="shared" si="40"/>
        <v>0</v>
      </c>
      <c r="AC390" s="192">
        <f t="shared" si="40"/>
        <v>0</v>
      </c>
      <c r="AD390" s="193">
        <f t="shared" si="40"/>
        <v>0</v>
      </c>
      <c r="AE390" s="191">
        <f t="shared" si="40"/>
        <v>0</v>
      </c>
      <c r="AF390" s="192">
        <f t="shared" si="40"/>
        <v>0</v>
      </c>
      <c r="AG390" s="192">
        <f t="shared" si="40"/>
        <v>0</v>
      </c>
      <c r="AH390" s="192">
        <f t="shared" si="40"/>
        <v>1</v>
      </c>
      <c r="AI390" s="192">
        <f t="shared" si="40"/>
        <v>0</v>
      </c>
      <c r="AJ390" s="192">
        <f t="shared" si="40"/>
        <v>0</v>
      </c>
      <c r="AK390" s="192">
        <f t="shared" si="40"/>
        <v>0</v>
      </c>
      <c r="AL390" s="192">
        <f t="shared" si="40"/>
        <v>0</v>
      </c>
      <c r="AM390" s="192">
        <f t="shared" si="40"/>
        <v>0</v>
      </c>
      <c r="AN390" s="192">
        <f t="shared" si="40"/>
        <v>1</v>
      </c>
      <c r="AO390" s="192">
        <f t="shared" si="40"/>
        <v>0</v>
      </c>
      <c r="AP390" s="192">
        <f t="shared" si="40"/>
        <v>0</v>
      </c>
      <c r="AQ390" s="151"/>
      <c r="AR390" s="96">
        <f t="shared" si="36"/>
        <v>0</v>
      </c>
      <c r="AS390" s="96">
        <f t="shared" si="37"/>
        <v>2</v>
      </c>
    </row>
    <row r="391" spans="1:45" ht="15.75" customHeight="1">
      <c r="A391" s="116"/>
      <c r="B391" s="190" t="s">
        <v>393</v>
      </c>
      <c r="C391" s="116" t="s">
        <v>361</v>
      </c>
      <c r="D391" s="120">
        <v>1</v>
      </c>
      <c r="E391" s="116" t="s">
        <v>348</v>
      </c>
      <c r="F391" s="119" t="s">
        <v>355</v>
      </c>
      <c r="G391" s="192">
        <f t="shared" si="40"/>
        <v>1</v>
      </c>
      <c r="H391" s="192">
        <f t="shared" si="40"/>
        <v>1</v>
      </c>
      <c r="I391" s="192">
        <f t="shared" si="40"/>
        <v>0</v>
      </c>
      <c r="J391" s="192">
        <f t="shared" si="40"/>
        <v>1</v>
      </c>
      <c r="K391" s="192">
        <f t="shared" si="40"/>
        <v>4</v>
      </c>
      <c r="L391" s="192">
        <f t="shared" si="40"/>
        <v>4</v>
      </c>
      <c r="M391" s="192">
        <f t="shared" si="40"/>
        <v>4</v>
      </c>
      <c r="N391" s="192">
        <f t="shared" si="40"/>
        <v>0</v>
      </c>
      <c r="O391" s="192">
        <f t="shared" si="40"/>
        <v>1</v>
      </c>
      <c r="P391" s="192">
        <f t="shared" si="40"/>
        <v>0</v>
      </c>
      <c r="Q391" s="192">
        <f t="shared" si="40"/>
        <v>0</v>
      </c>
      <c r="R391" s="192">
        <f t="shared" si="40"/>
        <v>1</v>
      </c>
      <c r="S391" s="191">
        <f t="shared" si="40"/>
        <v>0</v>
      </c>
      <c r="T391" s="192">
        <f t="shared" si="40"/>
        <v>0</v>
      </c>
      <c r="U391" s="192">
        <f t="shared" si="40"/>
        <v>1</v>
      </c>
      <c r="V391" s="192">
        <f t="shared" si="40"/>
        <v>3</v>
      </c>
      <c r="W391" s="192">
        <f t="shared" si="40"/>
        <v>2</v>
      </c>
      <c r="X391" s="192">
        <f t="shared" si="40"/>
        <v>4</v>
      </c>
      <c r="Y391" s="192">
        <f t="shared" si="40"/>
        <v>1</v>
      </c>
      <c r="Z391" s="192">
        <f t="shared" si="40"/>
        <v>0</v>
      </c>
      <c r="AA391" s="192">
        <f t="shared" si="40"/>
        <v>2</v>
      </c>
      <c r="AB391" s="192">
        <f t="shared" si="40"/>
        <v>7</v>
      </c>
      <c r="AC391" s="192">
        <f t="shared" si="40"/>
        <v>3</v>
      </c>
      <c r="AD391" s="193">
        <f t="shared" si="40"/>
        <v>3</v>
      </c>
      <c r="AE391" s="191">
        <f t="shared" si="40"/>
        <v>0</v>
      </c>
      <c r="AF391" s="192">
        <f t="shared" si="40"/>
        <v>4</v>
      </c>
      <c r="AG391" s="192">
        <f t="shared" si="40"/>
        <v>1</v>
      </c>
      <c r="AH391" s="192">
        <f t="shared" si="40"/>
        <v>3</v>
      </c>
      <c r="AI391" s="192">
        <f t="shared" si="40"/>
        <v>3</v>
      </c>
      <c r="AJ391" s="192">
        <f t="shared" si="40"/>
        <v>1</v>
      </c>
      <c r="AK391" s="192">
        <f t="shared" si="40"/>
        <v>3</v>
      </c>
      <c r="AL391" s="192">
        <f t="shared" si="40"/>
        <v>1</v>
      </c>
      <c r="AM391" s="192">
        <f t="shared" si="40"/>
        <v>2</v>
      </c>
      <c r="AN391" s="192">
        <f t="shared" si="40"/>
        <v>6</v>
      </c>
      <c r="AO391" s="192">
        <f t="shared" si="40"/>
        <v>3</v>
      </c>
      <c r="AP391" s="192">
        <f t="shared" si="40"/>
        <v>0</v>
      </c>
      <c r="AQ391" s="151"/>
      <c r="AR391" s="96">
        <f t="shared" si="36"/>
        <v>26</v>
      </c>
      <c r="AS391" s="96">
        <f t="shared" si="37"/>
        <v>27</v>
      </c>
    </row>
    <row r="392" spans="1:45" ht="15.75" customHeight="1">
      <c r="A392" s="116"/>
      <c r="B392" s="190" t="s">
        <v>393</v>
      </c>
      <c r="C392" s="116" t="s">
        <v>362</v>
      </c>
      <c r="D392" s="120">
        <v>1</v>
      </c>
      <c r="E392" s="116" t="s">
        <v>348</v>
      </c>
      <c r="F392" s="119" t="s">
        <v>363</v>
      </c>
      <c r="G392" s="192">
        <f t="shared" si="40"/>
        <v>1</v>
      </c>
      <c r="H392" s="192">
        <f t="shared" si="40"/>
        <v>2</v>
      </c>
      <c r="I392" s="192">
        <f t="shared" si="40"/>
        <v>4</v>
      </c>
      <c r="J392" s="192">
        <f t="shared" si="40"/>
        <v>4</v>
      </c>
      <c r="K392" s="192">
        <f t="shared" si="40"/>
        <v>4</v>
      </c>
      <c r="L392" s="192">
        <f t="shared" si="40"/>
        <v>4</v>
      </c>
      <c r="M392" s="192">
        <f t="shared" si="40"/>
        <v>1</v>
      </c>
      <c r="N392" s="192">
        <f t="shared" si="40"/>
        <v>1</v>
      </c>
      <c r="O392" s="192">
        <f t="shared" si="40"/>
        <v>1</v>
      </c>
      <c r="P392" s="192">
        <f t="shared" si="40"/>
        <v>2</v>
      </c>
      <c r="Q392" s="192">
        <f t="shared" si="40"/>
        <v>2</v>
      </c>
      <c r="R392" s="192">
        <f t="shared" si="40"/>
        <v>1</v>
      </c>
      <c r="S392" s="191">
        <f t="shared" si="40"/>
        <v>1</v>
      </c>
      <c r="T392" s="192">
        <f t="shared" si="40"/>
        <v>1</v>
      </c>
      <c r="U392" s="192">
        <f t="shared" si="40"/>
        <v>1</v>
      </c>
      <c r="V392" s="192">
        <f t="shared" si="40"/>
        <v>2</v>
      </c>
      <c r="W392" s="192">
        <f t="shared" si="40"/>
        <v>3</v>
      </c>
      <c r="X392" s="192">
        <f t="shared" si="40"/>
        <v>1</v>
      </c>
      <c r="Y392" s="192">
        <f t="shared" si="40"/>
        <v>0</v>
      </c>
      <c r="Z392" s="192">
        <f t="shared" si="40"/>
        <v>2</v>
      </c>
      <c r="AA392" s="192">
        <f t="shared" si="40"/>
        <v>1</v>
      </c>
      <c r="AB392" s="192">
        <f t="shared" si="40"/>
        <v>1</v>
      </c>
      <c r="AC392" s="192">
        <f t="shared" si="40"/>
        <v>3</v>
      </c>
      <c r="AD392" s="193">
        <f t="shared" si="40"/>
        <v>2</v>
      </c>
      <c r="AE392" s="191">
        <f t="shared" si="40"/>
        <v>2</v>
      </c>
      <c r="AF392" s="192">
        <f t="shared" si="40"/>
        <v>1</v>
      </c>
      <c r="AG392" s="192">
        <f t="shared" si="40"/>
        <v>2</v>
      </c>
      <c r="AH392" s="192">
        <f t="shared" si="40"/>
        <v>3</v>
      </c>
      <c r="AI392" s="192">
        <f t="shared" si="40"/>
        <v>3</v>
      </c>
      <c r="AJ392" s="192">
        <f t="shared" si="40"/>
        <v>1</v>
      </c>
      <c r="AK392" s="192">
        <f t="shared" si="40"/>
        <v>1</v>
      </c>
      <c r="AL392" s="192">
        <f t="shared" si="40"/>
        <v>1</v>
      </c>
      <c r="AM392" s="192">
        <f t="shared" si="40"/>
        <v>1</v>
      </c>
      <c r="AN392" s="192">
        <f t="shared" si="40"/>
        <v>2</v>
      </c>
      <c r="AO392" s="192">
        <f t="shared" si="40"/>
        <v>3</v>
      </c>
      <c r="AP392" s="192">
        <f t="shared" si="40"/>
        <v>1</v>
      </c>
      <c r="AQ392" s="151"/>
      <c r="AR392" s="96">
        <f t="shared" si="36"/>
        <v>18</v>
      </c>
      <c r="AS392" s="96">
        <f t="shared" si="37"/>
        <v>21</v>
      </c>
    </row>
    <row r="393" spans="1:45" ht="15.75" customHeight="1">
      <c r="A393" s="116"/>
      <c r="B393" s="190" t="s">
        <v>393</v>
      </c>
      <c r="C393" s="116" t="s">
        <v>364</v>
      </c>
      <c r="D393" s="120">
        <v>1</v>
      </c>
      <c r="E393" s="116" t="s">
        <v>348</v>
      </c>
      <c r="F393" s="119" t="s">
        <v>363</v>
      </c>
      <c r="G393" s="192">
        <f t="shared" si="40"/>
        <v>0</v>
      </c>
      <c r="H393" s="192">
        <f t="shared" si="40"/>
        <v>3</v>
      </c>
      <c r="I393" s="192">
        <f t="shared" si="40"/>
        <v>1</v>
      </c>
      <c r="J393" s="192">
        <f t="shared" si="40"/>
        <v>1</v>
      </c>
      <c r="K393" s="192">
        <f t="shared" si="40"/>
        <v>3</v>
      </c>
      <c r="L393" s="192">
        <f t="shared" si="40"/>
        <v>3</v>
      </c>
      <c r="M393" s="192">
        <f t="shared" si="40"/>
        <v>4</v>
      </c>
      <c r="N393" s="192">
        <f t="shared" si="40"/>
        <v>2</v>
      </c>
      <c r="O393" s="192">
        <f t="shared" si="40"/>
        <v>2</v>
      </c>
      <c r="P393" s="192">
        <f t="shared" si="40"/>
        <v>3</v>
      </c>
      <c r="Q393" s="192">
        <f t="shared" si="40"/>
        <v>3</v>
      </c>
      <c r="R393" s="192">
        <f t="shared" si="40"/>
        <v>1</v>
      </c>
      <c r="S393" s="191">
        <f t="shared" si="40"/>
        <v>0</v>
      </c>
      <c r="T393" s="192">
        <f t="shared" si="40"/>
        <v>1</v>
      </c>
      <c r="U393" s="192">
        <f t="shared" si="40"/>
        <v>1</v>
      </c>
      <c r="V393" s="192">
        <f t="shared" si="40"/>
        <v>0</v>
      </c>
      <c r="W393" s="192">
        <f t="shared" si="40"/>
        <v>2</v>
      </c>
      <c r="X393" s="192">
        <f t="shared" si="40"/>
        <v>0</v>
      </c>
      <c r="Y393" s="192">
        <f t="shared" si="40"/>
        <v>2</v>
      </c>
      <c r="Z393" s="192">
        <f t="shared" si="40"/>
        <v>0</v>
      </c>
      <c r="AA393" s="192">
        <f t="shared" si="40"/>
        <v>3</v>
      </c>
      <c r="AB393" s="192">
        <f t="shared" si="40"/>
        <v>1</v>
      </c>
      <c r="AC393" s="192">
        <f t="shared" si="40"/>
        <v>2</v>
      </c>
      <c r="AD393" s="193">
        <f t="shared" si="40"/>
        <v>2</v>
      </c>
      <c r="AE393" s="191">
        <f t="shared" si="40"/>
        <v>2</v>
      </c>
      <c r="AF393" s="192">
        <f t="shared" si="40"/>
        <v>1</v>
      </c>
      <c r="AG393" s="192">
        <f t="shared" si="40"/>
        <v>2</v>
      </c>
      <c r="AH393" s="192">
        <f t="shared" si="40"/>
        <v>1</v>
      </c>
      <c r="AI393" s="192">
        <f t="shared" si="40"/>
        <v>0</v>
      </c>
      <c r="AJ393" s="192">
        <f t="shared" si="40"/>
        <v>2</v>
      </c>
      <c r="AK393" s="192">
        <f t="shared" si="40"/>
        <v>1</v>
      </c>
      <c r="AL393" s="192">
        <f t="shared" si="40"/>
        <v>4</v>
      </c>
      <c r="AM393" s="192">
        <f t="shared" si="40"/>
        <v>1</v>
      </c>
      <c r="AN393" s="192">
        <f t="shared" si="40"/>
        <v>3</v>
      </c>
      <c r="AO393" s="192">
        <f t="shared" si="40"/>
        <v>1</v>
      </c>
      <c r="AP393" s="192">
        <f t="shared" si="40"/>
        <v>0</v>
      </c>
      <c r="AQ393" s="151"/>
      <c r="AR393" s="96">
        <f t="shared" si="36"/>
        <v>14</v>
      </c>
      <c r="AS393" s="96">
        <f t="shared" si="37"/>
        <v>18</v>
      </c>
    </row>
    <row r="394" spans="1:45" ht="15.75" customHeight="1">
      <c r="A394" s="116"/>
      <c r="B394" s="190" t="s">
        <v>393</v>
      </c>
      <c r="C394" s="116" t="s">
        <v>365</v>
      </c>
      <c r="D394" s="120">
        <v>1</v>
      </c>
      <c r="E394" s="116" t="s">
        <v>348</v>
      </c>
      <c r="F394" s="119" t="s">
        <v>363</v>
      </c>
      <c r="G394" s="192">
        <f t="shared" si="40"/>
        <v>0</v>
      </c>
      <c r="H394" s="192">
        <f t="shared" si="40"/>
        <v>0</v>
      </c>
      <c r="I394" s="192">
        <f t="shared" si="40"/>
        <v>2</v>
      </c>
      <c r="J394" s="192">
        <f t="shared" si="40"/>
        <v>2</v>
      </c>
      <c r="K394" s="192">
        <f t="shared" si="40"/>
        <v>0</v>
      </c>
      <c r="L394" s="192">
        <f t="shared" si="40"/>
        <v>2</v>
      </c>
      <c r="M394" s="192">
        <f t="shared" si="40"/>
        <v>1</v>
      </c>
      <c r="N394" s="192">
        <f t="shared" si="40"/>
        <v>2</v>
      </c>
      <c r="O394" s="192">
        <f t="shared" si="40"/>
        <v>2</v>
      </c>
      <c r="P394" s="192">
        <f t="shared" si="40"/>
        <v>1</v>
      </c>
      <c r="Q394" s="192">
        <f t="shared" si="40"/>
        <v>0</v>
      </c>
      <c r="R394" s="192">
        <f t="shared" si="40"/>
        <v>0</v>
      </c>
      <c r="S394" s="191">
        <f t="shared" si="40"/>
        <v>3</v>
      </c>
      <c r="T394" s="192">
        <f t="shared" si="40"/>
        <v>2</v>
      </c>
      <c r="U394" s="192">
        <f t="shared" si="40"/>
        <v>1</v>
      </c>
      <c r="V394" s="192">
        <f t="shared" si="40"/>
        <v>3</v>
      </c>
      <c r="W394" s="192">
        <f t="shared" si="40"/>
        <v>4</v>
      </c>
      <c r="X394" s="192">
        <f t="shared" si="40"/>
        <v>2</v>
      </c>
      <c r="Y394" s="192">
        <f t="shared" si="40"/>
        <v>0</v>
      </c>
      <c r="Z394" s="192">
        <f t="shared" si="40"/>
        <v>1</v>
      </c>
      <c r="AA394" s="192">
        <f t="shared" si="40"/>
        <v>0</v>
      </c>
      <c r="AB394" s="192">
        <f t="shared" si="40"/>
        <v>3</v>
      </c>
      <c r="AC394" s="192">
        <f t="shared" si="40"/>
        <v>5</v>
      </c>
      <c r="AD394" s="193">
        <f t="shared" si="40"/>
        <v>5</v>
      </c>
      <c r="AE394" s="191">
        <f t="shared" si="40"/>
        <v>0</v>
      </c>
      <c r="AF394" s="192">
        <f t="shared" si="40"/>
        <v>4</v>
      </c>
      <c r="AG394" s="192">
        <f t="shared" si="40"/>
        <v>1</v>
      </c>
      <c r="AH394" s="192">
        <f t="shared" si="40"/>
        <v>2</v>
      </c>
      <c r="AI394" s="192">
        <f t="shared" si="40"/>
        <v>3</v>
      </c>
      <c r="AJ394" s="192">
        <f t="shared" si="40"/>
        <v>2</v>
      </c>
      <c r="AK394" s="192">
        <f t="shared" si="40"/>
        <v>4</v>
      </c>
      <c r="AL394" s="192">
        <f t="shared" si="40"/>
        <v>3</v>
      </c>
      <c r="AM394" s="192">
        <f t="shared" si="40"/>
        <v>2</v>
      </c>
      <c r="AN394" s="192">
        <f t="shared" si="40"/>
        <v>6</v>
      </c>
      <c r="AO394" s="192">
        <f t="shared" si="40"/>
        <v>0</v>
      </c>
      <c r="AP394" s="192">
        <f t="shared" si="40"/>
        <v>2</v>
      </c>
      <c r="AQ394" s="151"/>
      <c r="AR394" s="96">
        <f t="shared" si="36"/>
        <v>29</v>
      </c>
      <c r="AS394" s="96">
        <f t="shared" si="37"/>
        <v>29</v>
      </c>
    </row>
    <row r="395" spans="1:45" ht="15.75" customHeight="1">
      <c r="A395" s="116"/>
      <c r="B395" s="190" t="s">
        <v>393</v>
      </c>
      <c r="C395" s="116" t="s">
        <v>366</v>
      </c>
      <c r="D395" s="120">
        <v>1</v>
      </c>
      <c r="E395" s="116" t="s">
        <v>348</v>
      </c>
      <c r="F395" s="119" t="s">
        <v>363</v>
      </c>
      <c r="G395" s="192">
        <f t="shared" si="40"/>
        <v>0</v>
      </c>
      <c r="H395" s="192">
        <f t="shared" si="40"/>
        <v>0</v>
      </c>
      <c r="I395" s="192">
        <f t="shared" si="40"/>
        <v>0</v>
      </c>
      <c r="J395" s="192">
        <f t="shared" ref="J395:AP395" si="41">J55-J293-J327-J361</f>
        <v>0</v>
      </c>
      <c r="K395" s="192">
        <f t="shared" si="41"/>
        <v>0</v>
      </c>
      <c r="L395" s="192">
        <f t="shared" si="41"/>
        <v>0</v>
      </c>
      <c r="M395" s="192">
        <f t="shared" si="41"/>
        <v>0</v>
      </c>
      <c r="N395" s="192">
        <f t="shared" si="41"/>
        <v>0</v>
      </c>
      <c r="O395" s="192">
        <f t="shared" si="41"/>
        <v>0</v>
      </c>
      <c r="P395" s="192">
        <f t="shared" si="41"/>
        <v>0</v>
      </c>
      <c r="Q395" s="192">
        <f t="shared" si="41"/>
        <v>0</v>
      </c>
      <c r="R395" s="192">
        <f t="shared" si="41"/>
        <v>2</v>
      </c>
      <c r="S395" s="191">
        <f t="shared" si="41"/>
        <v>0</v>
      </c>
      <c r="T395" s="192">
        <f t="shared" si="41"/>
        <v>1</v>
      </c>
      <c r="U395" s="192">
        <f t="shared" si="41"/>
        <v>0</v>
      </c>
      <c r="V395" s="192">
        <f t="shared" si="41"/>
        <v>0</v>
      </c>
      <c r="W395" s="192">
        <f t="shared" si="41"/>
        <v>0</v>
      </c>
      <c r="X395" s="192">
        <f t="shared" si="41"/>
        <v>3</v>
      </c>
      <c r="Y395" s="192">
        <f t="shared" si="41"/>
        <v>2</v>
      </c>
      <c r="Z395" s="192">
        <f t="shared" si="41"/>
        <v>1</v>
      </c>
      <c r="AA395" s="192">
        <f t="shared" si="41"/>
        <v>1</v>
      </c>
      <c r="AB395" s="192">
        <f t="shared" si="41"/>
        <v>1</v>
      </c>
      <c r="AC395" s="192">
        <f t="shared" si="41"/>
        <v>1</v>
      </c>
      <c r="AD395" s="193">
        <f t="shared" si="41"/>
        <v>1</v>
      </c>
      <c r="AE395" s="191">
        <f t="shared" si="41"/>
        <v>1</v>
      </c>
      <c r="AF395" s="192">
        <f t="shared" si="41"/>
        <v>2</v>
      </c>
      <c r="AG395" s="192">
        <f t="shared" si="41"/>
        <v>0</v>
      </c>
      <c r="AH395" s="192">
        <f t="shared" si="41"/>
        <v>1</v>
      </c>
      <c r="AI395" s="192">
        <f t="shared" si="41"/>
        <v>1</v>
      </c>
      <c r="AJ395" s="192">
        <f t="shared" si="41"/>
        <v>0</v>
      </c>
      <c r="AK395" s="192">
        <f t="shared" si="41"/>
        <v>1</v>
      </c>
      <c r="AL395" s="192">
        <f t="shared" si="41"/>
        <v>1</v>
      </c>
      <c r="AM395" s="192">
        <f t="shared" si="41"/>
        <v>1</v>
      </c>
      <c r="AN395" s="192">
        <f t="shared" si="41"/>
        <v>1</v>
      </c>
      <c r="AO395" s="192">
        <f t="shared" si="41"/>
        <v>2</v>
      </c>
      <c r="AP395" s="192">
        <f t="shared" si="41"/>
        <v>3</v>
      </c>
      <c r="AQ395" s="151"/>
      <c r="AR395" s="96">
        <f t="shared" si="36"/>
        <v>11</v>
      </c>
      <c r="AS395" s="96">
        <f t="shared" si="37"/>
        <v>14</v>
      </c>
    </row>
    <row r="396" spans="1:45" ht="15.75" customHeight="1">
      <c r="A396" s="116"/>
      <c r="B396" s="190" t="s">
        <v>393</v>
      </c>
      <c r="C396" s="116" t="s">
        <v>367</v>
      </c>
      <c r="D396" s="120">
        <v>1</v>
      </c>
      <c r="E396" s="116" t="s">
        <v>348</v>
      </c>
      <c r="F396" s="119" t="s">
        <v>363</v>
      </c>
      <c r="G396" s="192">
        <f t="shared" ref="G396:AP403" si="42">G56-G294-G328-G362</f>
        <v>1</v>
      </c>
      <c r="H396" s="192">
        <f t="shared" si="42"/>
        <v>1</v>
      </c>
      <c r="I396" s="192">
        <f t="shared" si="42"/>
        <v>2</v>
      </c>
      <c r="J396" s="192">
        <f t="shared" si="42"/>
        <v>2</v>
      </c>
      <c r="K396" s="192">
        <f t="shared" si="42"/>
        <v>0</v>
      </c>
      <c r="L396" s="192">
        <f t="shared" si="42"/>
        <v>2</v>
      </c>
      <c r="M396" s="192">
        <f t="shared" si="42"/>
        <v>1</v>
      </c>
      <c r="N396" s="192">
        <f t="shared" si="42"/>
        <v>1</v>
      </c>
      <c r="O396" s="192">
        <f t="shared" si="42"/>
        <v>1</v>
      </c>
      <c r="P396" s="192">
        <f t="shared" si="42"/>
        <v>4</v>
      </c>
      <c r="Q396" s="192">
        <f t="shared" si="42"/>
        <v>0</v>
      </c>
      <c r="R396" s="192">
        <f t="shared" si="42"/>
        <v>0</v>
      </c>
      <c r="S396" s="191">
        <f t="shared" si="42"/>
        <v>5</v>
      </c>
      <c r="T396" s="192">
        <f t="shared" si="42"/>
        <v>2</v>
      </c>
      <c r="U396" s="192">
        <f t="shared" si="42"/>
        <v>0</v>
      </c>
      <c r="V396" s="192">
        <f t="shared" si="42"/>
        <v>3</v>
      </c>
      <c r="W396" s="192">
        <f t="shared" si="42"/>
        <v>0</v>
      </c>
      <c r="X396" s="192">
        <f t="shared" si="42"/>
        <v>0</v>
      </c>
      <c r="Y396" s="192">
        <f t="shared" si="42"/>
        <v>2</v>
      </c>
      <c r="Z396" s="192">
        <f t="shared" si="42"/>
        <v>1</v>
      </c>
      <c r="AA396" s="192">
        <f t="shared" si="42"/>
        <v>1</v>
      </c>
      <c r="AB396" s="192">
        <f t="shared" si="42"/>
        <v>1</v>
      </c>
      <c r="AC396" s="192">
        <f t="shared" si="42"/>
        <v>0</v>
      </c>
      <c r="AD396" s="193">
        <f t="shared" si="42"/>
        <v>2</v>
      </c>
      <c r="AE396" s="191">
        <f t="shared" si="42"/>
        <v>1</v>
      </c>
      <c r="AF396" s="192">
        <f t="shared" si="42"/>
        <v>0</v>
      </c>
      <c r="AG396" s="192">
        <f t="shared" si="42"/>
        <v>2</v>
      </c>
      <c r="AH396" s="192">
        <f t="shared" si="42"/>
        <v>1</v>
      </c>
      <c r="AI396" s="192">
        <f t="shared" si="42"/>
        <v>1</v>
      </c>
      <c r="AJ396" s="192">
        <f t="shared" si="42"/>
        <v>1</v>
      </c>
      <c r="AK396" s="192">
        <f t="shared" si="42"/>
        <v>0</v>
      </c>
      <c r="AL396" s="192">
        <f t="shared" si="42"/>
        <v>0</v>
      </c>
      <c r="AM396" s="192">
        <f t="shared" si="42"/>
        <v>0</v>
      </c>
      <c r="AN396" s="192">
        <f t="shared" si="42"/>
        <v>1</v>
      </c>
      <c r="AO396" s="192">
        <f t="shared" si="42"/>
        <v>1</v>
      </c>
      <c r="AP396" s="192">
        <f t="shared" si="42"/>
        <v>2</v>
      </c>
      <c r="AQ396" s="151"/>
      <c r="AR396" s="96">
        <f t="shared" si="36"/>
        <v>17</v>
      </c>
      <c r="AS396" s="96">
        <f t="shared" si="37"/>
        <v>10</v>
      </c>
    </row>
    <row r="397" spans="1:45" ht="15.75" customHeight="1">
      <c r="A397" s="116"/>
      <c r="B397" s="190" t="s">
        <v>393</v>
      </c>
      <c r="C397" s="116" t="s">
        <v>368</v>
      </c>
      <c r="D397" s="120">
        <v>2</v>
      </c>
      <c r="E397" s="116" t="s">
        <v>369</v>
      </c>
      <c r="F397" s="119" t="s">
        <v>369</v>
      </c>
      <c r="G397" s="192">
        <f t="shared" si="42"/>
        <v>0</v>
      </c>
      <c r="H397" s="192">
        <f t="shared" si="42"/>
        <v>1</v>
      </c>
      <c r="I397" s="192">
        <f t="shared" si="42"/>
        <v>6</v>
      </c>
      <c r="J397" s="192">
        <f t="shared" si="42"/>
        <v>4</v>
      </c>
      <c r="K397" s="192">
        <f t="shared" si="42"/>
        <v>3</v>
      </c>
      <c r="L397" s="192">
        <f t="shared" si="42"/>
        <v>3</v>
      </c>
      <c r="M397" s="192">
        <f t="shared" si="42"/>
        <v>1</v>
      </c>
      <c r="N397" s="192">
        <f t="shared" si="42"/>
        <v>0</v>
      </c>
      <c r="O397" s="192">
        <f t="shared" si="42"/>
        <v>5</v>
      </c>
      <c r="P397" s="192">
        <f t="shared" si="42"/>
        <v>11</v>
      </c>
      <c r="Q397" s="192">
        <f t="shared" si="42"/>
        <v>7</v>
      </c>
      <c r="R397" s="192">
        <f t="shared" si="42"/>
        <v>4</v>
      </c>
      <c r="S397" s="191">
        <f t="shared" si="42"/>
        <v>1</v>
      </c>
      <c r="T397" s="192">
        <f t="shared" si="42"/>
        <v>5</v>
      </c>
      <c r="U397" s="192">
        <f t="shared" si="42"/>
        <v>7</v>
      </c>
      <c r="V397" s="192">
        <f t="shared" si="42"/>
        <v>9</v>
      </c>
      <c r="W397" s="192">
        <f t="shared" si="42"/>
        <v>2</v>
      </c>
      <c r="X397" s="192">
        <f t="shared" si="42"/>
        <v>4</v>
      </c>
      <c r="Y397" s="192">
        <f t="shared" si="42"/>
        <v>4</v>
      </c>
      <c r="Z397" s="192">
        <f t="shared" si="42"/>
        <v>2</v>
      </c>
      <c r="AA397" s="192">
        <f t="shared" si="42"/>
        <v>0</v>
      </c>
      <c r="AB397" s="192">
        <f t="shared" si="42"/>
        <v>12</v>
      </c>
      <c r="AC397" s="192">
        <f t="shared" si="42"/>
        <v>7</v>
      </c>
      <c r="AD397" s="193">
        <f t="shared" si="42"/>
        <v>6</v>
      </c>
      <c r="AE397" s="191">
        <f t="shared" si="42"/>
        <v>3</v>
      </c>
      <c r="AF397" s="192">
        <f t="shared" si="42"/>
        <v>1</v>
      </c>
      <c r="AG397" s="192">
        <f t="shared" si="42"/>
        <v>1</v>
      </c>
      <c r="AH397" s="192">
        <f t="shared" si="42"/>
        <v>4</v>
      </c>
      <c r="AI397" s="192">
        <f t="shared" si="42"/>
        <v>3</v>
      </c>
      <c r="AJ397" s="192">
        <f t="shared" si="42"/>
        <v>3</v>
      </c>
      <c r="AK397" s="192">
        <f t="shared" si="42"/>
        <v>2</v>
      </c>
      <c r="AL397" s="192">
        <f t="shared" si="42"/>
        <v>0</v>
      </c>
      <c r="AM397" s="192">
        <f t="shared" si="42"/>
        <v>3</v>
      </c>
      <c r="AN397" s="192">
        <f t="shared" si="42"/>
        <v>3</v>
      </c>
      <c r="AO397" s="192">
        <f t="shared" si="42"/>
        <v>8</v>
      </c>
      <c r="AP397" s="192">
        <f t="shared" si="42"/>
        <v>3</v>
      </c>
      <c r="AQ397" s="151"/>
      <c r="AR397" s="96">
        <f t="shared" si="36"/>
        <v>59</v>
      </c>
      <c r="AS397" s="96">
        <f t="shared" si="37"/>
        <v>34</v>
      </c>
    </row>
    <row r="398" spans="1:45" ht="15.75" customHeight="1">
      <c r="A398" s="116"/>
      <c r="B398" s="190" t="s">
        <v>393</v>
      </c>
      <c r="C398" s="116" t="s">
        <v>451</v>
      </c>
      <c r="D398" s="120">
        <v>1</v>
      </c>
      <c r="E398" s="116" t="s">
        <v>369</v>
      </c>
      <c r="F398" s="119" t="s">
        <v>369</v>
      </c>
      <c r="G398" s="192">
        <f t="shared" si="42"/>
        <v>1</v>
      </c>
      <c r="H398" s="192">
        <f t="shared" si="42"/>
        <v>2</v>
      </c>
      <c r="I398" s="192">
        <f t="shared" si="42"/>
        <v>5</v>
      </c>
      <c r="J398" s="192">
        <f t="shared" si="42"/>
        <v>2</v>
      </c>
      <c r="K398" s="192">
        <f t="shared" si="42"/>
        <v>6</v>
      </c>
      <c r="L398" s="192">
        <f t="shared" si="42"/>
        <v>2</v>
      </c>
      <c r="M398" s="192">
        <f t="shared" si="42"/>
        <v>1</v>
      </c>
      <c r="N398" s="192">
        <f t="shared" si="42"/>
        <v>0</v>
      </c>
      <c r="O398" s="192">
        <f t="shared" si="42"/>
        <v>3</v>
      </c>
      <c r="P398" s="192">
        <f t="shared" si="42"/>
        <v>5</v>
      </c>
      <c r="Q398" s="192">
        <f t="shared" si="42"/>
        <v>6</v>
      </c>
      <c r="R398" s="192">
        <f t="shared" si="42"/>
        <v>4</v>
      </c>
      <c r="S398" s="191">
        <f t="shared" si="42"/>
        <v>0</v>
      </c>
      <c r="T398" s="192">
        <f t="shared" si="42"/>
        <v>2</v>
      </c>
      <c r="U398" s="192">
        <f t="shared" si="42"/>
        <v>6</v>
      </c>
      <c r="V398" s="192">
        <f t="shared" si="42"/>
        <v>5</v>
      </c>
      <c r="W398" s="192">
        <f t="shared" si="42"/>
        <v>5</v>
      </c>
      <c r="X398" s="192">
        <f t="shared" si="42"/>
        <v>5</v>
      </c>
      <c r="Y398" s="192">
        <f t="shared" si="42"/>
        <v>6</v>
      </c>
      <c r="Z398" s="192">
        <f t="shared" si="42"/>
        <v>2</v>
      </c>
      <c r="AA398" s="192">
        <f t="shared" si="42"/>
        <v>0</v>
      </c>
      <c r="AB398" s="192">
        <f t="shared" si="42"/>
        <v>9</v>
      </c>
      <c r="AC398" s="192">
        <f t="shared" si="42"/>
        <v>6</v>
      </c>
      <c r="AD398" s="193">
        <f t="shared" si="42"/>
        <v>1</v>
      </c>
      <c r="AE398" s="191">
        <f t="shared" si="42"/>
        <v>3</v>
      </c>
      <c r="AF398" s="192">
        <f t="shared" si="42"/>
        <v>0</v>
      </c>
      <c r="AG398" s="192">
        <f t="shared" si="42"/>
        <v>6</v>
      </c>
      <c r="AH398" s="192">
        <f t="shared" si="42"/>
        <v>6</v>
      </c>
      <c r="AI398" s="192">
        <f t="shared" si="42"/>
        <v>4</v>
      </c>
      <c r="AJ398" s="192">
        <f t="shared" si="42"/>
        <v>1</v>
      </c>
      <c r="AK398" s="192">
        <f t="shared" si="42"/>
        <v>2</v>
      </c>
      <c r="AL398" s="192">
        <f t="shared" si="42"/>
        <v>0</v>
      </c>
      <c r="AM398" s="192">
        <f t="shared" si="42"/>
        <v>0</v>
      </c>
      <c r="AN398" s="192">
        <f t="shared" si="42"/>
        <v>1</v>
      </c>
      <c r="AO398" s="192">
        <f t="shared" si="42"/>
        <v>4</v>
      </c>
      <c r="AP398" s="192">
        <f t="shared" si="42"/>
        <v>1</v>
      </c>
      <c r="AQ398" s="151"/>
      <c r="AR398" s="96">
        <f t="shared" si="36"/>
        <v>47</v>
      </c>
      <c r="AS398" s="96">
        <f t="shared" si="37"/>
        <v>28</v>
      </c>
    </row>
    <row r="399" spans="1:45" ht="15.75" customHeight="1">
      <c r="A399" s="116"/>
      <c r="B399" s="190" t="s">
        <v>393</v>
      </c>
      <c r="C399" s="116" t="s">
        <v>371</v>
      </c>
      <c r="D399" s="120">
        <v>2</v>
      </c>
      <c r="E399" s="116" t="s">
        <v>369</v>
      </c>
      <c r="F399" s="119" t="s">
        <v>369</v>
      </c>
      <c r="G399" s="192">
        <f t="shared" si="42"/>
        <v>0</v>
      </c>
      <c r="H399" s="192">
        <f t="shared" si="42"/>
        <v>0</v>
      </c>
      <c r="I399" s="192">
        <f t="shared" si="42"/>
        <v>0</v>
      </c>
      <c r="J399" s="192">
        <f t="shared" si="42"/>
        <v>0</v>
      </c>
      <c r="K399" s="192">
        <f t="shared" si="42"/>
        <v>0</v>
      </c>
      <c r="L399" s="192">
        <f t="shared" si="42"/>
        <v>0</v>
      </c>
      <c r="M399" s="192">
        <f t="shared" si="42"/>
        <v>0</v>
      </c>
      <c r="N399" s="192">
        <f t="shared" si="42"/>
        <v>0</v>
      </c>
      <c r="O399" s="192">
        <f t="shared" si="42"/>
        <v>0</v>
      </c>
      <c r="P399" s="192">
        <f t="shared" si="42"/>
        <v>0</v>
      </c>
      <c r="Q399" s="192">
        <f t="shared" si="42"/>
        <v>0</v>
      </c>
      <c r="R399" s="192">
        <f t="shared" si="42"/>
        <v>0</v>
      </c>
      <c r="S399" s="191">
        <f t="shared" si="42"/>
        <v>0</v>
      </c>
      <c r="T399" s="192">
        <f t="shared" si="42"/>
        <v>0</v>
      </c>
      <c r="U399" s="192">
        <f t="shared" si="42"/>
        <v>0</v>
      </c>
      <c r="V399" s="192">
        <f t="shared" si="42"/>
        <v>0</v>
      </c>
      <c r="W399" s="192">
        <f t="shared" si="42"/>
        <v>0</v>
      </c>
      <c r="X399" s="192">
        <f t="shared" si="42"/>
        <v>0</v>
      </c>
      <c r="Y399" s="192">
        <f t="shared" si="42"/>
        <v>0</v>
      </c>
      <c r="Z399" s="192">
        <f t="shared" si="42"/>
        <v>0</v>
      </c>
      <c r="AA399" s="192">
        <f t="shared" si="42"/>
        <v>0</v>
      </c>
      <c r="AB399" s="192">
        <f t="shared" si="42"/>
        <v>0</v>
      </c>
      <c r="AC399" s="192">
        <f t="shared" si="42"/>
        <v>0</v>
      </c>
      <c r="AD399" s="193">
        <f t="shared" si="42"/>
        <v>0</v>
      </c>
      <c r="AE399" s="191">
        <f t="shared" si="42"/>
        <v>0</v>
      </c>
      <c r="AF399" s="192">
        <f t="shared" si="42"/>
        <v>0</v>
      </c>
      <c r="AG399" s="192">
        <f t="shared" si="42"/>
        <v>0</v>
      </c>
      <c r="AH399" s="192">
        <f t="shared" si="42"/>
        <v>0</v>
      </c>
      <c r="AI399" s="192">
        <f t="shared" si="42"/>
        <v>0</v>
      </c>
      <c r="AJ399" s="192">
        <f t="shared" si="42"/>
        <v>0</v>
      </c>
      <c r="AK399" s="192">
        <f t="shared" si="42"/>
        <v>0</v>
      </c>
      <c r="AL399" s="192">
        <f t="shared" si="42"/>
        <v>0</v>
      </c>
      <c r="AM399" s="192">
        <f t="shared" si="42"/>
        <v>0</v>
      </c>
      <c r="AN399" s="192">
        <f t="shared" si="42"/>
        <v>0</v>
      </c>
      <c r="AO399" s="192">
        <f t="shared" si="42"/>
        <v>0</v>
      </c>
      <c r="AP399" s="192">
        <f t="shared" si="42"/>
        <v>0</v>
      </c>
      <c r="AQ399" s="151"/>
      <c r="AR399" s="96">
        <f t="shared" si="36"/>
        <v>0</v>
      </c>
      <c r="AS399" s="96">
        <f t="shared" si="37"/>
        <v>0</v>
      </c>
    </row>
    <row r="400" spans="1:45" ht="15.75" customHeight="1">
      <c r="A400" s="116"/>
      <c r="B400" s="190" t="s">
        <v>393</v>
      </c>
      <c r="C400" s="116" t="s">
        <v>372</v>
      </c>
      <c r="D400" s="120">
        <v>1</v>
      </c>
      <c r="E400" s="116" t="s">
        <v>369</v>
      </c>
      <c r="F400" s="119" t="s">
        <v>369</v>
      </c>
      <c r="G400" s="192">
        <f t="shared" si="42"/>
        <v>0</v>
      </c>
      <c r="H400" s="192">
        <f t="shared" si="42"/>
        <v>1</v>
      </c>
      <c r="I400" s="192">
        <f t="shared" si="42"/>
        <v>1</v>
      </c>
      <c r="J400" s="192">
        <f t="shared" si="42"/>
        <v>0</v>
      </c>
      <c r="K400" s="192">
        <f t="shared" si="42"/>
        <v>1</v>
      </c>
      <c r="L400" s="192">
        <f t="shared" si="42"/>
        <v>0</v>
      </c>
      <c r="M400" s="192">
        <f t="shared" si="42"/>
        <v>1</v>
      </c>
      <c r="N400" s="192">
        <f t="shared" si="42"/>
        <v>2</v>
      </c>
      <c r="O400" s="192">
        <f t="shared" si="42"/>
        <v>0</v>
      </c>
      <c r="P400" s="192">
        <f t="shared" si="42"/>
        <v>3</v>
      </c>
      <c r="Q400" s="192">
        <f t="shared" si="42"/>
        <v>3</v>
      </c>
      <c r="R400" s="192">
        <f t="shared" si="42"/>
        <v>0</v>
      </c>
      <c r="S400" s="191">
        <f t="shared" si="42"/>
        <v>1</v>
      </c>
      <c r="T400" s="192">
        <f t="shared" si="42"/>
        <v>1</v>
      </c>
      <c r="U400" s="192">
        <f t="shared" si="42"/>
        <v>1</v>
      </c>
      <c r="V400" s="192">
        <f t="shared" si="42"/>
        <v>2</v>
      </c>
      <c r="W400" s="192">
        <f t="shared" si="42"/>
        <v>2</v>
      </c>
      <c r="X400" s="192">
        <f t="shared" si="42"/>
        <v>0</v>
      </c>
      <c r="Y400" s="192">
        <f t="shared" si="42"/>
        <v>0</v>
      </c>
      <c r="Z400" s="192">
        <f t="shared" si="42"/>
        <v>0</v>
      </c>
      <c r="AA400" s="192">
        <f t="shared" si="42"/>
        <v>0</v>
      </c>
      <c r="AB400" s="192">
        <f t="shared" si="42"/>
        <v>3</v>
      </c>
      <c r="AC400" s="192">
        <f t="shared" si="42"/>
        <v>3</v>
      </c>
      <c r="AD400" s="193">
        <f t="shared" si="42"/>
        <v>1</v>
      </c>
      <c r="AE400" s="191">
        <f t="shared" si="42"/>
        <v>2</v>
      </c>
      <c r="AF400" s="192">
        <f t="shared" si="42"/>
        <v>0</v>
      </c>
      <c r="AG400" s="192">
        <f t="shared" si="42"/>
        <v>0</v>
      </c>
      <c r="AH400" s="192">
        <f t="shared" si="42"/>
        <v>0</v>
      </c>
      <c r="AI400" s="192">
        <f t="shared" si="42"/>
        <v>1</v>
      </c>
      <c r="AJ400" s="192">
        <f t="shared" si="42"/>
        <v>0</v>
      </c>
      <c r="AK400" s="192">
        <f t="shared" si="42"/>
        <v>0</v>
      </c>
      <c r="AL400" s="192">
        <f t="shared" si="42"/>
        <v>1</v>
      </c>
      <c r="AM400" s="192">
        <f t="shared" si="42"/>
        <v>2</v>
      </c>
      <c r="AN400" s="192">
        <f t="shared" si="42"/>
        <v>0</v>
      </c>
      <c r="AO400" s="192">
        <f t="shared" si="42"/>
        <v>0</v>
      </c>
      <c r="AP400" s="192">
        <f t="shared" si="42"/>
        <v>2</v>
      </c>
      <c r="AQ400" s="151"/>
      <c r="AR400" s="96">
        <f t="shared" si="36"/>
        <v>14</v>
      </c>
      <c r="AS400" s="96">
        <f t="shared" si="37"/>
        <v>8</v>
      </c>
    </row>
    <row r="401" spans="1:45" ht="15.75" customHeight="1">
      <c r="A401" s="116"/>
      <c r="B401" s="190" t="s">
        <v>393</v>
      </c>
      <c r="C401" s="116" t="s">
        <v>373</v>
      </c>
      <c r="D401" s="120">
        <v>1</v>
      </c>
      <c r="E401" s="116" t="s">
        <v>369</v>
      </c>
      <c r="F401" s="119" t="s">
        <v>369</v>
      </c>
      <c r="G401" s="192">
        <f t="shared" si="42"/>
        <v>2</v>
      </c>
      <c r="H401" s="192">
        <f t="shared" si="42"/>
        <v>3</v>
      </c>
      <c r="I401" s="192">
        <f t="shared" si="42"/>
        <v>3</v>
      </c>
      <c r="J401" s="192">
        <f t="shared" si="42"/>
        <v>3</v>
      </c>
      <c r="K401" s="192">
        <f t="shared" si="42"/>
        <v>3</v>
      </c>
      <c r="L401" s="192">
        <f t="shared" si="42"/>
        <v>5</v>
      </c>
      <c r="M401" s="192">
        <f t="shared" si="42"/>
        <v>2</v>
      </c>
      <c r="N401" s="192">
        <f t="shared" si="42"/>
        <v>2</v>
      </c>
      <c r="O401" s="192">
        <f t="shared" si="42"/>
        <v>1</v>
      </c>
      <c r="P401" s="192">
        <f t="shared" si="42"/>
        <v>4</v>
      </c>
      <c r="Q401" s="192">
        <f t="shared" si="42"/>
        <v>5</v>
      </c>
      <c r="R401" s="192">
        <f t="shared" si="42"/>
        <v>7</v>
      </c>
      <c r="S401" s="191">
        <f t="shared" si="42"/>
        <v>2</v>
      </c>
      <c r="T401" s="192">
        <f t="shared" si="42"/>
        <v>1</v>
      </c>
      <c r="U401" s="192">
        <f t="shared" si="42"/>
        <v>3</v>
      </c>
      <c r="V401" s="192">
        <f t="shared" si="42"/>
        <v>6</v>
      </c>
      <c r="W401" s="192">
        <f t="shared" si="42"/>
        <v>5</v>
      </c>
      <c r="X401" s="192">
        <f t="shared" si="42"/>
        <v>2</v>
      </c>
      <c r="Y401" s="192">
        <f t="shared" si="42"/>
        <v>2</v>
      </c>
      <c r="Z401" s="192">
        <f t="shared" si="42"/>
        <v>1</v>
      </c>
      <c r="AA401" s="192">
        <f t="shared" si="42"/>
        <v>3</v>
      </c>
      <c r="AB401" s="192">
        <f t="shared" si="42"/>
        <v>5</v>
      </c>
      <c r="AC401" s="192">
        <f t="shared" si="42"/>
        <v>5</v>
      </c>
      <c r="AD401" s="193">
        <f t="shared" si="42"/>
        <v>3</v>
      </c>
      <c r="AE401" s="191">
        <f t="shared" si="42"/>
        <v>0</v>
      </c>
      <c r="AF401" s="192">
        <f t="shared" si="42"/>
        <v>0</v>
      </c>
      <c r="AG401" s="192">
        <f t="shared" si="42"/>
        <v>2</v>
      </c>
      <c r="AH401" s="192">
        <f t="shared" si="42"/>
        <v>2</v>
      </c>
      <c r="AI401" s="192">
        <f t="shared" si="42"/>
        <v>1</v>
      </c>
      <c r="AJ401" s="192">
        <f t="shared" si="42"/>
        <v>2</v>
      </c>
      <c r="AK401" s="192">
        <f t="shared" si="42"/>
        <v>0</v>
      </c>
      <c r="AL401" s="192">
        <f t="shared" si="42"/>
        <v>0</v>
      </c>
      <c r="AM401" s="192">
        <f t="shared" si="42"/>
        <v>0</v>
      </c>
      <c r="AN401" s="192">
        <f t="shared" si="42"/>
        <v>4</v>
      </c>
      <c r="AO401" s="192">
        <f t="shared" si="42"/>
        <v>4</v>
      </c>
      <c r="AP401" s="192">
        <f t="shared" si="42"/>
        <v>1</v>
      </c>
      <c r="AQ401" s="151"/>
      <c r="AR401" s="96">
        <f t="shared" si="36"/>
        <v>38</v>
      </c>
      <c r="AS401" s="96">
        <f t="shared" si="37"/>
        <v>16</v>
      </c>
    </row>
    <row r="402" spans="1:45" ht="15.75" customHeight="1">
      <c r="A402" s="116"/>
      <c r="B402" s="190" t="s">
        <v>393</v>
      </c>
      <c r="C402" s="116" t="s">
        <v>374</v>
      </c>
      <c r="D402" s="120">
        <v>2</v>
      </c>
      <c r="E402" s="116" t="s">
        <v>369</v>
      </c>
      <c r="F402" s="119" t="s">
        <v>369</v>
      </c>
      <c r="G402" s="192">
        <f t="shared" si="42"/>
        <v>4</v>
      </c>
      <c r="H402" s="192">
        <f t="shared" si="42"/>
        <v>1</v>
      </c>
      <c r="I402" s="192">
        <f t="shared" si="42"/>
        <v>5</v>
      </c>
      <c r="J402" s="192">
        <f t="shared" si="42"/>
        <v>2</v>
      </c>
      <c r="K402" s="192">
        <f t="shared" si="42"/>
        <v>4</v>
      </c>
      <c r="L402" s="192">
        <f t="shared" si="42"/>
        <v>3</v>
      </c>
      <c r="M402" s="192">
        <f t="shared" si="42"/>
        <v>6</v>
      </c>
      <c r="N402" s="192">
        <f t="shared" si="42"/>
        <v>3</v>
      </c>
      <c r="O402" s="192">
        <f t="shared" si="42"/>
        <v>5</v>
      </c>
      <c r="P402" s="192">
        <f t="shared" si="42"/>
        <v>5</v>
      </c>
      <c r="Q402" s="192">
        <f t="shared" si="42"/>
        <v>5</v>
      </c>
      <c r="R402" s="192">
        <f t="shared" si="42"/>
        <v>6</v>
      </c>
      <c r="S402" s="191">
        <f t="shared" si="42"/>
        <v>4</v>
      </c>
      <c r="T402" s="192">
        <f t="shared" si="42"/>
        <v>2</v>
      </c>
      <c r="U402" s="192">
        <f t="shared" si="42"/>
        <v>11</v>
      </c>
      <c r="V402" s="192">
        <f t="shared" si="42"/>
        <v>4</v>
      </c>
      <c r="W402" s="192">
        <f t="shared" si="42"/>
        <v>3</v>
      </c>
      <c r="X402" s="192">
        <f t="shared" si="42"/>
        <v>2</v>
      </c>
      <c r="Y402" s="192">
        <f t="shared" si="42"/>
        <v>2</v>
      </c>
      <c r="Z402" s="192">
        <f t="shared" si="42"/>
        <v>0</v>
      </c>
      <c r="AA402" s="192">
        <f t="shared" si="42"/>
        <v>5</v>
      </c>
      <c r="AB402" s="192">
        <f t="shared" si="42"/>
        <v>8</v>
      </c>
      <c r="AC402" s="192">
        <f t="shared" si="42"/>
        <v>7</v>
      </c>
      <c r="AD402" s="193">
        <f t="shared" si="42"/>
        <v>7</v>
      </c>
      <c r="AE402" s="191">
        <f t="shared" si="42"/>
        <v>2</v>
      </c>
      <c r="AF402" s="192">
        <f t="shared" si="42"/>
        <v>1</v>
      </c>
      <c r="AG402" s="192">
        <f t="shared" si="42"/>
        <v>3</v>
      </c>
      <c r="AH402" s="192">
        <f t="shared" si="42"/>
        <v>3</v>
      </c>
      <c r="AI402" s="192">
        <f t="shared" si="42"/>
        <v>3</v>
      </c>
      <c r="AJ402" s="192">
        <f t="shared" si="42"/>
        <v>1</v>
      </c>
      <c r="AK402" s="192">
        <f t="shared" si="42"/>
        <v>0</v>
      </c>
      <c r="AL402" s="192">
        <f t="shared" si="42"/>
        <v>0</v>
      </c>
      <c r="AM402" s="192">
        <f t="shared" si="42"/>
        <v>0</v>
      </c>
      <c r="AN402" s="192">
        <f t="shared" si="42"/>
        <v>1</v>
      </c>
      <c r="AO402" s="192">
        <f t="shared" si="42"/>
        <v>4</v>
      </c>
      <c r="AP402" s="192">
        <f t="shared" si="42"/>
        <v>4</v>
      </c>
      <c r="AQ402" s="151"/>
      <c r="AR402" s="96">
        <f t="shared" ref="AR402:AR413" si="43">SUM(S402:AD402)</f>
        <v>55</v>
      </c>
      <c r="AS402" s="96">
        <f t="shared" ref="AS402:AS413" si="44">SUM(AE402:AP402)</f>
        <v>22</v>
      </c>
    </row>
    <row r="403" spans="1:45" ht="15.75" customHeight="1">
      <c r="A403" s="116"/>
      <c r="B403" s="190" t="s">
        <v>393</v>
      </c>
      <c r="C403" s="116" t="s">
        <v>375</v>
      </c>
      <c r="D403" s="120">
        <v>1</v>
      </c>
      <c r="E403" s="116" t="s">
        <v>369</v>
      </c>
      <c r="F403" s="119" t="s">
        <v>369</v>
      </c>
      <c r="G403" s="192">
        <f t="shared" si="42"/>
        <v>0</v>
      </c>
      <c r="H403" s="192">
        <f t="shared" si="42"/>
        <v>0</v>
      </c>
      <c r="I403" s="192">
        <f t="shared" si="42"/>
        <v>0</v>
      </c>
      <c r="J403" s="192">
        <f t="shared" ref="J403:AP403" si="45">J63-J301-J335-J369</f>
        <v>0</v>
      </c>
      <c r="K403" s="192">
        <f t="shared" si="45"/>
        <v>0</v>
      </c>
      <c r="L403" s="192">
        <f t="shared" si="45"/>
        <v>0</v>
      </c>
      <c r="M403" s="192">
        <f t="shared" si="45"/>
        <v>0</v>
      </c>
      <c r="N403" s="192">
        <f t="shared" si="45"/>
        <v>0</v>
      </c>
      <c r="O403" s="192">
        <f t="shared" si="45"/>
        <v>0</v>
      </c>
      <c r="P403" s="192">
        <f t="shared" si="45"/>
        <v>0</v>
      </c>
      <c r="Q403" s="192">
        <f t="shared" si="45"/>
        <v>0</v>
      </c>
      <c r="R403" s="192">
        <f t="shared" si="45"/>
        <v>0</v>
      </c>
      <c r="S403" s="191">
        <f t="shared" si="45"/>
        <v>0</v>
      </c>
      <c r="T403" s="192">
        <f t="shared" si="45"/>
        <v>0</v>
      </c>
      <c r="U403" s="192">
        <f t="shared" si="45"/>
        <v>0</v>
      </c>
      <c r="V403" s="192">
        <f t="shared" si="45"/>
        <v>0</v>
      </c>
      <c r="W403" s="192">
        <f t="shared" si="45"/>
        <v>0</v>
      </c>
      <c r="X403" s="192">
        <f t="shared" si="45"/>
        <v>0</v>
      </c>
      <c r="Y403" s="192">
        <f t="shared" si="45"/>
        <v>0</v>
      </c>
      <c r="Z403" s="192">
        <f t="shared" si="45"/>
        <v>0</v>
      </c>
      <c r="AA403" s="192">
        <f t="shared" si="45"/>
        <v>0</v>
      </c>
      <c r="AB403" s="192">
        <f t="shared" si="45"/>
        <v>1</v>
      </c>
      <c r="AC403" s="192">
        <f t="shared" si="45"/>
        <v>2</v>
      </c>
      <c r="AD403" s="193">
        <f t="shared" si="45"/>
        <v>0</v>
      </c>
      <c r="AE403" s="191">
        <f t="shared" si="45"/>
        <v>0</v>
      </c>
      <c r="AF403" s="192">
        <f t="shared" si="45"/>
        <v>1</v>
      </c>
      <c r="AG403" s="192">
        <f t="shared" si="45"/>
        <v>1</v>
      </c>
      <c r="AH403" s="192">
        <f t="shared" si="45"/>
        <v>0</v>
      </c>
      <c r="AI403" s="192">
        <f t="shared" si="45"/>
        <v>0</v>
      </c>
      <c r="AJ403" s="192">
        <f t="shared" si="45"/>
        <v>2</v>
      </c>
      <c r="AK403" s="192">
        <f t="shared" si="45"/>
        <v>0</v>
      </c>
      <c r="AL403" s="192">
        <f t="shared" si="45"/>
        <v>1</v>
      </c>
      <c r="AM403" s="192">
        <f t="shared" si="45"/>
        <v>0</v>
      </c>
      <c r="AN403" s="192">
        <f t="shared" si="45"/>
        <v>0</v>
      </c>
      <c r="AO403" s="192">
        <f t="shared" si="45"/>
        <v>1</v>
      </c>
      <c r="AP403" s="192">
        <f t="shared" si="45"/>
        <v>1</v>
      </c>
      <c r="AQ403" s="151"/>
      <c r="AR403" s="96">
        <f t="shared" si="43"/>
        <v>3</v>
      </c>
      <c r="AS403" s="96">
        <f t="shared" si="44"/>
        <v>7</v>
      </c>
    </row>
    <row r="404" spans="1:45" ht="15.75" customHeight="1">
      <c r="A404" s="116"/>
      <c r="B404" s="190" t="s">
        <v>393</v>
      </c>
      <c r="C404" s="116" t="s">
        <v>376</v>
      </c>
      <c r="D404" s="120">
        <v>1</v>
      </c>
      <c r="E404" s="116" t="s">
        <v>377</v>
      </c>
      <c r="F404" s="119" t="s">
        <v>377</v>
      </c>
      <c r="G404" s="192">
        <f t="shared" ref="G404:AP411" si="46">G64-G302-G336-G370</f>
        <v>2</v>
      </c>
      <c r="H404" s="192">
        <f t="shared" si="46"/>
        <v>2</v>
      </c>
      <c r="I404" s="192">
        <f t="shared" si="46"/>
        <v>3</v>
      </c>
      <c r="J404" s="192">
        <f t="shared" si="46"/>
        <v>1</v>
      </c>
      <c r="K404" s="192">
        <f t="shared" si="46"/>
        <v>2</v>
      </c>
      <c r="L404" s="192">
        <f t="shared" si="46"/>
        <v>2</v>
      </c>
      <c r="M404" s="192">
        <f t="shared" si="46"/>
        <v>3</v>
      </c>
      <c r="N404" s="192">
        <f t="shared" si="46"/>
        <v>2</v>
      </c>
      <c r="O404" s="192">
        <f t="shared" si="46"/>
        <v>0</v>
      </c>
      <c r="P404" s="192">
        <f t="shared" si="46"/>
        <v>6</v>
      </c>
      <c r="Q404" s="192">
        <f t="shared" si="46"/>
        <v>3</v>
      </c>
      <c r="R404" s="192">
        <f t="shared" si="46"/>
        <v>4</v>
      </c>
      <c r="S404" s="191">
        <f t="shared" si="46"/>
        <v>4</v>
      </c>
      <c r="T404" s="192">
        <f t="shared" si="46"/>
        <v>1</v>
      </c>
      <c r="U404" s="192">
        <f t="shared" si="46"/>
        <v>3</v>
      </c>
      <c r="V404" s="192">
        <f t="shared" si="46"/>
        <v>1</v>
      </c>
      <c r="W404" s="192">
        <f t="shared" si="46"/>
        <v>3</v>
      </c>
      <c r="X404" s="192">
        <f t="shared" si="46"/>
        <v>2</v>
      </c>
      <c r="Y404" s="192">
        <f t="shared" si="46"/>
        <v>1</v>
      </c>
      <c r="Z404" s="192">
        <f t="shared" si="46"/>
        <v>0</v>
      </c>
      <c r="AA404" s="192">
        <f t="shared" si="46"/>
        <v>1</v>
      </c>
      <c r="AB404" s="192">
        <f t="shared" si="46"/>
        <v>2</v>
      </c>
      <c r="AC404" s="192">
        <f t="shared" si="46"/>
        <v>3</v>
      </c>
      <c r="AD404" s="193">
        <f t="shared" si="46"/>
        <v>4</v>
      </c>
      <c r="AE404" s="191">
        <f t="shared" si="46"/>
        <v>1</v>
      </c>
      <c r="AF404" s="192">
        <f t="shared" si="46"/>
        <v>0</v>
      </c>
      <c r="AG404" s="192">
        <f t="shared" si="46"/>
        <v>0</v>
      </c>
      <c r="AH404" s="192">
        <f t="shared" si="46"/>
        <v>1</v>
      </c>
      <c r="AI404" s="192">
        <f t="shared" si="46"/>
        <v>2</v>
      </c>
      <c r="AJ404" s="192">
        <f t="shared" si="46"/>
        <v>2</v>
      </c>
      <c r="AK404" s="192">
        <f t="shared" si="46"/>
        <v>2</v>
      </c>
      <c r="AL404" s="192">
        <f t="shared" si="46"/>
        <v>2</v>
      </c>
      <c r="AM404" s="192">
        <f t="shared" si="46"/>
        <v>0</v>
      </c>
      <c r="AN404" s="192">
        <f t="shared" si="46"/>
        <v>0</v>
      </c>
      <c r="AO404" s="192">
        <f t="shared" si="46"/>
        <v>1</v>
      </c>
      <c r="AP404" s="192">
        <f t="shared" si="46"/>
        <v>3</v>
      </c>
      <c r="AQ404" s="151"/>
      <c r="AR404" s="96">
        <f t="shared" si="43"/>
        <v>25</v>
      </c>
      <c r="AS404" s="96">
        <f t="shared" si="44"/>
        <v>14</v>
      </c>
    </row>
    <row r="405" spans="1:45" ht="15.75" customHeight="1">
      <c r="A405" s="116"/>
      <c r="B405" s="190" t="s">
        <v>393</v>
      </c>
      <c r="C405" s="116" t="s">
        <v>378</v>
      </c>
      <c r="D405" s="120">
        <v>1</v>
      </c>
      <c r="E405" s="116" t="s">
        <v>377</v>
      </c>
      <c r="F405" s="119" t="s">
        <v>377</v>
      </c>
      <c r="G405" s="192">
        <f t="shared" si="46"/>
        <v>1</v>
      </c>
      <c r="H405" s="192">
        <f t="shared" si="46"/>
        <v>1</v>
      </c>
      <c r="I405" s="192">
        <f t="shared" si="46"/>
        <v>2</v>
      </c>
      <c r="J405" s="192">
        <f t="shared" si="46"/>
        <v>0</v>
      </c>
      <c r="K405" s="192">
        <f t="shared" si="46"/>
        <v>1</v>
      </c>
      <c r="L405" s="192">
        <f t="shared" si="46"/>
        <v>2</v>
      </c>
      <c r="M405" s="192">
        <f t="shared" si="46"/>
        <v>4</v>
      </c>
      <c r="N405" s="192">
        <f t="shared" si="46"/>
        <v>0</v>
      </c>
      <c r="O405" s="192">
        <f t="shared" si="46"/>
        <v>0</v>
      </c>
      <c r="P405" s="192">
        <f t="shared" si="46"/>
        <v>0</v>
      </c>
      <c r="Q405" s="192">
        <f t="shared" si="46"/>
        <v>0</v>
      </c>
      <c r="R405" s="192">
        <f t="shared" si="46"/>
        <v>1</v>
      </c>
      <c r="S405" s="191">
        <f t="shared" si="46"/>
        <v>1</v>
      </c>
      <c r="T405" s="192">
        <f t="shared" si="46"/>
        <v>1</v>
      </c>
      <c r="U405" s="192">
        <f t="shared" si="46"/>
        <v>0</v>
      </c>
      <c r="V405" s="192">
        <f t="shared" si="46"/>
        <v>1</v>
      </c>
      <c r="W405" s="192">
        <f t="shared" si="46"/>
        <v>0</v>
      </c>
      <c r="X405" s="192">
        <f t="shared" si="46"/>
        <v>0</v>
      </c>
      <c r="Y405" s="192">
        <f t="shared" si="46"/>
        <v>1</v>
      </c>
      <c r="Z405" s="192">
        <f t="shared" si="46"/>
        <v>2</v>
      </c>
      <c r="AA405" s="192">
        <f t="shared" si="46"/>
        <v>0</v>
      </c>
      <c r="AB405" s="192">
        <f t="shared" si="46"/>
        <v>1</v>
      </c>
      <c r="AC405" s="192">
        <f t="shared" si="46"/>
        <v>2</v>
      </c>
      <c r="AD405" s="193">
        <f t="shared" si="46"/>
        <v>2</v>
      </c>
      <c r="AE405" s="191">
        <f t="shared" si="46"/>
        <v>0</v>
      </c>
      <c r="AF405" s="192">
        <f t="shared" si="46"/>
        <v>0</v>
      </c>
      <c r="AG405" s="192">
        <f t="shared" si="46"/>
        <v>1</v>
      </c>
      <c r="AH405" s="192">
        <f t="shared" si="46"/>
        <v>1</v>
      </c>
      <c r="AI405" s="192">
        <f t="shared" si="46"/>
        <v>1</v>
      </c>
      <c r="AJ405" s="192">
        <f t="shared" si="46"/>
        <v>1</v>
      </c>
      <c r="AK405" s="192">
        <f t="shared" si="46"/>
        <v>0</v>
      </c>
      <c r="AL405" s="192">
        <f t="shared" si="46"/>
        <v>1</v>
      </c>
      <c r="AM405" s="192">
        <f t="shared" si="46"/>
        <v>0</v>
      </c>
      <c r="AN405" s="192">
        <f t="shared" si="46"/>
        <v>2</v>
      </c>
      <c r="AO405" s="192">
        <f t="shared" si="46"/>
        <v>1</v>
      </c>
      <c r="AP405" s="192">
        <f t="shared" si="46"/>
        <v>3</v>
      </c>
      <c r="AQ405" s="151"/>
      <c r="AR405" s="96">
        <f t="shared" si="43"/>
        <v>11</v>
      </c>
      <c r="AS405" s="96">
        <f t="shared" si="44"/>
        <v>11</v>
      </c>
    </row>
    <row r="406" spans="1:45" ht="15.75" customHeight="1">
      <c r="A406" s="116"/>
      <c r="B406" s="190" t="s">
        <v>393</v>
      </c>
      <c r="C406" s="116" t="s">
        <v>452</v>
      </c>
      <c r="D406" s="120">
        <v>1</v>
      </c>
      <c r="E406" s="116" t="s">
        <v>377</v>
      </c>
      <c r="F406" s="119" t="s">
        <v>377</v>
      </c>
      <c r="G406" s="192">
        <f t="shared" si="46"/>
        <v>0</v>
      </c>
      <c r="H406" s="192">
        <f t="shared" si="46"/>
        <v>0</v>
      </c>
      <c r="I406" s="192">
        <f t="shared" si="46"/>
        <v>0</v>
      </c>
      <c r="J406" s="192">
        <f t="shared" si="46"/>
        <v>0</v>
      </c>
      <c r="K406" s="192">
        <f t="shared" si="46"/>
        <v>0</v>
      </c>
      <c r="L406" s="192">
        <f t="shared" si="46"/>
        <v>0</v>
      </c>
      <c r="M406" s="192">
        <f t="shared" si="46"/>
        <v>0</v>
      </c>
      <c r="N406" s="192">
        <f t="shared" si="46"/>
        <v>0</v>
      </c>
      <c r="O406" s="192">
        <f t="shared" si="46"/>
        <v>0</v>
      </c>
      <c r="P406" s="192">
        <f t="shared" si="46"/>
        <v>0</v>
      </c>
      <c r="Q406" s="192">
        <f t="shared" si="46"/>
        <v>0</v>
      </c>
      <c r="R406" s="192">
        <f t="shared" si="46"/>
        <v>0</v>
      </c>
      <c r="S406" s="191">
        <f t="shared" si="46"/>
        <v>0</v>
      </c>
      <c r="T406" s="192">
        <f t="shared" si="46"/>
        <v>0</v>
      </c>
      <c r="U406" s="192">
        <f t="shared" si="46"/>
        <v>0</v>
      </c>
      <c r="V406" s="192">
        <f t="shared" si="46"/>
        <v>0</v>
      </c>
      <c r="W406" s="192">
        <f t="shared" si="46"/>
        <v>0</v>
      </c>
      <c r="X406" s="192">
        <f t="shared" si="46"/>
        <v>0</v>
      </c>
      <c r="Y406" s="192">
        <f t="shared" si="46"/>
        <v>0</v>
      </c>
      <c r="Z406" s="192">
        <f t="shared" si="46"/>
        <v>0</v>
      </c>
      <c r="AA406" s="192">
        <f t="shared" si="46"/>
        <v>0</v>
      </c>
      <c r="AB406" s="192">
        <f t="shared" si="46"/>
        <v>0</v>
      </c>
      <c r="AC406" s="192">
        <f t="shared" si="46"/>
        <v>0</v>
      </c>
      <c r="AD406" s="193">
        <f t="shared" si="46"/>
        <v>0</v>
      </c>
      <c r="AE406" s="191">
        <f t="shared" si="46"/>
        <v>0</v>
      </c>
      <c r="AF406" s="192">
        <f t="shared" si="46"/>
        <v>0</v>
      </c>
      <c r="AG406" s="192">
        <f t="shared" si="46"/>
        <v>0</v>
      </c>
      <c r="AH406" s="192">
        <f t="shared" si="46"/>
        <v>0</v>
      </c>
      <c r="AI406" s="192">
        <f t="shared" si="46"/>
        <v>0</v>
      </c>
      <c r="AJ406" s="192">
        <f t="shared" si="46"/>
        <v>0</v>
      </c>
      <c r="AK406" s="192">
        <f t="shared" si="46"/>
        <v>0</v>
      </c>
      <c r="AL406" s="192">
        <f t="shared" si="46"/>
        <v>0</v>
      </c>
      <c r="AM406" s="192">
        <f t="shared" si="46"/>
        <v>0</v>
      </c>
      <c r="AN406" s="192">
        <f t="shared" si="46"/>
        <v>3</v>
      </c>
      <c r="AO406" s="192">
        <f t="shared" si="46"/>
        <v>2</v>
      </c>
      <c r="AP406" s="192">
        <f t="shared" si="46"/>
        <v>2</v>
      </c>
      <c r="AQ406" s="151"/>
      <c r="AR406" s="96">
        <f t="shared" si="43"/>
        <v>0</v>
      </c>
      <c r="AS406" s="96">
        <f t="shared" si="44"/>
        <v>7</v>
      </c>
    </row>
    <row r="407" spans="1:45" ht="15.75" customHeight="1">
      <c r="A407" s="116"/>
      <c r="B407" s="190" t="s">
        <v>393</v>
      </c>
      <c r="C407" s="116" t="s">
        <v>379</v>
      </c>
      <c r="D407" s="120">
        <v>1</v>
      </c>
      <c r="E407" s="116" t="s">
        <v>377</v>
      </c>
      <c r="F407" s="119" t="s">
        <v>377</v>
      </c>
      <c r="G407" s="192">
        <f t="shared" si="46"/>
        <v>1</v>
      </c>
      <c r="H407" s="192">
        <f t="shared" si="46"/>
        <v>2</v>
      </c>
      <c r="I407" s="192">
        <f t="shared" si="46"/>
        <v>0</v>
      </c>
      <c r="J407" s="192">
        <f t="shared" si="46"/>
        <v>0</v>
      </c>
      <c r="K407" s="192">
        <f t="shared" si="46"/>
        <v>0</v>
      </c>
      <c r="L407" s="192">
        <f t="shared" si="46"/>
        <v>0</v>
      </c>
      <c r="M407" s="192">
        <f t="shared" si="46"/>
        <v>0</v>
      </c>
      <c r="N407" s="192">
        <f t="shared" si="46"/>
        <v>1</v>
      </c>
      <c r="O407" s="192">
        <f t="shared" si="46"/>
        <v>1</v>
      </c>
      <c r="P407" s="192">
        <f t="shared" si="46"/>
        <v>1</v>
      </c>
      <c r="Q407" s="192">
        <f t="shared" si="46"/>
        <v>2</v>
      </c>
      <c r="R407" s="192">
        <f t="shared" si="46"/>
        <v>0</v>
      </c>
      <c r="S407" s="191">
        <f t="shared" si="46"/>
        <v>3</v>
      </c>
      <c r="T407" s="192">
        <f t="shared" si="46"/>
        <v>0</v>
      </c>
      <c r="U407" s="192">
        <f t="shared" si="46"/>
        <v>1</v>
      </c>
      <c r="V407" s="192">
        <f t="shared" si="46"/>
        <v>0</v>
      </c>
      <c r="W407" s="192">
        <f t="shared" si="46"/>
        <v>1</v>
      </c>
      <c r="X407" s="192">
        <f t="shared" si="46"/>
        <v>0</v>
      </c>
      <c r="Y407" s="192">
        <f t="shared" si="46"/>
        <v>1</v>
      </c>
      <c r="Z407" s="192">
        <f t="shared" si="46"/>
        <v>1</v>
      </c>
      <c r="AA407" s="192">
        <f t="shared" si="46"/>
        <v>1</v>
      </c>
      <c r="AB407" s="192">
        <f t="shared" si="46"/>
        <v>2</v>
      </c>
      <c r="AC407" s="192">
        <f t="shared" si="46"/>
        <v>3</v>
      </c>
      <c r="AD407" s="193">
        <f t="shared" si="46"/>
        <v>1</v>
      </c>
      <c r="AE407" s="191">
        <f t="shared" si="46"/>
        <v>0</v>
      </c>
      <c r="AF407" s="192">
        <f t="shared" si="46"/>
        <v>1</v>
      </c>
      <c r="AG407" s="192">
        <f t="shared" si="46"/>
        <v>0</v>
      </c>
      <c r="AH407" s="192">
        <f t="shared" si="46"/>
        <v>1</v>
      </c>
      <c r="AI407" s="192">
        <f t="shared" si="46"/>
        <v>0</v>
      </c>
      <c r="AJ407" s="192">
        <f t="shared" si="46"/>
        <v>2</v>
      </c>
      <c r="AK407" s="192">
        <f t="shared" si="46"/>
        <v>1</v>
      </c>
      <c r="AL407" s="192">
        <f t="shared" si="46"/>
        <v>2</v>
      </c>
      <c r="AM407" s="192">
        <f t="shared" si="46"/>
        <v>0</v>
      </c>
      <c r="AN407" s="192">
        <f t="shared" si="46"/>
        <v>1</v>
      </c>
      <c r="AO407" s="192">
        <f t="shared" si="46"/>
        <v>1</v>
      </c>
      <c r="AP407" s="192">
        <f t="shared" si="46"/>
        <v>1</v>
      </c>
      <c r="AQ407" s="151"/>
      <c r="AR407" s="96">
        <f t="shared" si="43"/>
        <v>14</v>
      </c>
      <c r="AS407" s="96">
        <f t="shared" si="44"/>
        <v>10</v>
      </c>
    </row>
    <row r="408" spans="1:45" ht="15.75" customHeight="1">
      <c r="A408" s="116"/>
      <c r="B408" s="190" t="s">
        <v>393</v>
      </c>
      <c r="C408" s="116" t="s">
        <v>380</v>
      </c>
      <c r="D408" s="120">
        <v>1</v>
      </c>
      <c r="E408" s="116" t="s">
        <v>377</v>
      </c>
      <c r="F408" s="119" t="s">
        <v>377</v>
      </c>
      <c r="G408" s="192">
        <f t="shared" si="46"/>
        <v>1</v>
      </c>
      <c r="H408" s="192">
        <f t="shared" si="46"/>
        <v>2</v>
      </c>
      <c r="I408" s="192">
        <f t="shared" si="46"/>
        <v>2</v>
      </c>
      <c r="J408" s="192">
        <f t="shared" si="46"/>
        <v>0</v>
      </c>
      <c r="K408" s="192">
        <f t="shared" si="46"/>
        <v>3</v>
      </c>
      <c r="L408" s="192">
        <f t="shared" si="46"/>
        <v>1</v>
      </c>
      <c r="M408" s="192">
        <f t="shared" si="46"/>
        <v>3</v>
      </c>
      <c r="N408" s="192">
        <f t="shared" si="46"/>
        <v>1</v>
      </c>
      <c r="O408" s="192">
        <f t="shared" si="46"/>
        <v>0</v>
      </c>
      <c r="P408" s="192">
        <f t="shared" si="46"/>
        <v>0</v>
      </c>
      <c r="Q408" s="192">
        <f t="shared" si="46"/>
        <v>0</v>
      </c>
      <c r="R408" s="192">
        <f t="shared" si="46"/>
        <v>2</v>
      </c>
      <c r="S408" s="191">
        <f t="shared" si="46"/>
        <v>0</v>
      </c>
      <c r="T408" s="192">
        <f t="shared" si="46"/>
        <v>0</v>
      </c>
      <c r="U408" s="192">
        <f t="shared" si="46"/>
        <v>1</v>
      </c>
      <c r="V408" s="192">
        <f t="shared" si="46"/>
        <v>1</v>
      </c>
      <c r="W408" s="192">
        <f t="shared" si="46"/>
        <v>0</v>
      </c>
      <c r="X408" s="192">
        <f t="shared" si="46"/>
        <v>0</v>
      </c>
      <c r="Y408" s="192">
        <f t="shared" si="46"/>
        <v>2</v>
      </c>
      <c r="Z408" s="192">
        <f t="shared" si="46"/>
        <v>0</v>
      </c>
      <c r="AA408" s="192">
        <f t="shared" si="46"/>
        <v>1</v>
      </c>
      <c r="AB408" s="192">
        <f t="shared" si="46"/>
        <v>3</v>
      </c>
      <c r="AC408" s="192">
        <f t="shared" si="46"/>
        <v>1</v>
      </c>
      <c r="AD408" s="193">
        <f t="shared" si="46"/>
        <v>1</v>
      </c>
      <c r="AE408" s="191">
        <f t="shared" si="46"/>
        <v>1</v>
      </c>
      <c r="AF408" s="192">
        <f t="shared" si="46"/>
        <v>0</v>
      </c>
      <c r="AG408" s="192">
        <f t="shared" si="46"/>
        <v>1</v>
      </c>
      <c r="AH408" s="192">
        <f t="shared" si="46"/>
        <v>1</v>
      </c>
      <c r="AI408" s="192">
        <f t="shared" si="46"/>
        <v>0</v>
      </c>
      <c r="AJ408" s="192">
        <f t="shared" si="46"/>
        <v>0</v>
      </c>
      <c r="AK408" s="192">
        <f t="shared" si="46"/>
        <v>0</v>
      </c>
      <c r="AL408" s="192">
        <f t="shared" si="46"/>
        <v>3</v>
      </c>
      <c r="AM408" s="192">
        <f t="shared" si="46"/>
        <v>0</v>
      </c>
      <c r="AN408" s="192">
        <f t="shared" si="46"/>
        <v>2</v>
      </c>
      <c r="AO408" s="192">
        <f t="shared" si="46"/>
        <v>0</v>
      </c>
      <c r="AP408" s="192">
        <f t="shared" si="46"/>
        <v>1</v>
      </c>
      <c r="AQ408" s="151"/>
      <c r="AR408" s="96">
        <f t="shared" si="43"/>
        <v>10</v>
      </c>
      <c r="AS408" s="96">
        <f t="shared" si="44"/>
        <v>9</v>
      </c>
    </row>
    <row r="409" spans="1:45" ht="15.75" customHeight="1">
      <c r="A409" s="116"/>
      <c r="B409" s="190" t="s">
        <v>393</v>
      </c>
      <c r="C409" s="116" t="s">
        <v>381</v>
      </c>
      <c r="D409" s="120">
        <v>2</v>
      </c>
      <c r="E409" s="116" t="s">
        <v>377</v>
      </c>
      <c r="F409" s="119" t="s">
        <v>377</v>
      </c>
      <c r="G409" s="192">
        <f t="shared" si="46"/>
        <v>0</v>
      </c>
      <c r="H409" s="192">
        <f t="shared" si="46"/>
        <v>0</v>
      </c>
      <c r="I409" s="192">
        <f t="shared" si="46"/>
        <v>0</v>
      </c>
      <c r="J409" s="192">
        <f t="shared" si="46"/>
        <v>0</v>
      </c>
      <c r="K409" s="192">
        <f t="shared" si="46"/>
        <v>0</v>
      </c>
      <c r="L409" s="192">
        <f t="shared" si="46"/>
        <v>0</v>
      </c>
      <c r="M409" s="192">
        <f t="shared" si="46"/>
        <v>0</v>
      </c>
      <c r="N409" s="192">
        <f t="shared" si="46"/>
        <v>0</v>
      </c>
      <c r="O409" s="192">
        <f t="shared" si="46"/>
        <v>0</v>
      </c>
      <c r="P409" s="192">
        <f t="shared" si="46"/>
        <v>1</v>
      </c>
      <c r="Q409" s="192">
        <f t="shared" si="46"/>
        <v>1</v>
      </c>
      <c r="R409" s="192">
        <f t="shared" si="46"/>
        <v>0</v>
      </c>
      <c r="S409" s="191">
        <f t="shared" si="46"/>
        <v>0</v>
      </c>
      <c r="T409" s="192">
        <f t="shared" si="46"/>
        <v>0</v>
      </c>
      <c r="U409" s="192">
        <f t="shared" si="46"/>
        <v>0</v>
      </c>
      <c r="V409" s="192">
        <f t="shared" si="46"/>
        <v>0</v>
      </c>
      <c r="W409" s="192">
        <f t="shared" si="46"/>
        <v>0</v>
      </c>
      <c r="X409" s="192">
        <f t="shared" si="46"/>
        <v>2</v>
      </c>
      <c r="Y409" s="192">
        <f t="shared" si="46"/>
        <v>1</v>
      </c>
      <c r="Z409" s="192">
        <f t="shared" si="46"/>
        <v>1</v>
      </c>
      <c r="AA409" s="192">
        <f t="shared" si="46"/>
        <v>0</v>
      </c>
      <c r="AB409" s="192">
        <f t="shared" si="46"/>
        <v>0</v>
      </c>
      <c r="AC409" s="192">
        <f t="shared" si="46"/>
        <v>2</v>
      </c>
      <c r="AD409" s="193">
        <f t="shared" si="46"/>
        <v>1</v>
      </c>
      <c r="AE409" s="191">
        <f t="shared" si="46"/>
        <v>0</v>
      </c>
      <c r="AF409" s="192">
        <f t="shared" si="46"/>
        <v>0</v>
      </c>
      <c r="AG409" s="192">
        <f t="shared" si="46"/>
        <v>0</v>
      </c>
      <c r="AH409" s="192">
        <f t="shared" si="46"/>
        <v>0</v>
      </c>
      <c r="AI409" s="192">
        <f t="shared" si="46"/>
        <v>0</v>
      </c>
      <c r="AJ409" s="192">
        <f t="shared" si="46"/>
        <v>1</v>
      </c>
      <c r="AK409" s="192">
        <f t="shared" si="46"/>
        <v>0</v>
      </c>
      <c r="AL409" s="192">
        <f t="shared" si="46"/>
        <v>0</v>
      </c>
      <c r="AM409" s="192">
        <f t="shared" si="46"/>
        <v>0</v>
      </c>
      <c r="AN409" s="192">
        <f t="shared" si="46"/>
        <v>0</v>
      </c>
      <c r="AO409" s="192">
        <f t="shared" si="46"/>
        <v>0</v>
      </c>
      <c r="AP409" s="192">
        <f t="shared" si="46"/>
        <v>1</v>
      </c>
      <c r="AQ409" s="151"/>
      <c r="AR409" s="96">
        <f t="shared" si="43"/>
        <v>7</v>
      </c>
      <c r="AS409" s="96">
        <f t="shared" si="44"/>
        <v>2</v>
      </c>
    </row>
    <row r="410" spans="1:45" ht="15.75" customHeight="1">
      <c r="A410" s="116"/>
      <c r="B410" s="190" t="s">
        <v>393</v>
      </c>
      <c r="C410" s="116" t="s">
        <v>382</v>
      </c>
      <c r="D410" s="120">
        <v>2</v>
      </c>
      <c r="E410" s="116" t="s">
        <v>377</v>
      </c>
      <c r="F410" s="119" t="s">
        <v>377</v>
      </c>
      <c r="G410" s="192">
        <f t="shared" si="46"/>
        <v>2</v>
      </c>
      <c r="H410" s="192">
        <f t="shared" si="46"/>
        <v>2</v>
      </c>
      <c r="I410" s="192">
        <f t="shared" si="46"/>
        <v>3</v>
      </c>
      <c r="J410" s="192">
        <f t="shared" si="46"/>
        <v>3</v>
      </c>
      <c r="K410" s="192">
        <f t="shared" si="46"/>
        <v>3</v>
      </c>
      <c r="L410" s="192">
        <f t="shared" si="46"/>
        <v>1</v>
      </c>
      <c r="M410" s="192">
        <f t="shared" si="46"/>
        <v>5</v>
      </c>
      <c r="N410" s="192">
        <f t="shared" si="46"/>
        <v>1</v>
      </c>
      <c r="O410" s="192">
        <f t="shared" si="46"/>
        <v>1</v>
      </c>
      <c r="P410" s="192">
        <f t="shared" si="46"/>
        <v>4</v>
      </c>
      <c r="Q410" s="192">
        <f t="shared" si="46"/>
        <v>4</v>
      </c>
      <c r="R410" s="192">
        <f t="shared" si="46"/>
        <v>5</v>
      </c>
      <c r="S410" s="191">
        <f t="shared" si="46"/>
        <v>2</v>
      </c>
      <c r="T410" s="192">
        <f t="shared" si="46"/>
        <v>3</v>
      </c>
      <c r="U410" s="192">
        <f t="shared" si="46"/>
        <v>1</v>
      </c>
      <c r="V410" s="192">
        <f t="shared" si="46"/>
        <v>2</v>
      </c>
      <c r="W410" s="192">
        <f t="shared" si="46"/>
        <v>2</v>
      </c>
      <c r="X410" s="192">
        <f t="shared" si="46"/>
        <v>0</v>
      </c>
      <c r="Y410" s="192">
        <f t="shared" si="46"/>
        <v>1</v>
      </c>
      <c r="Z410" s="192">
        <f t="shared" si="46"/>
        <v>1</v>
      </c>
      <c r="AA410" s="192">
        <f t="shared" si="46"/>
        <v>1</v>
      </c>
      <c r="AB410" s="192">
        <f t="shared" si="46"/>
        <v>6</v>
      </c>
      <c r="AC410" s="192">
        <f t="shared" si="46"/>
        <v>1</v>
      </c>
      <c r="AD410" s="193">
        <f t="shared" si="46"/>
        <v>2</v>
      </c>
      <c r="AE410" s="191">
        <f t="shared" si="46"/>
        <v>0</v>
      </c>
      <c r="AF410" s="192">
        <f t="shared" si="46"/>
        <v>1</v>
      </c>
      <c r="AG410" s="192">
        <f t="shared" si="46"/>
        <v>1</v>
      </c>
      <c r="AH410" s="192">
        <f t="shared" si="46"/>
        <v>0</v>
      </c>
      <c r="AI410" s="192">
        <f t="shared" si="46"/>
        <v>2</v>
      </c>
      <c r="AJ410" s="192">
        <f t="shared" si="46"/>
        <v>6</v>
      </c>
      <c r="AK410" s="192">
        <f t="shared" si="46"/>
        <v>1</v>
      </c>
      <c r="AL410" s="192">
        <f t="shared" si="46"/>
        <v>1</v>
      </c>
      <c r="AM410" s="192">
        <f t="shared" si="46"/>
        <v>2</v>
      </c>
      <c r="AN410" s="192">
        <f t="shared" si="46"/>
        <v>5</v>
      </c>
      <c r="AO410" s="192">
        <f t="shared" si="46"/>
        <v>6</v>
      </c>
      <c r="AP410" s="192">
        <f t="shared" si="46"/>
        <v>4</v>
      </c>
      <c r="AQ410" s="151"/>
      <c r="AR410" s="96">
        <f t="shared" si="43"/>
        <v>22</v>
      </c>
      <c r="AS410" s="96">
        <f t="shared" si="44"/>
        <v>29</v>
      </c>
    </row>
    <row r="411" spans="1:45" ht="15.75" customHeight="1">
      <c r="A411" s="116"/>
      <c r="B411" s="190" t="s">
        <v>393</v>
      </c>
      <c r="C411" s="116" t="s">
        <v>383</v>
      </c>
      <c r="D411" s="120">
        <v>1</v>
      </c>
      <c r="E411" s="116" t="s">
        <v>377</v>
      </c>
      <c r="F411" s="119" t="s">
        <v>377</v>
      </c>
      <c r="G411" s="192">
        <f t="shared" si="46"/>
        <v>0</v>
      </c>
      <c r="H411" s="192">
        <f t="shared" si="46"/>
        <v>0</v>
      </c>
      <c r="I411" s="192">
        <f t="shared" si="46"/>
        <v>0</v>
      </c>
      <c r="J411" s="192">
        <f t="shared" ref="J411:AP411" si="47">J71-J309-J343-J377</f>
        <v>0</v>
      </c>
      <c r="K411" s="192">
        <f t="shared" si="47"/>
        <v>0</v>
      </c>
      <c r="L411" s="192">
        <f t="shared" si="47"/>
        <v>0</v>
      </c>
      <c r="M411" s="192">
        <f t="shared" si="47"/>
        <v>0</v>
      </c>
      <c r="N411" s="192">
        <f t="shared" si="47"/>
        <v>0</v>
      </c>
      <c r="O411" s="192">
        <f t="shared" si="47"/>
        <v>0</v>
      </c>
      <c r="P411" s="192">
        <f t="shared" si="47"/>
        <v>0</v>
      </c>
      <c r="Q411" s="192">
        <f t="shared" si="47"/>
        <v>0</v>
      </c>
      <c r="R411" s="192">
        <f t="shared" si="47"/>
        <v>0</v>
      </c>
      <c r="S411" s="191">
        <f t="shared" si="47"/>
        <v>0</v>
      </c>
      <c r="T411" s="192">
        <f t="shared" si="47"/>
        <v>0</v>
      </c>
      <c r="U411" s="192">
        <f t="shared" si="47"/>
        <v>0</v>
      </c>
      <c r="V411" s="192">
        <f t="shared" si="47"/>
        <v>0</v>
      </c>
      <c r="W411" s="192">
        <f t="shared" si="47"/>
        <v>0</v>
      </c>
      <c r="X411" s="192">
        <f t="shared" si="47"/>
        <v>0</v>
      </c>
      <c r="Y411" s="192">
        <f t="shared" si="47"/>
        <v>0</v>
      </c>
      <c r="Z411" s="192">
        <f t="shared" si="47"/>
        <v>0</v>
      </c>
      <c r="AA411" s="192">
        <f t="shared" si="47"/>
        <v>0</v>
      </c>
      <c r="AB411" s="192">
        <f t="shared" si="47"/>
        <v>0</v>
      </c>
      <c r="AC411" s="192">
        <f t="shared" si="47"/>
        <v>0</v>
      </c>
      <c r="AD411" s="193">
        <f t="shared" si="47"/>
        <v>0</v>
      </c>
      <c r="AE411" s="191">
        <f t="shared" si="47"/>
        <v>0</v>
      </c>
      <c r="AF411" s="192">
        <f t="shared" si="47"/>
        <v>0</v>
      </c>
      <c r="AG411" s="192">
        <f t="shared" si="47"/>
        <v>0</v>
      </c>
      <c r="AH411" s="192">
        <f t="shared" si="47"/>
        <v>0</v>
      </c>
      <c r="AI411" s="192">
        <f t="shared" si="47"/>
        <v>1</v>
      </c>
      <c r="AJ411" s="192">
        <f t="shared" si="47"/>
        <v>0</v>
      </c>
      <c r="AK411" s="192">
        <f t="shared" si="47"/>
        <v>0</v>
      </c>
      <c r="AL411" s="192">
        <f t="shared" si="47"/>
        <v>0</v>
      </c>
      <c r="AM411" s="192">
        <f t="shared" si="47"/>
        <v>2</v>
      </c>
      <c r="AN411" s="192">
        <f t="shared" si="47"/>
        <v>0</v>
      </c>
      <c r="AO411" s="192">
        <f t="shared" si="47"/>
        <v>0</v>
      </c>
      <c r="AP411" s="192">
        <f t="shared" si="47"/>
        <v>1</v>
      </c>
      <c r="AQ411" s="151"/>
      <c r="AR411" s="96">
        <f t="shared" si="43"/>
        <v>0</v>
      </c>
      <c r="AS411" s="96">
        <f t="shared" si="44"/>
        <v>4</v>
      </c>
    </row>
    <row r="412" spans="1:45" ht="15.75" customHeight="1">
      <c r="A412" s="116"/>
      <c r="B412" s="190" t="s">
        <v>393</v>
      </c>
      <c r="C412" s="116" t="s">
        <v>384</v>
      </c>
      <c r="D412" s="120">
        <v>1</v>
      </c>
      <c r="E412" s="116" t="s">
        <v>385</v>
      </c>
      <c r="F412" s="119" t="s">
        <v>385</v>
      </c>
      <c r="G412" s="192">
        <f t="shared" ref="G412:AP413" si="48">G72-G310-G344-G378</f>
        <v>0</v>
      </c>
      <c r="H412" s="192">
        <f t="shared" si="48"/>
        <v>3</v>
      </c>
      <c r="I412" s="192">
        <f t="shared" si="48"/>
        <v>5</v>
      </c>
      <c r="J412" s="192">
        <f t="shared" si="48"/>
        <v>6</v>
      </c>
      <c r="K412" s="192">
        <f t="shared" si="48"/>
        <v>4</v>
      </c>
      <c r="L412" s="192">
        <f t="shared" si="48"/>
        <v>7</v>
      </c>
      <c r="M412" s="192">
        <f t="shared" si="48"/>
        <v>6</v>
      </c>
      <c r="N412" s="192">
        <f t="shared" si="48"/>
        <v>2</v>
      </c>
      <c r="O412" s="192">
        <f t="shared" si="48"/>
        <v>8</v>
      </c>
      <c r="P412" s="192">
        <f t="shared" si="48"/>
        <v>12</v>
      </c>
      <c r="Q412" s="192">
        <f t="shared" si="48"/>
        <v>9</v>
      </c>
      <c r="R412" s="192">
        <f t="shared" si="48"/>
        <v>9</v>
      </c>
      <c r="S412" s="191">
        <f t="shared" si="48"/>
        <v>2</v>
      </c>
      <c r="T412" s="192">
        <f t="shared" si="48"/>
        <v>2</v>
      </c>
      <c r="U412" s="192">
        <f t="shared" si="48"/>
        <v>5</v>
      </c>
      <c r="V412" s="192">
        <f t="shared" si="48"/>
        <v>4</v>
      </c>
      <c r="W412" s="192">
        <f t="shared" si="48"/>
        <v>5</v>
      </c>
      <c r="X412" s="192">
        <f t="shared" si="48"/>
        <v>3</v>
      </c>
      <c r="Y412" s="192">
        <f t="shared" si="48"/>
        <v>5</v>
      </c>
      <c r="Z412" s="192">
        <f t="shared" si="48"/>
        <v>5</v>
      </c>
      <c r="AA412" s="192">
        <f t="shared" si="48"/>
        <v>8</v>
      </c>
      <c r="AB412" s="192">
        <f t="shared" si="48"/>
        <v>8</v>
      </c>
      <c r="AC412" s="192">
        <f t="shared" si="48"/>
        <v>7</v>
      </c>
      <c r="AD412" s="193">
        <f t="shared" si="48"/>
        <v>6</v>
      </c>
      <c r="AE412" s="191">
        <f t="shared" si="48"/>
        <v>5</v>
      </c>
      <c r="AF412" s="192">
        <f t="shared" si="48"/>
        <v>0</v>
      </c>
      <c r="AG412" s="192">
        <f t="shared" si="48"/>
        <v>2</v>
      </c>
      <c r="AH412" s="192">
        <f t="shared" si="48"/>
        <v>3</v>
      </c>
      <c r="AI412" s="192">
        <f t="shared" si="48"/>
        <v>9</v>
      </c>
      <c r="AJ412" s="192">
        <f t="shared" si="48"/>
        <v>9</v>
      </c>
      <c r="AK412" s="192">
        <f t="shared" si="48"/>
        <v>3</v>
      </c>
      <c r="AL412" s="192">
        <f t="shared" si="48"/>
        <v>3</v>
      </c>
      <c r="AM412" s="192">
        <f t="shared" si="48"/>
        <v>4</v>
      </c>
      <c r="AN412" s="192">
        <f t="shared" si="48"/>
        <v>8</v>
      </c>
      <c r="AO412" s="192">
        <f t="shared" si="48"/>
        <v>7</v>
      </c>
      <c r="AP412" s="192">
        <f t="shared" si="48"/>
        <v>4</v>
      </c>
      <c r="AQ412" s="151"/>
      <c r="AR412" s="96">
        <f t="shared" si="43"/>
        <v>60</v>
      </c>
      <c r="AS412" s="96">
        <f t="shared" si="44"/>
        <v>57</v>
      </c>
    </row>
    <row r="413" spans="1:45" ht="15.75" customHeight="1">
      <c r="A413" s="116"/>
      <c r="B413" s="194" t="s">
        <v>393</v>
      </c>
      <c r="C413" s="195" t="s">
        <v>386</v>
      </c>
      <c r="D413" s="173">
        <v>1</v>
      </c>
      <c r="E413" s="174" t="s">
        <v>348</v>
      </c>
      <c r="F413" s="196" t="s">
        <v>363</v>
      </c>
      <c r="G413" s="197">
        <f t="shared" si="48"/>
        <v>0</v>
      </c>
      <c r="H413" s="197">
        <f t="shared" si="48"/>
        <v>0</v>
      </c>
      <c r="I413" s="197">
        <f t="shared" si="48"/>
        <v>0</v>
      </c>
      <c r="J413" s="197">
        <f t="shared" si="48"/>
        <v>0</v>
      </c>
      <c r="K413" s="197">
        <f t="shared" si="48"/>
        <v>0</v>
      </c>
      <c r="L413" s="197">
        <f t="shared" si="48"/>
        <v>0</v>
      </c>
      <c r="M413" s="197">
        <f t="shared" si="48"/>
        <v>0</v>
      </c>
      <c r="N413" s="197">
        <f t="shared" si="48"/>
        <v>0</v>
      </c>
      <c r="O413" s="197">
        <f t="shared" si="48"/>
        <v>0</v>
      </c>
      <c r="P413" s="197">
        <f t="shared" si="48"/>
        <v>0</v>
      </c>
      <c r="Q413" s="197">
        <f t="shared" si="48"/>
        <v>0</v>
      </c>
      <c r="R413" s="197">
        <f t="shared" si="48"/>
        <v>0</v>
      </c>
      <c r="S413" s="198">
        <f t="shared" si="48"/>
        <v>0</v>
      </c>
      <c r="T413" s="197">
        <f t="shared" si="48"/>
        <v>0</v>
      </c>
      <c r="U413" s="197">
        <f t="shared" si="48"/>
        <v>0</v>
      </c>
      <c r="V413" s="197">
        <f t="shared" si="48"/>
        <v>0</v>
      </c>
      <c r="W413" s="197">
        <f t="shared" si="48"/>
        <v>0</v>
      </c>
      <c r="X413" s="197">
        <f t="shared" si="48"/>
        <v>0</v>
      </c>
      <c r="Y413" s="197">
        <f t="shared" si="48"/>
        <v>0</v>
      </c>
      <c r="Z413" s="197">
        <f t="shared" si="48"/>
        <v>0</v>
      </c>
      <c r="AA413" s="197">
        <f t="shared" si="48"/>
        <v>0</v>
      </c>
      <c r="AB413" s="197">
        <f t="shared" si="48"/>
        <v>0</v>
      </c>
      <c r="AC413" s="197">
        <f t="shared" si="48"/>
        <v>0</v>
      </c>
      <c r="AD413" s="199">
        <f t="shared" si="48"/>
        <v>0</v>
      </c>
      <c r="AE413" s="198">
        <f t="shared" si="48"/>
        <v>0</v>
      </c>
      <c r="AF413" s="197">
        <f t="shared" si="48"/>
        <v>0</v>
      </c>
      <c r="AG413" s="197">
        <f t="shared" si="48"/>
        <v>0</v>
      </c>
      <c r="AH413" s="197">
        <f t="shared" si="48"/>
        <v>0</v>
      </c>
      <c r="AI413" s="197">
        <f t="shared" si="48"/>
        <v>3</v>
      </c>
      <c r="AJ413" s="197">
        <f t="shared" si="48"/>
        <v>1</v>
      </c>
      <c r="AK413" s="197">
        <f t="shared" si="48"/>
        <v>1</v>
      </c>
      <c r="AL413" s="197">
        <f t="shared" si="48"/>
        <v>0</v>
      </c>
      <c r="AM413" s="197">
        <f t="shared" si="48"/>
        <v>0</v>
      </c>
      <c r="AN413" s="197">
        <f t="shared" si="48"/>
        <v>0</v>
      </c>
      <c r="AO413" s="197">
        <f t="shared" si="48"/>
        <v>4</v>
      </c>
      <c r="AP413" s="197">
        <f t="shared" si="48"/>
        <v>1</v>
      </c>
      <c r="AQ413" s="151"/>
      <c r="AR413" s="96">
        <f t="shared" si="43"/>
        <v>0</v>
      </c>
      <c r="AS413" s="96">
        <f t="shared" si="44"/>
        <v>10</v>
      </c>
    </row>
    <row r="414" spans="1:45" ht="15.75" customHeight="1">
      <c r="D414" s="152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  <c r="AC414" s="153"/>
      <c r="AD414" s="153"/>
      <c r="AE414" s="153"/>
      <c r="AF414" s="153"/>
      <c r="AG414" s="153"/>
      <c r="AH414" s="153"/>
      <c r="AI414" s="153"/>
      <c r="AJ414" s="153"/>
      <c r="AK414" s="153"/>
      <c r="AL414" s="153"/>
      <c r="AM414" s="153"/>
      <c r="AN414" s="153"/>
      <c r="AO414" s="153"/>
      <c r="AP414" s="153"/>
    </row>
    <row r="415" spans="1:45" ht="15.75" customHeight="1">
      <c r="D415" s="152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  <c r="AC415" s="153"/>
      <c r="AD415" s="153"/>
      <c r="AE415" s="153"/>
      <c r="AF415" s="153"/>
      <c r="AG415" s="153"/>
      <c r="AH415" s="153"/>
      <c r="AI415" s="153"/>
      <c r="AJ415" s="153"/>
      <c r="AK415" s="153"/>
      <c r="AL415" s="153"/>
      <c r="AM415" s="153"/>
      <c r="AN415" s="153"/>
      <c r="AO415" s="153"/>
      <c r="AP415" s="153"/>
    </row>
    <row r="416" spans="1:45" ht="15.75" customHeight="1">
      <c r="D416" s="152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  <c r="AC416" s="153"/>
      <c r="AD416" s="153"/>
      <c r="AE416" s="153"/>
      <c r="AF416" s="153"/>
      <c r="AG416" s="153"/>
      <c r="AH416" s="153"/>
      <c r="AI416" s="153"/>
      <c r="AJ416" s="153"/>
      <c r="AK416" s="153"/>
      <c r="AL416" s="153"/>
      <c r="AM416" s="153"/>
      <c r="AN416" s="153"/>
      <c r="AO416" s="153"/>
      <c r="AP416" s="153"/>
    </row>
    <row r="417" spans="4:42" ht="15.75" customHeight="1">
      <c r="D417" s="152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  <c r="AC417" s="153"/>
      <c r="AD417" s="153"/>
      <c r="AE417" s="153"/>
      <c r="AF417" s="153"/>
      <c r="AG417" s="153"/>
      <c r="AH417" s="153"/>
      <c r="AI417" s="153"/>
      <c r="AJ417" s="153"/>
      <c r="AK417" s="153"/>
      <c r="AL417" s="153"/>
      <c r="AM417" s="153"/>
      <c r="AN417" s="153"/>
      <c r="AO417" s="153"/>
      <c r="AP417" s="153"/>
    </row>
    <row r="418" spans="4:42" ht="15.75" customHeight="1">
      <c r="D418" s="152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  <c r="AC418" s="153"/>
      <c r="AD418" s="153"/>
      <c r="AE418" s="153"/>
      <c r="AF418" s="153"/>
      <c r="AG418" s="153"/>
      <c r="AH418" s="153"/>
      <c r="AI418" s="153"/>
      <c r="AJ418" s="153"/>
      <c r="AK418" s="153"/>
      <c r="AL418" s="153"/>
      <c r="AM418" s="153"/>
      <c r="AN418" s="153"/>
      <c r="AO418" s="153"/>
      <c r="AP418" s="153"/>
    </row>
    <row r="419" spans="4:42" ht="15.75" customHeight="1">
      <c r="D419" s="152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  <c r="AC419" s="153"/>
      <c r="AD419" s="153"/>
      <c r="AE419" s="153"/>
      <c r="AF419" s="153"/>
      <c r="AG419" s="153"/>
      <c r="AH419" s="153"/>
      <c r="AI419" s="153"/>
      <c r="AJ419" s="153"/>
      <c r="AK419" s="153"/>
      <c r="AL419" s="153"/>
      <c r="AM419" s="153"/>
      <c r="AN419" s="153"/>
      <c r="AO419" s="153"/>
      <c r="AP419" s="153"/>
    </row>
    <row r="420" spans="4:42" ht="15.75" customHeight="1">
      <c r="D420" s="152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  <c r="AC420" s="153"/>
      <c r="AD420" s="153"/>
      <c r="AE420" s="153"/>
      <c r="AF420" s="153"/>
      <c r="AG420" s="153"/>
      <c r="AH420" s="153"/>
      <c r="AI420" s="153"/>
      <c r="AJ420" s="153"/>
      <c r="AK420" s="153"/>
      <c r="AL420" s="153"/>
      <c r="AM420" s="153"/>
      <c r="AN420" s="153"/>
      <c r="AO420" s="153"/>
      <c r="AP420" s="153"/>
    </row>
    <row r="421" spans="4:42" ht="15.75" customHeight="1">
      <c r="D421" s="152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  <c r="AC421" s="153"/>
      <c r="AD421" s="153"/>
      <c r="AE421" s="153"/>
      <c r="AF421" s="153"/>
      <c r="AG421" s="153"/>
      <c r="AH421" s="153"/>
      <c r="AI421" s="153"/>
      <c r="AJ421" s="153"/>
      <c r="AK421" s="153"/>
      <c r="AL421" s="153"/>
      <c r="AM421" s="153"/>
      <c r="AN421" s="153"/>
      <c r="AO421" s="153"/>
      <c r="AP421" s="153"/>
    </row>
    <row r="422" spans="4:42" ht="15.75" customHeight="1">
      <c r="D422" s="152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  <c r="AC422" s="153"/>
      <c r="AD422" s="153"/>
      <c r="AE422" s="153"/>
      <c r="AF422" s="153"/>
      <c r="AG422" s="153"/>
      <c r="AH422" s="153"/>
      <c r="AI422" s="153"/>
      <c r="AJ422" s="153"/>
      <c r="AK422" s="153"/>
      <c r="AL422" s="153"/>
      <c r="AM422" s="153"/>
      <c r="AN422" s="153"/>
      <c r="AO422" s="153"/>
      <c r="AP422" s="153"/>
    </row>
    <row r="423" spans="4:42" ht="15.75" customHeight="1">
      <c r="D423" s="152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  <c r="AC423" s="153"/>
      <c r="AD423" s="153"/>
      <c r="AE423" s="153"/>
      <c r="AF423" s="153"/>
      <c r="AG423" s="153"/>
      <c r="AH423" s="153"/>
      <c r="AI423" s="153"/>
      <c r="AJ423" s="153"/>
      <c r="AK423" s="153"/>
      <c r="AL423" s="153"/>
      <c r="AM423" s="153"/>
      <c r="AN423" s="153"/>
      <c r="AO423" s="153"/>
      <c r="AP423" s="153"/>
    </row>
    <row r="424" spans="4:42" ht="15.75" customHeight="1">
      <c r="D424" s="152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  <c r="AC424" s="153"/>
      <c r="AD424" s="153"/>
      <c r="AE424" s="153"/>
      <c r="AF424" s="153"/>
      <c r="AG424" s="153"/>
      <c r="AH424" s="153"/>
      <c r="AI424" s="153"/>
      <c r="AJ424" s="153"/>
      <c r="AK424" s="153"/>
      <c r="AL424" s="153"/>
      <c r="AM424" s="153"/>
      <c r="AN424" s="153"/>
      <c r="AO424" s="153"/>
      <c r="AP424" s="153"/>
    </row>
    <row r="425" spans="4:42" ht="15.75" customHeight="1">
      <c r="D425" s="152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  <c r="AC425" s="153"/>
      <c r="AD425" s="153"/>
      <c r="AE425" s="153"/>
      <c r="AF425" s="153"/>
      <c r="AG425" s="153"/>
      <c r="AH425" s="153"/>
      <c r="AI425" s="153"/>
      <c r="AJ425" s="153"/>
      <c r="AK425" s="153"/>
      <c r="AL425" s="153"/>
      <c r="AM425" s="153"/>
      <c r="AN425" s="153"/>
      <c r="AO425" s="153"/>
      <c r="AP425" s="153"/>
    </row>
    <row r="426" spans="4:42" ht="15.75" customHeight="1">
      <c r="D426" s="152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  <c r="AC426" s="153"/>
      <c r="AD426" s="153"/>
      <c r="AE426" s="153"/>
      <c r="AF426" s="153"/>
      <c r="AG426" s="153"/>
      <c r="AH426" s="153"/>
      <c r="AI426" s="153"/>
      <c r="AJ426" s="153"/>
      <c r="AK426" s="153"/>
      <c r="AL426" s="153"/>
      <c r="AM426" s="153"/>
      <c r="AN426" s="153"/>
      <c r="AO426" s="153"/>
      <c r="AP426" s="153"/>
    </row>
    <row r="427" spans="4:42" ht="15.75" customHeight="1">
      <c r="D427" s="152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  <c r="AC427" s="153"/>
      <c r="AD427" s="153"/>
      <c r="AE427" s="153"/>
      <c r="AF427" s="153"/>
      <c r="AG427" s="153"/>
      <c r="AH427" s="153"/>
      <c r="AI427" s="153"/>
      <c r="AJ427" s="153"/>
      <c r="AK427" s="153"/>
      <c r="AL427" s="153"/>
      <c r="AM427" s="153"/>
      <c r="AN427" s="153"/>
      <c r="AO427" s="153"/>
      <c r="AP427" s="153"/>
    </row>
    <row r="428" spans="4:42" ht="15.75" customHeight="1">
      <c r="D428" s="152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  <c r="AC428" s="153"/>
      <c r="AD428" s="153"/>
      <c r="AE428" s="153"/>
      <c r="AF428" s="153"/>
      <c r="AG428" s="153"/>
      <c r="AH428" s="153"/>
      <c r="AI428" s="153"/>
      <c r="AJ428" s="153"/>
      <c r="AK428" s="153"/>
      <c r="AL428" s="153"/>
      <c r="AM428" s="153"/>
      <c r="AN428" s="153"/>
      <c r="AO428" s="153"/>
      <c r="AP428" s="153"/>
    </row>
    <row r="429" spans="4:42" ht="15.75" customHeight="1">
      <c r="D429" s="152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  <c r="AC429" s="153"/>
      <c r="AD429" s="153"/>
      <c r="AE429" s="153"/>
      <c r="AF429" s="153"/>
      <c r="AG429" s="153"/>
      <c r="AH429" s="153"/>
      <c r="AI429" s="153"/>
      <c r="AJ429" s="153"/>
      <c r="AK429" s="153"/>
      <c r="AL429" s="153"/>
      <c r="AM429" s="153"/>
      <c r="AN429" s="153"/>
      <c r="AO429" s="153"/>
      <c r="AP429" s="153"/>
    </row>
    <row r="430" spans="4:42" ht="15.75" customHeight="1">
      <c r="D430" s="152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  <c r="AC430" s="153"/>
      <c r="AD430" s="153"/>
      <c r="AE430" s="153"/>
      <c r="AF430" s="153"/>
      <c r="AG430" s="153"/>
      <c r="AH430" s="153"/>
      <c r="AI430" s="153"/>
      <c r="AJ430" s="153"/>
      <c r="AK430" s="153"/>
      <c r="AL430" s="153"/>
      <c r="AM430" s="153"/>
      <c r="AN430" s="153"/>
      <c r="AO430" s="153"/>
      <c r="AP430" s="153"/>
    </row>
    <row r="431" spans="4:42" ht="15.75" customHeight="1">
      <c r="D431" s="152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  <c r="AC431" s="153"/>
      <c r="AD431" s="153"/>
      <c r="AE431" s="153"/>
      <c r="AF431" s="153"/>
      <c r="AG431" s="153"/>
      <c r="AH431" s="153"/>
      <c r="AI431" s="153"/>
      <c r="AJ431" s="153"/>
      <c r="AK431" s="153"/>
      <c r="AL431" s="153"/>
      <c r="AM431" s="153"/>
      <c r="AN431" s="153"/>
      <c r="AO431" s="153"/>
      <c r="AP431" s="153"/>
    </row>
    <row r="432" spans="4:42" ht="15.75" customHeight="1">
      <c r="D432" s="152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  <c r="AC432" s="153"/>
      <c r="AD432" s="153"/>
      <c r="AE432" s="153"/>
      <c r="AF432" s="153"/>
      <c r="AG432" s="153"/>
      <c r="AH432" s="153"/>
      <c r="AI432" s="153"/>
      <c r="AJ432" s="153"/>
      <c r="AK432" s="153"/>
      <c r="AL432" s="153"/>
      <c r="AM432" s="153"/>
      <c r="AN432" s="153"/>
      <c r="AO432" s="153"/>
      <c r="AP432" s="153"/>
    </row>
    <row r="433" spans="4:42" ht="15.75" customHeight="1">
      <c r="D433" s="152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  <c r="AC433" s="153"/>
      <c r="AD433" s="153"/>
      <c r="AE433" s="153"/>
      <c r="AF433" s="153"/>
      <c r="AG433" s="153"/>
      <c r="AH433" s="153"/>
      <c r="AI433" s="153"/>
      <c r="AJ433" s="153"/>
      <c r="AK433" s="153"/>
      <c r="AL433" s="153"/>
      <c r="AM433" s="153"/>
      <c r="AN433" s="153"/>
      <c r="AO433" s="153"/>
      <c r="AP433" s="153"/>
    </row>
    <row r="434" spans="4:42" ht="15.75" customHeight="1">
      <c r="D434" s="152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  <c r="AC434" s="153"/>
      <c r="AD434" s="153"/>
      <c r="AE434" s="153"/>
      <c r="AF434" s="153"/>
      <c r="AG434" s="153"/>
      <c r="AH434" s="153"/>
      <c r="AI434" s="153"/>
      <c r="AJ434" s="153"/>
      <c r="AK434" s="153"/>
      <c r="AL434" s="153"/>
      <c r="AM434" s="153"/>
      <c r="AN434" s="153"/>
      <c r="AO434" s="153"/>
      <c r="AP434" s="153"/>
    </row>
    <row r="435" spans="4:42" ht="15.75" customHeight="1">
      <c r="D435" s="152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  <c r="AC435" s="153"/>
      <c r="AD435" s="153"/>
      <c r="AE435" s="153"/>
      <c r="AF435" s="153"/>
      <c r="AG435" s="153"/>
      <c r="AH435" s="153"/>
      <c r="AI435" s="153"/>
      <c r="AJ435" s="153"/>
      <c r="AK435" s="153"/>
      <c r="AL435" s="153"/>
      <c r="AM435" s="153"/>
      <c r="AN435" s="153"/>
      <c r="AO435" s="153"/>
      <c r="AP435" s="153"/>
    </row>
    <row r="436" spans="4:42" ht="15.75" customHeight="1">
      <c r="D436" s="152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3"/>
      <c r="AG436" s="153"/>
      <c r="AH436" s="153"/>
      <c r="AI436" s="153"/>
      <c r="AJ436" s="153"/>
      <c r="AK436" s="153"/>
      <c r="AL436" s="153"/>
      <c r="AM436" s="153"/>
      <c r="AN436" s="153"/>
      <c r="AO436" s="153"/>
      <c r="AP436" s="153"/>
    </row>
    <row r="437" spans="4:42" ht="15.75" customHeight="1">
      <c r="D437" s="152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  <c r="AC437" s="153"/>
      <c r="AD437" s="153"/>
      <c r="AE437" s="153"/>
      <c r="AF437" s="153"/>
      <c r="AG437" s="153"/>
      <c r="AH437" s="153"/>
      <c r="AI437" s="153"/>
      <c r="AJ437" s="153"/>
      <c r="AK437" s="153"/>
      <c r="AL437" s="153"/>
      <c r="AM437" s="153"/>
      <c r="AN437" s="153"/>
      <c r="AO437" s="153"/>
      <c r="AP437" s="153"/>
    </row>
    <row r="438" spans="4:42" ht="15.75" customHeight="1">
      <c r="D438" s="152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3"/>
      <c r="AH438" s="153"/>
      <c r="AI438" s="153"/>
      <c r="AJ438" s="153"/>
      <c r="AK438" s="153"/>
      <c r="AL438" s="153"/>
      <c r="AM438" s="153"/>
      <c r="AN438" s="153"/>
      <c r="AO438" s="153"/>
      <c r="AP438" s="153"/>
    </row>
    <row r="439" spans="4:42" ht="15.75" customHeight="1">
      <c r="D439" s="152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  <c r="AC439" s="153"/>
      <c r="AD439" s="153"/>
      <c r="AE439" s="153"/>
      <c r="AF439" s="153"/>
      <c r="AG439" s="153"/>
      <c r="AH439" s="153"/>
      <c r="AI439" s="153"/>
      <c r="AJ439" s="153"/>
      <c r="AK439" s="153"/>
      <c r="AL439" s="153"/>
      <c r="AM439" s="153"/>
      <c r="AN439" s="153"/>
      <c r="AO439" s="153"/>
      <c r="AP439" s="153"/>
    </row>
    <row r="440" spans="4:42" ht="15.75" customHeight="1">
      <c r="D440" s="152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  <c r="AC440" s="153"/>
      <c r="AD440" s="153"/>
      <c r="AE440" s="153"/>
      <c r="AF440" s="153"/>
      <c r="AG440" s="153"/>
      <c r="AH440" s="153"/>
      <c r="AI440" s="153"/>
      <c r="AJ440" s="153"/>
      <c r="AK440" s="153"/>
      <c r="AL440" s="153"/>
      <c r="AM440" s="153"/>
      <c r="AN440" s="153"/>
      <c r="AO440" s="153"/>
      <c r="AP440" s="153"/>
    </row>
    <row r="441" spans="4:42" ht="15.75" customHeight="1">
      <c r="D441" s="152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  <c r="AC441" s="153"/>
      <c r="AD441" s="153"/>
      <c r="AE441" s="153"/>
      <c r="AF441" s="153"/>
      <c r="AG441" s="153"/>
      <c r="AH441" s="153"/>
      <c r="AI441" s="153"/>
      <c r="AJ441" s="153"/>
      <c r="AK441" s="153"/>
      <c r="AL441" s="153"/>
      <c r="AM441" s="153"/>
      <c r="AN441" s="153"/>
      <c r="AO441" s="153"/>
      <c r="AP441" s="153"/>
    </row>
    <row r="442" spans="4:42" ht="15.75" customHeight="1">
      <c r="D442" s="152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  <c r="AC442" s="153"/>
      <c r="AD442" s="153"/>
      <c r="AE442" s="153"/>
      <c r="AF442" s="153"/>
      <c r="AG442" s="153"/>
      <c r="AH442" s="153"/>
      <c r="AI442" s="153"/>
      <c r="AJ442" s="153"/>
      <c r="AK442" s="153"/>
      <c r="AL442" s="153"/>
      <c r="AM442" s="153"/>
      <c r="AN442" s="153"/>
      <c r="AO442" s="153"/>
      <c r="AP442" s="153"/>
    </row>
    <row r="443" spans="4:42" ht="15.75" customHeight="1">
      <c r="D443" s="152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  <c r="AC443" s="153"/>
      <c r="AD443" s="153"/>
      <c r="AE443" s="153"/>
      <c r="AF443" s="153"/>
      <c r="AG443" s="153"/>
      <c r="AH443" s="153"/>
      <c r="AI443" s="153"/>
      <c r="AJ443" s="153"/>
      <c r="AK443" s="153"/>
      <c r="AL443" s="153"/>
      <c r="AM443" s="153"/>
      <c r="AN443" s="153"/>
      <c r="AO443" s="153"/>
      <c r="AP443" s="153"/>
    </row>
    <row r="444" spans="4:42" ht="15.75" customHeight="1">
      <c r="D444" s="152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  <c r="AC444" s="153"/>
      <c r="AD444" s="153"/>
      <c r="AE444" s="153"/>
      <c r="AF444" s="153"/>
      <c r="AG444" s="153"/>
      <c r="AH444" s="153"/>
      <c r="AI444" s="153"/>
      <c r="AJ444" s="153"/>
      <c r="AK444" s="153"/>
      <c r="AL444" s="153"/>
      <c r="AM444" s="153"/>
      <c r="AN444" s="153"/>
      <c r="AO444" s="153"/>
      <c r="AP444" s="153"/>
    </row>
    <row r="445" spans="4:42" ht="15.75" customHeight="1">
      <c r="D445" s="152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  <c r="AC445" s="153"/>
      <c r="AD445" s="153"/>
      <c r="AE445" s="153"/>
      <c r="AF445" s="153"/>
      <c r="AG445" s="153"/>
      <c r="AH445" s="153"/>
      <c r="AI445" s="153"/>
      <c r="AJ445" s="153"/>
      <c r="AK445" s="153"/>
      <c r="AL445" s="153"/>
      <c r="AM445" s="153"/>
      <c r="AN445" s="153"/>
      <c r="AO445" s="153"/>
      <c r="AP445" s="153"/>
    </row>
    <row r="446" spans="4:42" ht="15.75" customHeight="1">
      <c r="D446" s="152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  <c r="AC446" s="153"/>
      <c r="AD446" s="153"/>
      <c r="AE446" s="153"/>
      <c r="AF446" s="153"/>
      <c r="AG446" s="153"/>
      <c r="AH446" s="153"/>
      <c r="AI446" s="153"/>
      <c r="AJ446" s="153"/>
      <c r="AK446" s="153"/>
      <c r="AL446" s="153"/>
      <c r="AM446" s="153"/>
      <c r="AN446" s="153"/>
      <c r="AO446" s="153"/>
      <c r="AP446" s="153"/>
    </row>
    <row r="447" spans="4:42" ht="15.75" customHeight="1">
      <c r="D447" s="152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  <c r="AC447" s="153"/>
      <c r="AD447" s="153"/>
      <c r="AE447" s="153"/>
      <c r="AF447" s="153"/>
      <c r="AG447" s="153"/>
      <c r="AH447" s="153"/>
      <c r="AI447" s="153"/>
      <c r="AJ447" s="153"/>
      <c r="AK447" s="153"/>
      <c r="AL447" s="153"/>
      <c r="AM447" s="153"/>
      <c r="AN447" s="153"/>
      <c r="AO447" s="153"/>
      <c r="AP447" s="153"/>
    </row>
    <row r="448" spans="4:42" ht="15.75" customHeight="1">
      <c r="D448" s="152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  <c r="AC448" s="153"/>
      <c r="AD448" s="153"/>
      <c r="AE448" s="153"/>
      <c r="AF448" s="153"/>
      <c r="AG448" s="153"/>
      <c r="AH448" s="153"/>
      <c r="AI448" s="153"/>
      <c r="AJ448" s="153"/>
      <c r="AK448" s="153"/>
      <c r="AL448" s="153"/>
      <c r="AM448" s="153"/>
      <c r="AN448" s="153"/>
      <c r="AO448" s="153"/>
      <c r="AP448" s="153"/>
    </row>
    <row r="449" spans="4:42" ht="15.75" customHeight="1">
      <c r="D449" s="152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  <c r="AC449" s="153"/>
      <c r="AD449" s="153"/>
      <c r="AE449" s="153"/>
      <c r="AF449" s="153"/>
      <c r="AG449" s="153"/>
      <c r="AH449" s="153"/>
      <c r="AI449" s="153"/>
      <c r="AJ449" s="153"/>
      <c r="AK449" s="153"/>
      <c r="AL449" s="153"/>
      <c r="AM449" s="153"/>
      <c r="AN449" s="153"/>
      <c r="AO449" s="153"/>
      <c r="AP449" s="153"/>
    </row>
    <row r="450" spans="4:42" ht="15.75" customHeight="1">
      <c r="D450" s="152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  <c r="AC450" s="153"/>
      <c r="AD450" s="153"/>
      <c r="AE450" s="153"/>
      <c r="AF450" s="153"/>
      <c r="AG450" s="153"/>
      <c r="AH450" s="153"/>
      <c r="AI450" s="153"/>
      <c r="AJ450" s="153"/>
      <c r="AK450" s="153"/>
      <c r="AL450" s="153"/>
      <c r="AM450" s="153"/>
      <c r="AN450" s="153"/>
      <c r="AO450" s="153"/>
      <c r="AP450" s="153"/>
    </row>
    <row r="451" spans="4:42" ht="15.75" customHeight="1">
      <c r="D451" s="152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  <c r="AC451" s="153"/>
      <c r="AD451" s="153"/>
      <c r="AE451" s="153"/>
      <c r="AF451" s="153"/>
      <c r="AG451" s="153"/>
      <c r="AH451" s="153"/>
      <c r="AI451" s="153"/>
      <c r="AJ451" s="153"/>
      <c r="AK451" s="153"/>
      <c r="AL451" s="153"/>
      <c r="AM451" s="153"/>
      <c r="AN451" s="153"/>
      <c r="AO451" s="153"/>
      <c r="AP451" s="153"/>
    </row>
    <row r="452" spans="4:42" ht="15.75" customHeight="1">
      <c r="D452" s="152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  <c r="AC452" s="153"/>
      <c r="AD452" s="153"/>
      <c r="AE452" s="153"/>
      <c r="AF452" s="153"/>
      <c r="AG452" s="153"/>
      <c r="AH452" s="153"/>
      <c r="AI452" s="153"/>
      <c r="AJ452" s="153"/>
      <c r="AK452" s="153"/>
      <c r="AL452" s="153"/>
      <c r="AM452" s="153"/>
      <c r="AN452" s="153"/>
      <c r="AO452" s="153"/>
      <c r="AP452" s="153"/>
    </row>
    <row r="453" spans="4:42" ht="15.75" customHeight="1">
      <c r="D453" s="152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  <c r="AC453" s="153"/>
      <c r="AD453" s="153"/>
      <c r="AE453" s="153"/>
      <c r="AF453" s="153"/>
      <c r="AG453" s="153"/>
      <c r="AH453" s="153"/>
      <c r="AI453" s="153"/>
      <c r="AJ453" s="153"/>
      <c r="AK453" s="153"/>
      <c r="AL453" s="153"/>
      <c r="AM453" s="153"/>
      <c r="AN453" s="153"/>
      <c r="AO453" s="153"/>
      <c r="AP453" s="153"/>
    </row>
    <row r="454" spans="4:42" ht="15.75" customHeight="1">
      <c r="D454" s="152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  <c r="AC454" s="153"/>
      <c r="AD454" s="153"/>
      <c r="AE454" s="153"/>
      <c r="AF454" s="153"/>
      <c r="AG454" s="153"/>
      <c r="AH454" s="153"/>
      <c r="AI454" s="153"/>
      <c r="AJ454" s="153"/>
      <c r="AK454" s="153"/>
      <c r="AL454" s="153"/>
      <c r="AM454" s="153"/>
      <c r="AN454" s="153"/>
      <c r="AO454" s="153"/>
      <c r="AP454" s="153"/>
    </row>
    <row r="455" spans="4:42" ht="15.75" customHeight="1">
      <c r="D455" s="152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  <c r="AC455" s="153"/>
      <c r="AD455" s="153"/>
      <c r="AE455" s="153"/>
      <c r="AF455" s="153"/>
      <c r="AG455" s="153"/>
      <c r="AH455" s="153"/>
      <c r="AI455" s="153"/>
      <c r="AJ455" s="153"/>
      <c r="AK455" s="153"/>
      <c r="AL455" s="153"/>
      <c r="AM455" s="153"/>
      <c r="AN455" s="153"/>
      <c r="AO455" s="153"/>
      <c r="AP455" s="153"/>
    </row>
    <row r="456" spans="4:42" ht="15.75" customHeight="1">
      <c r="D456" s="152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  <c r="AC456" s="153"/>
      <c r="AD456" s="153"/>
      <c r="AE456" s="153"/>
      <c r="AF456" s="153"/>
      <c r="AG456" s="153"/>
      <c r="AH456" s="153"/>
      <c r="AI456" s="153"/>
      <c r="AJ456" s="153"/>
      <c r="AK456" s="153"/>
      <c r="AL456" s="153"/>
      <c r="AM456" s="153"/>
      <c r="AN456" s="153"/>
      <c r="AO456" s="153"/>
      <c r="AP456" s="153"/>
    </row>
    <row r="457" spans="4:42" ht="15.75" customHeight="1">
      <c r="D457" s="152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  <c r="AC457" s="153"/>
      <c r="AD457" s="153"/>
      <c r="AE457" s="153"/>
      <c r="AF457" s="153"/>
      <c r="AG457" s="153"/>
      <c r="AH457" s="153"/>
      <c r="AI457" s="153"/>
      <c r="AJ457" s="153"/>
      <c r="AK457" s="153"/>
      <c r="AL457" s="153"/>
      <c r="AM457" s="153"/>
      <c r="AN457" s="153"/>
      <c r="AO457" s="153"/>
      <c r="AP457" s="153"/>
    </row>
    <row r="458" spans="4:42" ht="15.75" customHeight="1">
      <c r="D458" s="152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  <c r="AC458" s="153"/>
      <c r="AD458" s="153"/>
      <c r="AE458" s="153"/>
      <c r="AF458" s="153"/>
      <c r="AG458" s="153"/>
      <c r="AH458" s="153"/>
      <c r="AI458" s="153"/>
      <c r="AJ458" s="153"/>
      <c r="AK458" s="153"/>
      <c r="AL458" s="153"/>
      <c r="AM458" s="153"/>
      <c r="AN458" s="153"/>
      <c r="AO458" s="153"/>
      <c r="AP458" s="153"/>
    </row>
    <row r="459" spans="4:42" ht="15.75" customHeight="1">
      <c r="D459" s="152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  <c r="AC459" s="153"/>
      <c r="AD459" s="153"/>
      <c r="AE459" s="153"/>
      <c r="AF459" s="153"/>
      <c r="AG459" s="153"/>
      <c r="AH459" s="153"/>
      <c r="AI459" s="153"/>
      <c r="AJ459" s="153"/>
      <c r="AK459" s="153"/>
      <c r="AL459" s="153"/>
      <c r="AM459" s="153"/>
      <c r="AN459" s="153"/>
      <c r="AO459" s="153"/>
      <c r="AP459" s="153"/>
    </row>
    <row r="460" spans="4:42" ht="15.75" customHeight="1">
      <c r="D460" s="152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  <c r="AC460" s="153"/>
      <c r="AD460" s="153"/>
      <c r="AE460" s="153"/>
      <c r="AF460" s="153"/>
      <c r="AG460" s="153"/>
      <c r="AH460" s="153"/>
      <c r="AI460" s="153"/>
      <c r="AJ460" s="153"/>
      <c r="AK460" s="153"/>
      <c r="AL460" s="153"/>
      <c r="AM460" s="153"/>
      <c r="AN460" s="153"/>
      <c r="AO460" s="153"/>
      <c r="AP460" s="153"/>
    </row>
    <row r="461" spans="4:42" ht="15.75" customHeight="1">
      <c r="D461" s="152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  <c r="AC461" s="153"/>
      <c r="AD461" s="153"/>
      <c r="AE461" s="153"/>
      <c r="AF461" s="153"/>
      <c r="AG461" s="153"/>
      <c r="AH461" s="153"/>
      <c r="AI461" s="153"/>
      <c r="AJ461" s="153"/>
      <c r="AK461" s="153"/>
      <c r="AL461" s="153"/>
      <c r="AM461" s="153"/>
      <c r="AN461" s="153"/>
      <c r="AO461" s="153"/>
      <c r="AP461" s="153"/>
    </row>
    <row r="462" spans="4:42" ht="15.75" customHeight="1">
      <c r="D462" s="152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  <c r="AC462" s="153"/>
      <c r="AD462" s="153"/>
      <c r="AE462" s="153"/>
      <c r="AF462" s="153"/>
      <c r="AG462" s="153"/>
      <c r="AH462" s="153"/>
      <c r="AI462" s="153"/>
      <c r="AJ462" s="153"/>
      <c r="AK462" s="153"/>
      <c r="AL462" s="153"/>
      <c r="AM462" s="153"/>
      <c r="AN462" s="153"/>
      <c r="AO462" s="153"/>
      <c r="AP462" s="153"/>
    </row>
    <row r="463" spans="4:42" ht="15.75" customHeight="1">
      <c r="D463" s="152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  <c r="AC463" s="153"/>
      <c r="AD463" s="153"/>
      <c r="AE463" s="153"/>
      <c r="AF463" s="153"/>
      <c r="AG463" s="153"/>
      <c r="AH463" s="153"/>
      <c r="AI463" s="153"/>
      <c r="AJ463" s="153"/>
      <c r="AK463" s="153"/>
      <c r="AL463" s="153"/>
      <c r="AM463" s="153"/>
      <c r="AN463" s="153"/>
      <c r="AO463" s="153"/>
      <c r="AP463" s="153"/>
    </row>
    <row r="464" spans="4:42" ht="15.75" customHeight="1">
      <c r="D464" s="152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  <c r="AC464" s="153"/>
      <c r="AD464" s="153"/>
      <c r="AE464" s="153"/>
      <c r="AF464" s="153"/>
      <c r="AG464" s="153"/>
      <c r="AH464" s="153"/>
      <c r="AI464" s="153"/>
      <c r="AJ464" s="153"/>
      <c r="AK464" s="153"/>
      <c r="AL464" s="153"/>
      <c r="AM464" s="153"/>
      <c r="AN464" s="153"/>
      <c r="AO464" s="153"/>
      <c r="AP464" s="153"/>
    </row>
    <row r="465" spans="4:42" ht="15.75" customHeight="1">
      <c r="D465" s="152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  <c r="AC465" s="153"/>
      <c r="AD465" s="153"/>
      <c r="AE465" s="153"/>
      <c r="AF465" s="153"/>
      <c r="AG465" s="153"/>
      <c r="AH465" s="153"/>
      <c r="AI465" s="153"/>
      <c r="AJ465" s="153"/>
      <c r="AK465" s="153"/>
      <c r="AL465" s="153"/>
      <c r="AM465" s="153"/>
      <c r="AN465" s="153"/>
      <c r="AO465" s="153"/>
      <c r="AP465" s="153"/>
    </row>
    <row r="466" spans="4:42" ht="15.75" customHeight="1">
      <c r="D466" s="152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  <c r="AC466" s="153"/>
      <c r="AD466" s="153"/>
      <c r="AE466" s="153"/>
      <c r="AF466" s="153"/>
      <c r="AG466" s="153"/>
      <c r="AH466" s="153"/>
      <c r="AI466" s="153"/>
      <c r="AJ466" s="153"/>
      <c r="AK466" s="153"/>
      <c r="AL466" s="153"/>
      <c r="AM466" s="153"/>
      <c r="AN466" s="153"/>
      <c r="AO466" s="153"/>
      <c r="AP466" s="153"/>
    </row>
    <row r="467" spans="4:42" ht="15.75" customHeight="1">
      <c r="D467" s="152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  <c r="AC467" s="153"/>
      <c r="AD467" s="153"/>
      <c r="AE467" s="153"/>
      <c r="AF467" s="153"/>
      <c r="AG467" s="153"/>
      <c r="AH467" s="153"/>
      <c r="AI467" s="153"/>
      <c r="AJ467" s="153"/>
      <c r="AK467" s="153"/>
      <c r="AL467" s="153"/>
      <c r="AM467" s="153"/>
      <c r="AN467" s="153"/>
      <c r="AO467" s="153"/>
      <c r="AP467" s="153"/>
    </row>
    <row r="468" spans="4:42" ht="15.75" customHeight="1">
      <c r="D468" s="152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  <c r="AC468" s="153"/>
      <c r="AD468" s="153"/>
      <c r="AE468" s="153"/>
      <c r="AF468" s="153"/>
      <c r="AG468" s="153"/>
      <c r="AH468" s="153"/>
      <c r="AI468" s="153"/>
      <c r="AJ468" s="153"/>
      <c r="AK468" s="153"/>
      <c r="AL468" s="153"/>
      <c r="AM468" s="153"/>
      <c r="AN468" s="153"/>
      <c r="AO468" s="153"/>
      <c r="AP468" s="153"/>
    </row>
    <row r="469" spans="4:42" ht="15.75" customHeight="1">
      <c r="D469" s="152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  <c r="AC469" s="153"/>
      <c r="AD469" s="153"/>
      <c r="AE469" s="153"/>
      <c r="AF469" s="153"/>
      <c r="AG469" s="153"/>
      <c r="AH469" s="153"/>
      <c r="AI469" s="153"/>
      <c r="AJ469" s="153"/>
      <c r="AK469" s="153"/>
      <c r="AL469" s="153"/>
      <c r="AM469" s="153"/>
      <c r="AN469" s="153"/>
      <c r="AO469" s="153"/>
      <c r="AP469" s="153"/>
    </row>
    <row r="470" spans="4:42" ht="15.75" customHeight="1">
      <c r="D470" s="152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  <c r="AC470" s="153"/>
      <c r="AD470" s="153"/>
      <c r="AE470" s="153"/>
      <c r="AF470" s="153"/>
      <c r="AG470" s="153"/>
      <c r="AH470" s="153"/>
      <c r="AI470" s="153"/>
      <c r="AJ470" s="153"/>
      <c r="AK470" s="153"/>
      <c r="AL470" s="153"/>
      <c r="AM470" s="153"/>
      <c r="AN470" s="153"/>
      <c r="AO470" s="153"/>
      <c r="AP470" s="153"/>
    </row>
    <row r="471" spans="4:42" ht="15.75" customHeight="1">
      <c r="D471" s="152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  <c r="AC471" s="153"/>
      <c r="AD471" s="153"/>
      <c r="AE471" s="153"/>
      <c r="AF471" s="153"/>
      <c r="AG471" s="153"/>
      <c r="AH471" s="153"/>
      <c r="AI471" s="153"/>
      <c r="AJ471" s="153"/>
      <c r="AK471" s="153"/>
      <c r="AL471" s="153"/>
      <c r="AM471" s="153"/>
      <c r="AN471" s="153"/>
      <c r="AO471" s="153"/>
      <c r="AP471" s="153"/>
    </row>
    <row r="472" spans="4:42" ht="15.75" customHeight="1">
      <c r="D472" s="152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  <c r="AC472" s="153"/>
      <c r="AD472" s="153"/>
      <c r="AE472" s="153"/>
      <c r="AF472" s="153"/>
      <c r="AG472" s="153"/>
      <c r="AH472" s="153"/>
      <c r="AI472" s="153"/>
      <c r="AJ472" s="153"/>
      <c r="AK472" s="153"/>
      <c r="AL472" s="153"/>
      <c r="AM472" s="153"/>
      <c r="AN472" s="153"/>
      <c r="AO472" s="153"/>
      <c r="AP472" s="153"/>
    </row>
    <row r="473" spans="4:42" ht="15.75" customHeight="1">
      <c r="D473" s="152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  <c r="AC473" s="153"/>
      <c r="AD473" s="153"/>
      <c r="AE473" s="153"/>
      <c r="AF473" s="153"/>
      <c r="AG473" s="153"/>
      <c r="AH473" s="153"/>
      <c r="AI473" s="153"/>
      <c r="AJ473" s="153"/>
      <c r="AK473" s="153"/>
      <c r="AL473" s="153"/>
      <c r="AM473" s="153"/>
      <c r="AN473" s="153"/>
      <c r="AO473" s="153"/>
      <c r="AP473" s="153"/>
    </row>
    <row r="474" spans="4:42" ht="15.75" customHeight="1">
      <c r="D474" s="152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  <c r="AC474" s="153"/>
      <c r="AD474" s="153"/>
      <c r="AE474" s="153"/>
      <c r="AF474" s="153"/>
      <c r="AG474" s="153"/>
      <c r="AH474" s="153"/>
      <c r="AI474" s="153"/>
      <c r="AJ474" s="153"/>
      <c r="AK474" s="153"/>
      <c r="AL474" s="153"/>
      <c r="AM474" s="153"/>
      <c r="AN474" s="153"/>
      <c r="AO474" s="153"/>
      <c r="AP474" s="153"/>
    </row>
    <row r="475" spans="4:42" ht="15.75" customHeight="1">
      <c r="D475" s="152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  <c r="AC475" s="153"/>
      <c r="AD475" s="153"/>
      <c r="AE475" s="153"/>
      <c r="AF475" s="153"/>
      <c r="AG475" s="153"/>
      <c r="AH475" s="153"/>
      <c r="AI475" s="153"/>
      <c r="AJ475" s="153"/>
      <c r="AK475" s="153"/>
      <c r="AL475" s="153"/>
      <c r="AM475" s="153"/>
      <c r="AN475" s="153"/>
      <c r="AO475" s="153"/>
      <c r="AP475" s="153"/>
    </row>
    <row r="476" spans="4:42" ht="15.75" customHeight="1">
      <c r="D476" s="152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  <c r="AC476" s="153"/>
      <c r="AD476" s="153"/>
      <c r="AE476" s="153"/>
      <c r="AF476" s="153"/>
      <c r="AG476" s="153"/>
      <c r="AH476" s="153"/>
      <c r="AI476" s="153"/>
      <c r="AJ476" s="153"/>
      <c r="AK476" s="153"/>
      <c r="AL476" s="153"/>
      <c r="AM476" s="153"/>
      <c r="AN476" s="153"/>
      <c r="AO476" s="153"/>
      <c r="AP476" s="153"/>
    </row>
    <row r="477" spans="4:42" ht="15.75" customHeight="1">
      <c r="D477" s="152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  <c r="AC477" s="153"/>
      <c r="AD477" s="153"/>
      <c r="AE477" s="153"/>
      <c r="AF477" s="153"/>
      <c r="AG477" s="153"/>
      <c r="AH477" s="153"/>
      <c r="AI477" s="153"/>
      <c r="AJ477" s="153"/>
      <c r="AK477" s="153"/>
      <c r="AL477" s="153"/>
      <c r="AM477" s="153"/>
      <c r="AN477" s="153"/>
      <c r="AO477" s="153"/>
      <c r="AP477" s="153"/>
    </row>
    <row r="478" spans="4:42" ht="15.75" customHeight="1">
      <c r="D478" s="152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  <c r="AC478" s="153"/>
      <c r="AD478" s="153"/>
      <c r="AE478" s="153"/>
      <c r="AF478" s="153"/>
      <c r="AG478" s="153"/>
      <c r="AH478" s="153"/>
      <c r="AI478" s="153"/>
      <c r="AJ478" s="153"/>
      <c r="AK478" s="153"/>
      <c r="AL478" s="153"/>
      <c r="AM478" s="153"/>
      <c r="AN478" s="153"/>
      <c r="AO478" s="153"/>
      <c r="AP478" s="153"/>
    </row>
    <row r="479" spans="4:42" ht="15.75" customHeight="1">
      <c r="D479" s="152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  <c r="AC479" s="153"/>
      <c r="AD479" s="153"/>
      <c r="AE479" s="153"/>
      <c r="AF479" s="153"/>
      <c r="AG479" s="153"/>
      <c r="AH479" s="153"/>
      <c r="AI479" s="153"/>
      <c r="AJ479" s="153"/>
      <c r="AK479" s="153"/>
      <c r="AL479" s="153"/>
      <c r="AM479" s="153"/>
      <c r="AN479" s="153"/>
      <c r="AO479" s="153"/>
      <c r="AP479" s="153"/>
    </row>
    <row r="480" spans="4:42" ht="15.75" customHeight="1">
      <c r="D480" s="152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  <c r="AC480" s="153"/>
      <c r="AD480" s="153"/>
      <c r="AE480" s="153"/>
      <c r="AF480" s="153"/>
      <c r="AG480" s="153"/>
      <c r="AH480" s="153"/>
      <c r="AI480" s="153"/>
      <c r="AJ480" s="153"/>
      <c r="AK480" s="153"/>
      <c r="AL480" s="153"/>
      <c r="AM480" s="153"/>
      <c r="AN480" s="153"/>
      <c r="AO480" s="153"/>
      <c r="AP480" s="153"/>
    </row>
    <row r="481" spans="4:42" ht="15.75" customHeight="1">
      <c r="D481" s="152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  <c r="AC481" s="153"/>
      <c r="AD481" s="153"/>
      <c r="AE481" s="153"/>
      <c r="AF481" s="153"/>
      <c r="AG481" s="153"/>
      <c r="AH481" s="153"/>
      <c r="AI481" s="153"/>
      <c r="AJ481" s="153"/>
      <c r="AK481" s="153"/>
      <c r="AL481" s="153"/>
      <c r="AM481" s="153"/>
      <c r="AN481" s="153"/>
      <c r="AO481" s="153"/>
      <c r="AP481" s="153"/>
    </row>
    <row r="482" spans="4:42" ht="15.75" customHeight="1">
      <c r="D482" s="152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  <c r="AC482" s="153"/>
      <c r="AD482" s="153"/>
      <c r="AE482" s="153"/>
      <c r="AF482" s="153"/>
      <c r="AG482" s="153"/>
      <c r="AH482" s="153"/>
      <c r="AI482" s="153"/>
      <c r="AJ482" s="153"/>
      <c r="AK482" s="153"/>
      <c r="AL482" s="153"/>
      <c r="AM482" s="153"/>
      <c r="AN482" s="153"/>
      <c r="AO482" s="153"/>
      <c r="AP482" s="153"/>
    </row>
    <row r="483" spans="4:42" ht="15.75" customHeight="1">
      <c r="D483" s="152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  <c r="AC483" s="153"/>
      <c r="AD483" s="153"/>
      <c r="AE483" s="153"/>
      <c r="AF483" s="153"/>
      <c r="AG483" s="153"/>
      <c r="AH483" s="153"/>
      <c r="AI483" s="153"/>
      <c r="AJ483" s="153"/>
      <c r="AK483" s="153"/>
      <c r="AL483" s="153"/>
      <c r="AM483" s="153"/>
      <c r="AN483" s="153"/>
      <c r="AO483" s="153"/>
      <c r="AP483" s="153"/>
    </row>
    <row r="484" spans="4:42" ht="15.75" customHeight="1">
      <c r="D484" s="152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  <c r="AC484" s="153"/>
      <c r="AD484" s="153"/>
      <c r="AE484" s="153"/>
      <c r="AF484" s="153"/>
      <c r="AG484" s="153"/>
      <c r="AH484" s="153"/>
      <c r="AI484" s="153"/>
      <c r="AJ484" s="153"/>
      <c r="AK484" s="153"/>
      <c r="AL484" s="153"/>
      <c r="AM484" s="153"/>
      <c r="AN484" s="153"/>
      <c r="AO484" s="153"/>
      <c r="AP484" s="153"/>
    </row>
    <row r="485" spans="4:42" ht="15.75" customHeight="1">
      <c r="D485" s="152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  <c r="AC485" s="153"/>
      <c r="AD485" s="153"/>
      <c r="AE485" s="153"/>
      <c r="AF485" s="153"/>
      <c r="AG485" s="153"/>
      <c r="AH485" s="153"/>
      <c r="AI485" s="153"/>
      <c r="AJ485" s="153"/>
      <c r="AK485" s="153"/>
      <c r="AL485" s="153"/>
      <c r="AM485" s="153"/>
      <c r="AN485" s="153"/>
      <c r="AO485" s="153"/>
      <c r="AP485" s="153"/>
    </row>
    <row r="486" spans="4:42" ht="15.75" customHeight="1">
      <c r="D486" s="152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  <c r="AC486" s="153"/>
      <c r="AD486" s="153"/>
      <c r="AE486" s="153"/>
      <c r="AF486" s="153"/>
      <c r="AG486" s="153"/>
      <c r="AH486" s="153"/>
      <c r="AI486" s="153"/>
      <c r="AJ486" s="153"/>
      <c r="AK486" s="153"/>
      <c r="AL486" s="153"/>
      <c r="AM486" s="153"/>
      <c r="AN486" s="153"/>
      <c r="AO486" s="153"/>
      <c r="AP486" s="153"/>
    </row>
    <row r="487" spans="4:42" ht="15.75" customHeight="1">
      <c r="D487" s="152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  <c r="AC487" s="153"/>
      <c r="AD487" s="153"/>
      <c r="AE487" s="153"/>
      <c r="AF487" s="153"/>
      <c r="AG487" s="153"/>
      <c r="AH487" s="153"/>
      <c r="AI487" s="153"/>
      <c r="AJ487" s="153"/>
      <c r="AK487" s="153"/>
      <c r="AL487" s="153"/>
      <c r="AM487" s="153"/>
      <c r="AN487" s="153"/>
      <c r="AO487" s="153"/>
      <c r="AP487" s="153"/>
    </row>
    <row r="488" spans="4:42" ht="15.75" customHeight="1">
      <c r="D488" s="152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3"/>
      <c r="AG488" s="153"/>
      <c r="AH488" s="153"/>
      <c r="AI488" s="153"/>
      <c r="AJ488" s="153"/>
      <c r="AK488" s="153"/>
      <c r="AL488" s="153"/>
      <c r="AM488" s="153"/>
      <c r="AN488" s="153"/>
      <c r="AO488" s="153"/>
      <c r="AP488" s="153"/>
    </row>
    <row r="489" spans="4:42" ht="15.75" customHeight="1">
      <c r="D489" s="152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  <c r="AC489" s="153"/>
      <c r="AD489" s="153"/>
      <c r="AE489" s="153"/>
      <c r="AF489" s="153"/>
      <c r="AG489" s="153"/>
      <c r="AH489" s="153"/>
      <c r="AI489" s="153"/>
      <c r="AJ489" s="153"/>
      <c r="AK489" s="153"/>
      <c r="AL489" s="153"/>
      <c r="AM489" s="153"/>
      <c r="AN489" s="153"/>
      <c r="AO489" s="153"/>
      <c r="AP489" s="153"/>
    </row>
    <row r="490" spans="4:42" ht="15.75" customHeight="1">
      <c r="D490" s="152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3"/>
      <c r="AH490" s="153"/>
      <c r="AI490" s="153"/>
      <c r="AJ490" s="153"/>
      <c r="AK490" s="153"/>
      <c r="AL490" s="153"/>
      <c r="AM490" s="153"/>
      <c r="AN490" s="153"/>
      <c r="AO490" s="153"/>
      <c r="AP490" s="153"/>
    </row>
    <row r="491" spans="4:42" ht="15.75" customHeight="1">
      <c r="D491" s="152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  <c r="AC491" s="153"/>
      <c r="AD491" s="153"/>
      <c r="AE491" s="153"/>
      <c r="AF491" s="153"/>
      <c r="AG491" s="153"/>
      <c r="AH491" s="153"/>
      <c r="AI491" s="153"/>
      <c r="AJ491" s="153"/>
      <c r="AK491" s="153"/>
      <c r="AL491" s="153"/>
      <c r="AM491" s="153"/>
      <c r="AN491" s="153"/>
      <c r="AO491" s="153"/>
      <c r="AP491" s="153"/>
    </row>
    <row r="492" spans="4:42" ht="15.75" customHeight="1">
      <c r="D492" s="152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  <c r="AC492" s="153"/>
      <c r="AD492" s="153"/>
      <c r="AE492" s="153"/>
      <c r="AF492" s="153"/>
      <c r="AG492" s="153"/>
      <c r="AH492" s="153"/>
      <c r="AI492" s="153"/>
      <c r="AJ492" s="153"/>
      <c r="AK492" s="153"/>
      <c r="AL492" s="153"/>
      <c r="AM492" s="153"/>
      <c r="AN492" s="153"/>
      <c r="AO492" s="153"/>
      <c r="AP492" s="153"/>
    </row>
    <row r="493" spans="4:42" ht="15.75" customHeight="1">
      <c r="D493" s="152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  <c r="AC493" s="153"/>
      <c r="AD493" s="153"/>
      <c r="AE493" s="153"/>
      <c r="AF493" s="153"/>
      <c r="AG493" s="153"/>
      <c r="AH493" s="153"/>
      <c r="AI493" s="153"/>
      <c r="AJ493" s="153"/>
      <c r="AK493" s="153"/>
      <c r="AL493" s="153"/>
      <c r="AM493" s="153"/>
      <c r="AN493" s="153"/>
      <c r="AO493" s="153"/>
      <c r="AP493" s="153"/>
    </row>
    <row r="494" spans="4:42" ht="15.75" customHeight="1">
      <c r="D494" s="152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  <c r="AC494" s="153"/>
      <c r="AD494" s="153"/>
      <c r="AE494" s="153"/>
      <c r="AF494" s="153"/>
      <c r="AG494" s="153"/>
      <c r="AH494" s="153"/>
      <c r="AI494" s="153"/>
      <c r="AJ494" s="153"/>
      <c r="AK494" s="153"/>
      <c r="AL494" s="153"/>
      <c r="AM494" s="153"/>
      <c r="AN494" s="153"/>
      <c r="AO494" s="153"/>
      <c r="AP494" s="153"/>
    </row>
    <row r="495" spans="4:42" ht="15.75" customHeight="1">
      <c r="D495" s="152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  <c r="AC495" s="153"/>
      <c r="AD495" s="153"/>
      <c r="AE495" s="153"/>
      <c r="AF495" s="153"/>
      <c r="AG495" s="153"/>
      <c r="AH495" s="153"/>
      <c r="AI495" s="153"/>
      <c r="AJ495" s="153"/>
      <c r="AK495" s="153"/>
      <c r="AL495" s="153"/>
      <c r="AM495" s="153"/>
      <c r="AN495" s="153"/>
      <c r="AO495" s="153"/>
      <c r="AP495" s="153"/>
    </row>
    <row r="496" spans="4:42" ht="15.75" customHeight="1">
      <c r="D496" s="152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  <c r="AC496" s="153"/>
      <c r="AD496" s="153"/>
      <c r="AE496" s="153"/>
      <c r="AF496" s="153"/>
      <c r="AG496" s="153"/>
      <c r="AH496" s="153"/>
      <c r="AI496" s="153"/>
      <c r="AJ496" s="153"/>
      <c r="AK496" s="153"/>
      <c r="AL496" s="153"/>
      <c r="AM496" s="153"/>
      <c r="AN496" s="153"/>
      <c r="AO496" s="153"/>
      <c r="AP496" s="153"/>
    </row>
    <row r="497" spans="4:42" ht="15.75" customHeight="1">
      <c r="D497" s="152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  <c r="AD497" s="153"/>
      <c r="AE497" s="153"/>
      <c r="AF497" s="153"/>
      <c r="AG497" s="153"/>
      <c r="AH497" s="153"/>
      <c r="AI497" s="153"/>
      <c r="AJ497" s="153"/>
      <c r="AK497" s="153"/>
      <c r="AL497" s="153"/>
      <c r="AM497" s="153"/>
      <c r="AN497" s="153"/>
      <c r="AO497" s="153"/>
      <c r="AP497" s="153"/>
    </row>
    <row r="498" spans="4:42" ht="15.75" customHeight="1">
      <c r="D498" s="152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  <c r="AC498" s="153"/>
      <c r="AD498" s="153"/>
      <c r="AE498" s="153"/>
      <c r="AF498" s="153"/>
      <c r="AG498" s="153"/>
      <c r="AH498" s="153"/>
      <c r="AI498" s="153"/>
      <c r="AJ498" s="153"/>
      <c r="AK498" s="153"/>
      <c r="AL498" s="153"/>
      <c r="AM498" s="153"/>
      <c r="AN498" s="153"/>
      <c r="AO498" s="153"/>
      <c r="AP498" s="153"/>
    </row>
    <row r="499" spans="4:42" ht="15.75" customHeight="1">
      <c r="D499" s="152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  <c r="AC499" s="153"/>
      <c r="AD499" s="153"/>
      <c r="AE499" s="153"/>
      <c r="AF499" s="153"/>
      <c r="AG499" s="153"/>
      <c r="AH499" s="153"/>
      <c r="AI499" s="153"/>
      <c r="AJ499" s="153"/>
      <c r="AK499" s="153"/>
      <c r="AL499" s="153"/>
      <c r="AM499" s="153"/>
      <c r="AN499" s="153"/>
      <c r="AO499" s="153"/>
      <c r="AP499" s="153"/>
    </row>
    <row r="500" spans="4:42" ht="15.75" customHeight="1">
      <c r="D500" s="152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  <c r="AC500" s="153"/>
      <c r="AD500" s="153"/>
      <c r="AE500" s="153"/>
      <c r="AF500" s="153"/>
      <c r="AG500" s="153"/>
      <c r="AH500" s="153"/>
      <c r="AI500" s="153"/>
      <c r="AJ500" s="153"/>
      <c r="AK500" s="153"/>
      <c r="AL500" s="153"/>
      <c r="AM500" s="153"/>
      <c r="AN500" s="153"/>
      <c r="AO500" s="153"/>
      <c r="AP500" s="153"/>
    </row>
    <row r="501" spans="4:42" ht="15.75" customHeight="1">
      <c r="D501" s="152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  <c r="AC501" s="153"/>
      <c r="AD501" s="153"/>
      <c r="AE501" s="153"/>
      <c r="AF501" s="153"/>
      <c r="AG501" s="153"/>
      <c r="AH501" s="153"/>
      <c r="AI501" s="153"/>
      <c r="AJ501" s="153"/>
      <c r="AK501" s="153"/>
      <c r="AL501" s="153"/>
      <c r="AM501" s="153"/>
      <c r="AN501" s="153"/>
      <c r="AO501" s="153"/>
      <c r="AP501" s="153"/>
    </row>
    <row r="502" spans="4:42" ht="15.75" customHeight="1">
      <c r="D502" s="152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  <c r="AC502" s="153"/>
      <c r="AD502" s="153"/>
      <c r="AE502" s="153"/>
      <c r="AF502" s="153"/>
      <c r="AG502" s="153"/>
      <c r="AH502" s="153"/>
      <c r="AI502" s="153"/>
      <c r="AJ502" s="153"/>
      <c r="AK502" s="153"/>
      <c r="AL502" s="153"/>
      <c r="AM502" s="153"/>
      <c r="AN502" s="153"/>
      <c r="AO502" s="153"/>
      <c r="AP502" s="153"/>
    </row>
    <row r="503" spans="4:42" ht="15.75" customHeight="1">
      <c r="D503" s="152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  <c r="AC503" s="153"/>
      <c r="AD503" s="153"/>
      <c r="AE503" s="153"/>
      <c r="AF503" s="153"/>
      <c r="AG503" s="153"/>
      <c r="AH503" s="153"/>
      <c r="AI503" s="153"/>
      <c r="AJ503" s="153"/>
      <c r="AK503" s="153"/>
      <c r="AL503" s="153"/>
      <c r="AM503" s="153"/>
      <c r="AN503" s="153"/>
      <c r="AO503" s="153"/>
      <c r="AP503" s="153"/>
    </row>
    <row r="504" spans="4:42" ht="15.75" customHeight="1">
      <c r="D504" s="152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  <c r="AC504" s="153"/>
      <c r="AD504" s="153"/>
      <c r="AE504" s="153"/>
      <c r="AF504" s="153"/>
      <c r="AG504" s="153"/>
      <c r="AH504" s="153"/>
      <c r="AI504" s="153"/>
      <c r="AJ504" s="153"/>
      <c r="AK504" s="153"/>
      <c r="AL504" s="153"/>
      <c r="AM504" s="153"/>
      <c r="AN504" s="153"/>
      <c r="AO504" s="153"/>
      <c r="AP504" s="153"/>
    </row>
    <row r="505" spans="4:42" ht="15.75" customHeight="1">
      <c r="D505" s="152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  <c r="AC505" s="153"/>
      <c r="AD505" s="153"/>
      <c r="AE505" s="153"/>
      <c r="AF505" s="153"/>
      <c r="AG505" s="153"/>
      <c r="AH505" s="153"/>
      <c r="AI505" s="153"/>
      <c r="AJ505" s="153"/>
      <c r="AK505" s="153"/>
      <c r="AL505" s="153"/>
      <c r="AM505" s="153"/>
      <c r="AN505" s="153"/>
      <c r="AO505" s="153"/>
      <c r="AP505" s="153"/>
    </row>
    <row r="506" spans="4:42" ht="15.75" customHeight="1">
      <c r="D506" s="152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  <c r="AC506" s="153"/>
      <c r="AD506" s="153"/>
      <c r="AE506" s="153"/>
      <c r="AF506" s="153"/>
      <c r="AG506" s="153"/>
      <c r="AH506" s="153"/>
      <c r="AI506" s="153"/>
      <c r="AJ506" s="153"/>
      <c r="AK506" s="153"/>
      <c r="AL506" s="153"/>
      <c r="AM506" s="153"/>
      <c r="AN506" s="153"/>
      <c r="AO506" s="153"/>
      <c r="AP506" s="153"/>
    </row>
    <row r="507" spans="4:42" ht="15.75" customHeight="1">
      <c r="D507" s="152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  <c r="AC507" s="153"/>
      <c r="AD507" s="153"/>
      <c r="AE507" s="153"/>
      <c r="AF507" s="153"/>
      <c r="AG507" s="153"/>
      <c r="AH507" s="153"/>
      <c r="AI507" s="153"/>
      <c r="AJ507" s="153"/>
      <c r="AK507" s="153"/>
      <c r="AL507" s="153"/>
      <c r="AM507" s="153"/>
      <c r="AN507" s="153"/>
      <c r="AO507" s="153"/>
      <c r="AP507" s="153"/>
    </row>
    <row r="508" spans="4:42" ht="15.75" customHeight="1">
      <c r="D508" s="152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  <c r="AC508" s="153"/>
      <c r="AD508" s="153"/>
      <c r="AE508" s="153"/>
      <c r="AF508" s="153"/>
      <c r="AG508" s="153"/>
      <c r="AH508" s="153"/>
      <c r="AI508" s="153"/>
      <c r="AJ508" s="153"/>
      <c r="AK508" s="153"/>
      <c r="AL508" s="153"/>
      <c r="AM508" s="153"/>
      <c r="AN508" s="153"/>
      <c r="AO508" s="153"/>
      <c r="AP508" s="153"/>
    </row>
    <row r="509" spans="4:42" ht="15.75" customHeight="1">
      <c r="D509" s="152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  <c r="AC509" s="153"/>
      <c r="AD509" s="153"/>
      <c r="AE509" s="153"/>
      <c r="AF509" s="153"/>
      <c r="AG509" s="153"/>
      <c r="AH509" s="153"/>
      <c r="AI509" s="153"/>
      <c r="AJ509" s="153"/>
      <c r="AK509" s="153"/>
      <c r="AL509" s="153"/>
      <c r="AM509" s="153"/>
      <c r="AN509" s="153"/>
      <c r="AO509" s="153"/>
      <c r="AP509" s="153"/>
    </row>
    <row r="510" spans="4:42" ht="15.75" customHeight="1">
      <c r="D510" s="152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  <c r="AC510" s="153"/>
      <c r="AD510" s="153"/>
      <c r="AE510" s="153"/>
      <c r="AF510" s="153"/>
      <c r="AG510" s="153"/>
      <c r="AH510" s="153"/>
      <c r="AI510" s="153"/>
      <c r="AJ510" s="153"/>
      <c r="AK510" s="153"/>
      <c r="AL510" s="153"/>
      <c r="AM510" s="153"/>
      <c r="AN510" s="153"/>
      <c r="AO510" s="153"/>
      <c r="AP510" s="153"/>
    </row>
    <row r="511" spans="4:42" ht="15.75" customHeight="1">
      <c r="D511" s="152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  <c r="AC511" s="153"/>
      <c r="AD511" s="153"/>
      <c r="AE511" s="153"/>
      <c r="AF511" s="153"/>
      <c r="AG511" s="153"/>
      <c r="AH511" s="153"/>
      <c r="AI511" s="153"/>
      <c r="AJ511" s="153"/>
      <c r="AK511" s="153"/>
      <c r="AL511" s="153"/>
      <c r="AM511" s="153"/>
      <c r="AN511" s="153"/>
      <c r="AO511" s="153"/>
      <c r="AP511" s="153"/>
    </row>
    <row r="512" spans="4:42" ht="15.75" customHeight="1">
      <c r="D512" s="152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  <c r="AC512" s="153"/>
      <c r="AD512" s="153"/>
      <c r="AE512" s="153"/>
      <c r="AF512" s="153"/>
      <c r="AG512" s="153"/>
      <c r="AH512" s="153"/>
      <c r="AI512" s="153"/>
      <c r="AJ512" s="153"/>
      <c r="AK512" s="153"/>
      <c r="AL512" s="153"/>
      <c r="AM512" s="153"/>
      <c r="AN512" s="153"/>
      <c r="AO512" s="153"/>
      <c r="AP512" s="153"/>
    </row>
    <row r="513" spans="4:42" ht="15.75" customHeight="1">
      <c r="D513" s="152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  <c r="AC513" s="153"/>
      <c r="AD513" s="153"/>
      <c r="AE513" s="153"/>
      <c r="AF513" s="153"/>
      <c r="AG513" s="153"/>
      <c r="AH513" s="153"/>
      <c r="AI513" s="153"/>
      <c r="AJ513" s="153"/>
      <c r="AK513" s="153"/>
      <c r="AL513" s="153"/>
      <c r="AM513" s="153"/>
      <c r="AN513" s="153"/>
      <c r="AO513" s="153"/>
      <c r="AP513" s="153"/>
    </row>
    <row r="514" spans="4:42" ht="15.75" customHeight="1">
      <c r="D514" s="152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  <c r="AC514" s="153"/>
      <c r="AD514" s="153"/>
      <c r="AE514" s="153"/>
      <c r="AF514" s="153"/>
      <c r="AG514" s="153"/>
      <c r="AH514" s="153"/>
      <c r="AI514" s="153"/>
      <c r="AJ514" s="153"/>
      <c r="AK514" s="153"/>
      <c r="AL514" s="153"/>
      <c r="AM514" s="153"/>
      <c r="AN514" s="153"/>
      <c r="AO514" s="153"/>
      <c r="AP514" s="153"/>
    </row>
    <row r="515" spans="4:42" ht="15.75" customHeight="1">
      <c r="D515" s="152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  <c r="AC515" s="153"/>
      <c r="AD515" s="153"/>
      <c r="AE515" s="153"/>
      <c r="AF515" s="153"/>
      <c r="AG515" s="153"/>
      <c r="AH515" s="153"/>
      <c r="AI515" s="153"/>
      <c r="AJ515" s="153"/>
      <c r="AK515" s="153"/>
      <c r="AL515" s="153"/>
      <c r="AM515" s="153"/>
      <c r="AN515" s="153"/>
      <c r="AO515" s="153"/>
      <c r="AP515" s="153"/>
    </row>
    <row r="516" spans="4:42" ht="15.75" customHeight="1">
      <c r="D516" s="152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  <c r="AC516" s="153"/>
      <c r="AD516" s="153"/>
      <c r="AE516" s="153"/>
      <c r="AF516" s="153"/>
      <c r="AG516" s="153"/>
      <c r="AH516" s="153"/>
      <c r="AI516" s="153"/>
      <c r="AJ516" s="153"/>
      <c r="AK516" s="153"/>
      <c r="AL516" s="153"/>
      <c r="AM516" s="153"/>
      <c r="AN516" s="153"/>
      <c r="AO516" s="153"/>
      <c r="AP516" s="153"/>
    </row>
    <row r="517" spans="4:42" ht="15.75" customHeight="1">
      <c r="D517" s="152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  <c r="AC517" s="153"/>
      <c r="AD517" s="153"/>
      <c r="AE517" s="153"/>
      <c r="AF517" s="153"/>
      <c r="AG517" s="153"/>
      <c r="AH517" s="153"/>
      <c r="AI517" s="153"/>
      <c r="AJ517" s="153"/>
      <c r="AK517" s="153"/>
      <c r="AL517" s="153"/>
      <c r="AM517" s="153"/>
      <c r="AN517" s="153"/>
      <c r="AO517" s="153"/>
      <c r="AP517" s="153"/>
    </row>
    <row r="518" spans="4:42" ht="15.75" customHeight="1">
      <c r="D518" s="152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  <c r="AC518" s="153"/>
      <c r="AD518" s="153"/>
      <c r="AE518" s="153"/>
      <c r="AF518" s="153"/>
      <c r="AG518" s="153"/>
      <c r="AH518" s="153"/>
      <c r="AI518" s="153"/>
      <c r="AJ518" s="153"/>
      <c r="AK518" s="153"/>
      <c r="AL518" s="153"/>
      <c r="AM518" s="153"/>
      <c r="AN518" s="153"/>
      <c r="AO518" s="153"/>
      <c r="AP518" s="153"/>
    </row>
    <row r="519" spans="4:42" ht="15.75" customHeight="1">
      <c r="D519" s="152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  <c r="AC519" s="153"/>
      <c r="AD519" s="153"/>
      <c r="AE519" s="153"/>
      <c r="AF519" s="153"/>
      <c r="AG519" s="153"/>
      <c r="AH519" s="153"/>
      <c r="AI519" s="153"/>
      <c r="AJ519" s="153"/>
      <c r="AK519" s="153"/>
      <c r="AL519" s="153"/>
      <c r="AM519" s="153"/>
      <c r="AN519" s="153"/>
      <c r="AO519" s="153"/>
      <c r="AP519" s="153"/>
    </row>
    <row r="520" spans="4:42" ht="15.75" customHeight="1">
      <c r="D520" s="152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  <c r="AC520" s="153"/>
      <c r="AD520" s="153"/>
      <c r="AE520" s="153"/>
      <c r="AF520" s="153"/>
      <c r="AG520" s="153"/>
      <c r="AH520" s="153"/>
      <c r="AI520" s="153"/>
      <c r="AJ520" s="153"/>
      <c r="AK520" s="153"/>
      <c r="AL520" s="153"/>
      <c r="AM520" s="153"/>
      <c r="AN520" s="153"/>
      <c r="AO520" s="153"/>
      <c r="AP520" s="153"/>
    </row>
    <row r="521" spans="4:42" ht="15.75" customHeight="1">
      <c r="D521" s="152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  <c r="AC521" s="153"/>
      <c r="AD521" s="153"/>
      <c r="AE521" s="153"/>
      <c r="AF521" s="153"/>
      <c r="AG521" s="153"/>
      <c r="AH521" s="153"/>
      <c r="AI521" s="153"/>
      <c r="AJ521" s="153"/>
      <c r="AK521" s="153"/>
      <c r="AL521" s="153"/>
      <c r="AM521" s="153"/>
      <c r="AN521" s="153"/>
      <c r="AO521" s="153"/>
      <c r="AP521" s="153"/>
    </row>
    <row r="522" spans="4:42" ht="15.75" customHeight="1">
      <c r="D522" s="152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  <c r="AC522" s="153"/>
      <c r="AD522" s="153"/>
      <c r="AE522" s="153"/>
      <c r="AF522" s="153"/>
      <c r="AG522" s="153"/>
      <c r="AH522" s="153"/>
      <c r="AI522" s="153"/>
      <c r="AJ522" s="153"/>
      <c r="AK522" s="153"/>
      <c r="AL522" s="153"/>
      <c r="AM522" s="153"/>
      <c r="AN522" s="153"/>
      <c r="AO522" s="153"/>
      <c r="AP522" s="153"/>
    </row>
    <row r="523" spans="4:42" ht="15.75" customHeight="1">
      <c r="D523" s="152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  <c r="AC523" s="153"/>
      <c r="AD523" s="153"/>
      <c r="AE523" s="153"/>
      <c r="AF523" s="153"/>
      <c r="AG523" s="153"/>
      <c r="AH523" s="153"/>
      <c r="AI523" s="153"/>
      <c r="AJ523" s="153"/>
      <c r="AK523" s="153"/>
      <c r="AL523" s="153"/>
      <c r="AM523" s="153"/>
      <c r="AN523" s="153"/>
      <c r="AO523" s="153"/>
      <c r="AP523" s="153"/>
    </row>
    <row r="524" spans="4:42" ht="15.75" customHeight="1">
      <c r="D524" s="152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  <c r="AC524" s="153"/>
      <c r="AD524" s="153"/>
      <c r="AE524" s="153"/>
      <c r="AF524" s="153"/>
      <c r="AG524" s="153"/>
      <c r="AH524" s="153"/>
      <c r="AI524" s="153"/>
      <c r="AJ524" s="153"/>
      <c r="AK524" s="153"/>
      <c r="AL524" s="153"/>
      <c r="AM524" s="153"/>
      <c r="AN524" s="153"/>
      <c r="AO524" s="153"/>
      <c r="AP524" s="153"/>
    </row>
    <row r="525" spans="4:42" ht="15.75" customHeight="1">
      <c r="D525" s="152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  <c r="AC525" s="153"/>
      <c r="AD525" s="153"/>
      <c r="AE525" s="153"/>
      <c r="AF525" s="153"/>
      <c r="AG525" s="153"/>
      <c r="AH525" s="153"/>
      <c r="AI525" s="153"/>
      <c r="AJ525" s="153"/>
      <c r="AK525" s="153"/>
      <c r="AL525" s="153"/>
      <c r="AM525" s="153"/>
      <c r="AN525" s="153"/>
      <c r="AO525" s="153"/>
      <c r="AP525" s="153"/>
    </row>
    <row r="526" spans="4:42" ht="15.75" customHeight="1">
      <c r="D526" s="152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  <c r="AC526" s="153"/>
      <c r="AD526" s="153"/>
      <c r="AE526" s="153"/>
      <c r="AF526" s="153"/>
      <c r="AG526" s="153"/>
      <c r="AH526" s="153"/>
      <c r="AI526" s="153"/>
      <c r="AJ526" s="153"/>
      <c r="AK526" s="153"/>
      <c r="AL526" s="153"/>
      <c r="AM526" s="153"/>
      <c r="AN526" s="153"/>
      <c r="AO526" s="153"/>
      <c r="AP526" s="153"/>
    </row>
    <row r="527" spans="4:42" ht="15.75" customHeight="1">
      <c r="D527" s="152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  <c r="AC527" s="153"/>
      <c r="AD527" s="153"/>
      <c r="AE527" s="153"/>
      <c r="AF527" s="153"/>
      <c r="AG527" s="153"/>
      <c r="AH527" s="153"/>
      <c r="AI527" s="153"/>
      <c r="AJ527" s="153"/>
      <c r="AK527" s="153"/>
      <c r="AL527" s="153"/>
      <c r="AM527" s="153"/>
      <c r="AN527" s="153"/>
      <c r="AO527" s="153"/>
      <c r="AP527" s="153"/>
    </row>
    <row r="528" spans="4:42" ht="15.75" customHeight="1">
      <c r="D528" s="152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  <c r="AC528" s="153"/>
      <c r="AD528" s="153"/>
      <c r="AE528" s="153"/>
      <c r="AF528" s="153"/>
      <c r="AG528" s="153"/>
      <c r="AH528" s="153"/>
      <c r="AI528" s="153"/>
      <c r="AJ528" s="153"/>
      <c r="AK528" s="153"/>
      <c r="AL528" s="153"/>
      <c r="AM528" s="153"/>
      <c r="AN528" s="153"/>
      <c r="AO528" s="153"/>
      <c r="AP528" s="153"/>
    </row>
    <row r="529" spans="4:42" ht="15.75" customHeight="1">
      <c r="D529" s="152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  <c r="AC529" s="153"/>
      <c r="AD529" s="153"/>
      <c r="AE529" s="153"/>
      <c r="AF529" s="153"/>
      <c r="AG529" s="153"/>
      <c r="AH529" s="153"/>
      <c r="AI529" s="153"/>
      <c r="AJ529" s="153"/>
      <c r="AK529" s="153"/>
      <c r="AL529" s="153"/>
      <c r="AM529" s="153"/>
      <c r="AN529" s="153"/>
      <c r="AO529" s="153"/>
      <c r="AP529" s="153"/>
    </row>
    <row r="530" spans="4:42" ht="15.75" customHeight="1">
      <c r="D530" s="152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  <c r="AC530" s="153"/>
      <c r="AD530" s="153"/>
      <c r="AE530" s="153"/>
      <c r="AF530" s="153"/>
      <c r="AG530" s="153"/>
      <c r="AH530" s="153"/>
      <c r="AI530" s="153"/>
      <c r="AJ530" s="153"/>
      <c r="AK530" s="153"/>
      <c r="AL530" s="153"/>
      <c r="AM530" s="153"/>
      <c r="AN530" s="153"/>
      <c r="AO530" s="153"/>
      <c r="AP530" s="153"/>
    </row>
    <row r="531" spans="4:42" ht="15.75" customHeight="1">
      <c r="D531" s="152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  <c r="AC531" s="153"/>
      <c r="AD531" s="153"/>
      <c r="AE531" s="153"/>
      <c r="AF531" s="153"/>
      <c r="AG531" s="153"/>
      <c r="AH531" s="153"/>
      <c r="AI531" s="153"/>
      <c r="AJ531" s="153"/>
      <c r="AK531" s="153"/>
      <c r="AL531" s="153"/>
      <c r="AM531" s="153"/>
      <c r="AN531" s="153"/>
      <c r="AO531" s="153"/>
      <c r="AP531" s="153"/>
    </row>
    <row r="532" spans="4:42" ht="15.75" customHeight="1">
      <c r="D532" s="152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  <c r="AC532" s="153"/>
      <c r="AD532" s="153"/>
      <c r="AE532" s="153"/>
      <c r="AF532" s="153"/>
      <c r="AG532" s="153"/>
      <c r="AH532" s="153"/>
      <c r="AI532" s="153"/>
      <c r="AJ532" s="153"/>
      <c r="AK532" s="153"/>
      <c r="AL532" s="153"/>
      <c r="AM532" s="153"/>
      <c r="AN532" s="153"/>
      <c r="AO532" s="153"/>
      <c r="AP532" s="153"/>
    </row>
    <row r="533" spans="4:42" ht="15.75" customHeight="1">
      <c r="D533" s="152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  <c r="AC533" s="153"/>
      <c r="AD533" s="153"/>
      <c r="AE533" s="153"/>
      <c r="AF533" s="153"/>
      <c r="AG533" s="153"/>
      <c r="AH533" s="153"/>
      <c r="AI533" s="153"/>
      <c r="AJ533" s="153"/>
      <c r="AK533" s="153"/>
      <c r="AL533" s="153"/>
      <c r="AM533" s="153"/>
      <c r="AN533" s="153"/>
      <c r="AO533" s="153"/>
      <c r="AP533" s="153"/>
    </row>
    <row r="534" spans="4:42" ht="15.75" customHeight="1">
      <c r="D534" s="152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  <c r="AC534" s="153"/>
      <c r="AD534" s="153"/>
      <c r="AE534" s="153"/>
      <c r="AF534" s="153"/>
      <c r="AG534" s="153"/>
      <c r="AH534" s="153"/>
      <c r="AI534" s="153"/>
      <c r="AJ534" s="153"/>
      <c r="AK534" s="153"/>
      <c r="AL534" s="153"/>
      <c r="AM534" s="153"/>
      <c r="AN534" s="153"/>
      <c r="AO534" s="153"/>
      <c r="AP534" s="153"/>
    </row>
    <row r="535" spans="4:42" ht="15.75" customHeight="1">
      <c r="D535" s="152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  <c r="AC535" s="153"/>
      <c r="AD535" s="153"/>
      <c r="AE535" s="153"/>
      <c r="AF535" s="153"/>
      <c r="AG535" s="153"/>
      <c r="AH535" s="153"/>
      <c r="AI535" s="153"/>
      <c r="AJ535" s="153"/>
      <c r="AK535" s="153"/>
      <c r="AL535" s="153"/>
      <c r="AM535" s="153"/>
      <c r="AN535" s="153"/>
      <c r="AO535" s="153"/>
      <c r="AP535" s="153"/>
    </row>
    <row r="536" spans="4:42" ht="15.75" customHeight="1">
      <c r="D536" s="152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  <c r="AC536" s="153"/>
      <c r="AD536" s="153"/>
      <c r="AE536" s="153"/>
      <c r="AF536" s="153"/>
      <c r="AG536" s="153"/>
      <c r="AH536" s="153"/>
      <c r="AI536" s="153"/>
      <c r="AJ536" s="153"/>
      <c r="AK536" s="153"/>
      <c r="AL536" s="153"/>
      <c r="AM536" s="153"/>
      <c r="AN536" s="153"/>
      <c r="AO536" s="153"/>
      <c r="AP536" s="153"/>
    </row>
    <row r="537" spans="4:42" ht="15.75" customHeight="1">
      <c r="D537" s="152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  <c r="AC537" s="153"/>
      <c r="AD537" s="153"/>
      <c r="AE537" s="153"/>
      <c r="AF537" s="153"/>
      <c r="AG537" s="153"/>
      <c r="AH537" s="153"/>
      <c r="AI537" s="153"/>
      <c r="AJ537" s="153"/>
      <c r="AK537" s="153"/>
      <c r="AL537" s="153"/>
      <c r="AM537" s="153"/>
      <c r="AN537" s="153"/>
      <c r="AO537" s="153"/>
      <c r="AP537" s="153"/>
    </row>
    <row r="538" spans="4:42" ht="15.75" customHeight="1">
      <c r="D538" s="152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  <c r="AC538" s="153"/>
      <c r="AD538" s="153"/>
      <c r="AE538" s="153"/>
      <c r="AF538" s="153"/>
      <c r="AG538" s="153"/>
      <c r="AH538" s="153"/>
      <c r="AI538" s="153"/>
      <c r="AJ538" s="153"/>
      <c r="AK538" s="153"/>
      <c r="AL538" s="153"/>
      <c r="AM538" s="153"/>
      <c r="AN538" s="153"/>
      <c r="AO538" s="153"/>
      <c r="AP538" s="153"/>
    </row>
    <row r="539" spans="4:42" ht="15.75" customHeight="1">
      <c r="D539" s="152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  <c r="AD539" s="153"/>
      <c r="AE539" s="153"/>
      <c r="AF539" s="153"/>
      <c r="AG539" s="153"/>
      <c r="AH539" s="153"/>
      <c r="AI539" s="153"/>
      <c r="AJ539" s="153"/>
      <c r="AK539" s="153"/>
      <c r="AL539" s="153"/>
      <c r="AM539" s="153"/>
      <c r="AN539" s="153"/>
      <c r="AO539" s="153"/>
      <c r="AP539" s="153"/>
    </row>
    <row r="540" spans="4:42" ht="15.75" customHeight="1">
      <c r="D540" s="152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  <c r="AC540" s="153"/>
      <c r="AD540" s="153"/>
      <c r="AE540" s="153"/>
      <c r="AF540" s="153"/>
      <c r="AG540" s="153"/>
      <c r="AH540" s="153"/>
      <c r="AI540" s="153"/>
      <c r="AJ540" s="153"/>
      <c r="AK540" s="153"/>
      <c r="AL540" s="153"/>
      <c r="AM540" s="153"/>
      <c r="AN540" s="153"/>
      <c r="AO540" s="153"/>
      <c r="AP540" s="153"/>
    </row>
    <row r="541" spans="4:42" ht="15.75" customHeight="1">
      <c r="D541" s="152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  <c r="AC541" s="153"/>
      <c r="AD541" s="153"/>
      <c r="AE541" s="153"/>
      <c r="AF541" s="153"/>
      <c r="AG541" s="153"/>
      <c r="AH541" s="153"/>
      <c r="AI541" s="153"/>
      <c r="AJ541" s="153"/>
      <c r="AK541" s="153"/>
      <c r="AL541" s="153"/>
      <c r="AM541" s="153"/>
      <c r="AN541" s="153"/>
      <c r="AO541" s="153"/>
      <c r="AP541" s="153"/>
    </row>
    <row r="542" spans="4:42" ht="15.75" customHeight="1">
      <c r="D542" s="152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  <c r="AC542" s="153"/>
      <c r="AD542" s="153"/>
      <c r="AE542" s="153"/>
      <c r="AF542" s="153"/>
      <c r="AG542" s="153"/>
      <c r="AH542" s="153"/>
      <c r="AI542" s="153"/>
      <c r="AJ542" s="153"/>
      <c r="AK542" s="153"/>
      <c r="AL542" s="153"/>
      <c r="AM542" s="153"/>
      <c r="AN542" s="153"/>
      <c r="AO542" s="153"/>
      <c r="AP542" s="153"/>
    </row>
    <row r="543" spans="4:42" ht="15.75" customHeight="1">
      <c r="D543" s="152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  <c r="AC543" s="153"/>
      <c r="AD543" s="153"/>
      <c r="AE543" s="153"/>
      <c r="AF543" s="153"/>
      <c r="AG543" s="153"/>
      <c r="AH543" s="153"/>
      <c r="AI543" s="153"/>
      <c r="AJ543" s="153"/>
      <c r="AK543" s="153"/>
      <c r="AL543" s="153"/>
      <c r="AM543" s="153"/>
      <c r="AN543" s="153"/>
      <c r="AO543" s="153"/>
      <c r="AP543" s="153"/>
    </row>
    <row r="544" spans="4:42" ht="15.75" customHeight="1">
      <c r="D544" s="152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  <c r="AC544" s="153"/>
      <c r="AD544" s="153"/>
      <c r="AE544" s="153"/>
      <c r="AF544" s="153"/>
      <c r="AG544" s="153"/>
      <c r="AH544" s="153"/>
      <c r="AI544" s="153"/>
      <c r="AJ544" s="153"/>
      <c r="AK544" s="153"/>
      <c r="AL544" s="153"/>
      <c r="AM544" s="153"/>
      <c r="AN544" s="153"/>
      <c r="AO544" s="153"/>
      <c r="AP544" s="153"/>
    </row>
    <row r="545" spans="4:42" ht="15.75" customHeight="1">
      <c r="D545" s="152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  <c r="AC545" s="153"/>
      <c r="AD545" s="153"/>
      <c r="AE545" s="153"/>
      <c r="AF545" s="153"/>
      <c r="AG545" s="153"/>
      <c r="AH545" s="153"/>
      <c r="AI545" s="153"/>
      <c r="AJ545" s="153"/>
      <c r="AK545" s="153"/>
      <c r="AL545" s="153"/>
      <c r="AM545" s="153"/>
      <c r="AN545" s="153"/>
      <c r="AO545" s="153"/>
      <c r="AP545" s="153"/>
    </row>
    <row r="546" spans="4:42" ht="15.75" customHeight="1">
      <c r="D546" s="152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  <c r="AC546" s="153"/>
      <c r="AD546" s="153"/>
      <c r="AE546" s="153"/>
      <c r="AF546" s="153"/>
      <c r="AG546" s="153"/>
      <c r="AH546" s="153"/>
      <c r="AI546" s="153"/>
      <c r="AJ546" s="153"/>
      <c r="AK546" s="153"/>
      <c r="AL546" s="153"/>
      <c r="AM546" s="153"/>
      <c r="AN546" s="153"/>
      <c r="AO546" s="153"/>
      <c r="AP546" s="153"/>
    </row>
    <row r="547" spans="4:42" ht="15.75" customHeight="1">
      <c r="D547" s="152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  <c r="AC547" s="153"/>
      <c r="AD547" s="153"/>
      <c r="AE547" s="153"/>
      <c r="AF547" s="153"/>
      <c r="AG547" s="153"/>
      <c r="AH547" s="153"/>
      <c r="AI547" s="153"/>
      <c r="AJ547" s="153"/>
      <c r="AK547" s="153"/>
      <c r="AL547" s="153"/>
      <c r="AM547" s="153"/>
      <c r="AN547" s="153"/>
      <c r="AO547" s="153"/>
      <c r="AP547" s="153"/>
    </row>
    <row r="548" spans="4:42" ht="15.75" customHeight="1">
      <c r="D548" s="152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  <c r="AC548" s="153"/>
      <c r="AD548" s="153"/>
      <c r="AE548" s="153"/>
      <c r="AF548" s="153"/>
      <c r="AG548" s="153"/>
      <c r="AH548" s="153"/>
      <c r="AI548" s="153"/>
      <c r="AJ548" s="153"/>
      <c r="AK548" s="153"/>
      <c r="AL548" s="153"/>
      <c r="AM548" s="153"/>
      <c r="AN548" s="153"/>
      <c r="AO548" s="153"/>
      <c r="AP548" s="153"/>
    </row>
    <row r="549" spans="4:42" ht="15.75" customHeight="1">
      <c r="D549" s="152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  <c r="AC549" s="153"/>
      <c r="AD549" s="153"/>
      <c r="AE549" s="153"/>
      <c r="AF549" s="153"/>
      <c r="AG549" s="153"/>
      <c r="AH549" s="153"/>
      <c r="AI549" s="153"/>
      <c r="AJ549" s="153"/>
      <c r="AK549" s="153"/>
      <c r="AL549" s="153"/>
      <c r="AM549" s="153"/>
      <c r="AN549" s="153"/>
      <c r="AO549" s="153"/>
      <c r="AP549" s="153"/>
    </row>
    <row r="550" spans="4:42" ht="15.75" customHeight="1">
      <c r="D550" s="152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  <c r="AC550" s="153"/>
      <c r="AD550" s="153"/>
      <c r="AE550" s="153"/>
      <c r="AF550" s="153"/>
      <c r="AG550" s="153"/>
      <c r="AH550" s="153"/>
      <c r="AI550" s="153"/>
      <c r="AJ550" s="153"/>
      <c r="AK550" s="153"/>
      <c r="AL550" s="153"/>
      <c r="AM550" s="153"/>
      <c r="AN550" s="153"/>
      <c r="AO550" s="153"/>
      <c r="AP550" s="153"/>
    </row>
    <row r="551" spans="4:42" ht="15.75" customHeight="1">
      <c r="D551" s="152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  <c r="AC551" s="153"/>
      <c r="AD551" s="153"/>
      <c r="AE551" s="153"/>
      <c r="AF551" s="153"/>
      <c r="AG551" s="153"/>
      <c r="AH551" s="153"/>
      <c r="AI551" s="153"/>
      <c r="AJ551" s="153"/>
      <c r="AK551" s="153"/>
      <c r="AL551" s="153"/>
      <c r="AM551" s="153"/>
      <c r="AN551" s="153"/>
      <c r="AO551" s="153"/>
      <c r="AP551" s="153"/>
    </row>
    <row r="552" spans="4:42" ht="15.75" customHeight="1">
      <c r="D552" s="152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  <c r="AC552" s="153"/>
      <c r="AD552" s="153"/>
      <c r="AE552" s="153"/>
      <c r="AF552" s="153"/>
      <c r="AG552" s="153"/>
      <c r="AH552" s="153"/>
      <c r="AI552" s="153"/>
      <c r="AJ552" s="153"/>
      <c r="AK552" s="153"/>
      <c r="AL552" s="153"/>
      <c r="AM552" s="153"/>
      <c r="AN552" s="153"/>
      <c r="AO552" s="153"/>
      <c r="AP552" s="153"/>
    </row>
    <row r="553" spans="4:42" ht="15.75" customHeight="1">
      <c r="D553" s="152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  <c r="AC553" s="153"/>
      <c r="AD553" s="153"/>
      <c r="AE553" s="153"/>
      <c r="AF553" s="153"/>
      <c r="AG553" s="153"/>
      <c r="AH553" s="153"/>
      <c r="AI553" s="153"/>
      <c r="AJ553" s="153"/>
      <c r="AK553" s="153"/>
      <c r="AL553" s="153"/>
      <c r="AM553" s="153"/>
      <c r="AN553" s="153"/>
      <c r="AO553" s="153"/>
      <c r="AP553" s="153"/>
    </row>
    <row r="554" spans="4:42" ht="15.75" customHeight="1">
      <c r="D554" s="152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  <c r="AC554" s="153"/>
      <c r="AD554" s="153"/>
      <c r="AE554" s="153"/>
      <c r="AF554" s="153"/>
      <c r="AG554" s="153"/>
      <c r="AH554" s="153"/>
      <c r="AI554" s="153"/>
      <c r="AJ554" s="153"/>
      <c r="AK554" s="153"/>
      <c r="AL554" s="153"/>
      <c r="AM554" s="153"/>
      <c r="AN554" s="153"/>
      <c r="AO554" s="153"/>
      <c r="AP554" s="153"/>
    </row>
    <row r="555" spans="4:42" ht="15.75" customHeight="1">
      <c r="D555" s="152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  <c r="AC555" s="153"/>
      <c r="AD555" s="153"/>
      <c r="AE555" s="153"/>
      <c r="AF555" s="153"/>
      <c r="AG555" s="153"/>
      <c r="AH555" s="153"/>
      <c r="AI555" s="153"/>
      <c r="AJ555" s="153"/>
      <c r="AK555" s="153"/>
      <c r="AL555" s="153"/>
      <c r="AM555" s="153"/>
      <c r="AN555" s="153"/>
      <c r="AO555" s="153"/>
      <c r="AP555" s="153"/>
    </row>
    <row r="556" spans="4:42" ht="15.75" customHeight="1">
      <c r="D556" s="152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  <c r="AC556" s="153"/>
      <c r="AD556" s="153"/>
      <c r="AE556" s="153"/>
      <c r="AF556" s="153"/>
      <c r="AG556" s="153"/>
      <c r="AH556" s="153"/>
      <c r="AI556" s="153"/>
      <c r="AJ556" s="153"/>
      <c r="AK556" s="153"/>
      <c r="AL556" s="153"/>
      <c r="AM556" s="153"/>
      <c r="AN556" s="153"/>
      <c r="AO556" s="153"/>
      <c r="AP556" s="153"/>
    </row>
    <row r="557" spans="4:42" ht="15.75" customHeight="1">
      <c r="D557" s="152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  <c r="AC557" s="153"/>
      <c r="AD557" s="153"/>
      <c r="AE557" s="153"/>
      <c r="AF557" s="153"/>
      <c r="AG557" s="153"/>
      <c r="AH557" s="153"/>
      <c r="AI557" s="153"/>
      <c r="AJ557" s="153"/>
      <c r="AK557" s="153"/>
      <c r="AL557" s="153"/>
      <c r="AM557" s="153"/>
      <c r="AN557" s="153"/>
      <c r="AO557" s="153"/>
      <c r="AP557" s="153"/>
    </row>
    <row r="558" spans="4:42" ht="15.75" customHeight="1">
      <c r="D558" s="152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  <c r="AC558" s="153"/>
      <c r="AD558" s="153"/>
      <c r="AE558" s="153"/>
      <c r="AF558" s="153"/>
      <c r="AG558" s="153"/>
      <c r="AH558" s="153"/>
      <c r="AI558" s="153"/>
      <c r="AJ558" s="153"/>
      <c r="AK558" s="153"/>
      <c r="AL558" s="153"/>
      <c r="AM558" s="153"/>
      <c r="AN558" s="153"/>
      <c r="AO558" s="153"/>
      <c r="AP558" s="153"/>
    </row>
    <row r="559" spans="4:42" ht="15.75" customHeight="1">
      <c r="D559" s="152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  <c r="AC559" s="153"/>
      <c r="AD559" s="153"/>
      <c r="AE559" s="153"/>
      <c r="AF559" s="153"/>
      <c r="AG559" s="153"/>
      <c r="AH559" s="153"/>
      <c r="AI559" s="153"/>
      <c r="AJ559" s="153"/>
      <c r="AK559" s="153"/>
      <c r="AL559" s="153"/>
      <c r="AM559" s="153"/>
      <c r="AN559" s="153"/>
      <c r="AO559" s="153"/>
      <c r="AP559" s="153"/>
    </row>
    <row r="560" spans="4:42" ht="15.75" customHeight="1">
      <c r="D560" s="152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  <c r="AC560" s="153"/>
      <c r="AD560" s="153"/>
      <c r="AE560" s="153"/>
      <c r="AF560" s="153"/>
      <c r="AG560" s="153"/>
      <c r="AH560" s="153"/>
      <c r="AI560" s="153"/>
      <c r="AJ560" s="153"/>
      <c r="AK560" s="153"/>
      <c r="AL560" s="153"/>
      <c r="AM560" s="153"/>
      <c r="AN560" s="153"/>
      <c r="AO560" s="153"/>
      <c r="AP560" s="153"/>
    </row>
    <row r="561" spans="4:42" ht="15.75" customHeight="1">
      <c r="D561" s="152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  <c r="AC561" s="153"/>
      <c r="AD561" s="153"/>
      <c r="AE561" s="153"/>
      <c r="AF561" s="153"/>
      <c r="AG561" s="153"/>
      <c r="AH561" s="153"/>
      <c r="AI561" s="153"/>
      <c r="AJ561" s="153"/>
      <c r="AK561" s="153"/>
      <c r="AL561" s="153"/>
      <c r="AM561" s="153"/>
      <c r="AN561" s="153"/>
      <c r="AO561" s="153"/>
      <c r="AP561" s="153"/>
    </row>
    <row r="562" spans="4:42" ht="15.75" customHeight="1">
      <c r="D562" s="152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  <c r="AC562" s="153"/>
      <c r="AD562" s="153"/>
      <c r="AE562" s="153"/>
      <c r="AF562" s="153"/>
      <c r="AG562" s="153"/>
      <c r="AH562" s="153"/>
      <c r="AI562" s="153"/>
      <c r="AJ562" s="153"/>
      <c r="AK562" s="153"/>
      <c r="AL562" s="153"/>
      <c r="AM562" s="153"/>
      <c r="AN562" s="153"/>
      <c r="AO562" s="153"/>
      <c r="AP562" s="153"/>
    </row>
    <row r="563" spans="4:42" ht="15.75" customHeight="1">
      <c r="D563" s="152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  <c r="AC563" s="153"/>
      <c r="AD563" s="153"/>
      <c r="AE563" s="153"/>
      <c r="AF563" s="153"/>
      <c r="AG563" s="153"/>
      <c r="AH563" s="153"/>
      <c r="AI563" s="153"/>
      <c r="AJ563" s="153"/>
      <c r="AK563" s="153"/>
      <c r="AL563" s="153"/>
      <c r="AM563" s="153"/>
      <c r="AN563" s="153"/>
      <c r="AO563" s="153"/>
      <c r="AP563" s="153"/>
    </row>
    <row r="564" spans="4:42" ht="15.75" customHeight="1">
      <c r="D564" s="152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  <c r="AC564" s="153"/>
      <c r="AD564" s="153"/>
      <c r="AE564" s="153"/>
      <c r="AF564" s="153"/>
      <c r="AG564" s="153"/>
      <c r="AH564" s="153"/>
      <c r="AI564" s="153"/>
      <c r="AJ564" s="153"/>
      <c r="AK564" s="153"/>
      <c r="AL564" s="153"/>
      <c r="AM564" s="153"/>
      <c r="AN564" s="153"/>
      <c r="AO564" s="153"/>
      <c r="AP564" s="153"/>
    </row>
    <row r="565" spans="4:42" ht="15.75" customHeight="1">
      <c r="D565" s="152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  <c r="AC565" s="153"/>
      <c r="AD565" s="153"/>
      <c r="AE565" s="153"/>
      <c r="AF565" s="153"/>
      <c r="AG565" s="153"/>
      <c r="AH565" s="153"/>
      <c r="AI565" s="153"/>
      <c r="AJ565" s="153"/>
      <c r="AK565" s="153"/>
      <c r="AL565" s="153"/>
      <c r="AM565" s="153"/>
      <c r="AN565" s="153"/>
      <c r="AO565" s="153"/>
      <c r="AP565" s="153"/>
    </row>
    <row r="566" spans="4:42" ht="15.75" customHeight="1">
      <c r="D566" s="152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  <c r="AC566" s="153"/>
      <c r="AD566" s="153"/>
      <c r="AE566" s="153"/>
      <c r="AF566" s="153"/>
      <c r="AG566" s="153"/>
      <c r="AH566" s="153"/>
      <c r="AI566" s="153"/>
      <c r="AJ566" s="153"/>
      <c r="AK566" s="153"/>
      <c r="AL566" s="153"/>
      <c r="AM566" s="153"/>
      <c r="AN566" s="153"/>
      <c r="AO566" s="153"/>
      <c r="AP566" s="153"/>
    </row>
    <row r="567" spans="4:42" ht="15.75" customHeight="1">
      <c r="D567" s="152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  <c r="AC567" s="153"/>
      <c r="AD567" s="153"/>
      <c r="AE567" s="153"/>
      <c r="AF567" s="153"/>
      <c r="AG567" s="153"/>
      <c r="AH567" s="153"/>
      <c r="AI567" s="153"/>
      <c r="AJ567" s="153"/>
      <c r="AK567" s="153"/>
      <c r="AL567" s="153"/>
      <c r="AM567" s="153"/>
      <c r="AN567" s="153"/>
      <c r="AO567" s="153"/>
      <c r="AP567" s="153"/>
    </row>
    <row r="568" spans="4:42" ht="15.75" customHeight="1">
      <c r="D568" s="152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  <c r="AC568" s="153"/>
      <c r="AD568" s="153"/>
      <c r="AE568" s="153"/>
      <c r="AF568" s="153"/>
      <c r="AG568" s="153"/>
      <c r="AH568" s="153"/>
      <c r="AI568" s="153"/>
      <c r="AJ568" s="153"/>
      <c r="AK568" s="153"/>
      <c r="AL568" s="153"/>
      <c r="AM568" s="153"/>
      <c r="AN568" s="153"/>
      <c r="AO568" s="153"/>
      <c r="AP568" s="153"/>
    </row>
    <row r="569" spans="4:42" ht="15.75" customHeight="1">
      <c r="D569" s="152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  <c r="AC569" s="153"/>
      <c r="AD569" s="153"/>
      <c r="AE569" s="153"/>
      <c r="AF569" s="153"/>
      <c r="AG569" s="153"/>
      <c r="AH569" s="153"/>
      <c r="AI569" s="153"/>
      <c r="AJ569" s="153"/>
      <c r="AK569" s="153"/>
      <c r="AL569" s="153"/>
      <c r="AM569" s="153"/>
      <c r="AN569" s="153"/>
      <c r="AO569" s="153"/>
      <c r="AP569" s="153"/>
    </row>
    <row r="570" spans="4:42" ht="15.75" customHeight="1">
      <c r="D570" s="152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  <c r="AC570" s="153"/>
      <c r="AD570" s="153"/>
      <c r="AE570" s="153"/>
      <c r="AF570" s="153"/>
      <c r="AG570" s="153"/>
      <c r="AH570" s="153"/>
      <c r="AI570" s="153"/>
      <c r="AJ570" s="153"/>
      <c r="AK570" s="153"/>
      <c r="AL570" s="153"/>
      <c r="AM570" s="153"/>
      <c r="AN570" s="153"/>
      <c r="AO570" s="153"/>
      <c r="AP570" s="153"/>
    </row>
    <row r="571" spans="4:42" ht="15.75" customHeight="1">
      <c r="D571" s="152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  <c r="AC571" s="153"/>
      <c r="AD571" s="153"/>
      <c r="AE571" s="153"/>
      <c r="AF571" s="153"/>
      <c r="AG571" s="153"/>
      <c r="AH571" s="153"/>
      <c r="AI571" s="153"/>
      <c r="AJ571" s="153"/>
      <c r="AK571" s="153"/>
      <c r="AL571" s="153"/>
      <c r="AM571" s="153"/>
      <c r="AN571" s="153"/>
      <c r="AO571" s="153"/>
      <c r="AP571" s="153"/>
    </row>
    <row r="572" spans="4:42" ht="15.75" customHeight="1">
      <c r="D572" s="152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  <c r="AC572" s="153"/>
      <c r="AD572" s="153"/>
      <c r="AE572" s="153"/>
      <c r="AF572" s="153"/>
      <c r="AG572" s="153"/>
      <c r="AH572" s="153"/>
      <c r="AI572" s="153"/>
      <c r="AJ572" s="153"/>
      <c r="AK572" s="153"/>
      <c r="AL572" s="153"/>
      <c r="AM572" s="153"/>
      <c r="AN572" s="153"/>
      <c r="AO572" s="153"/>
      <c r="AP572" s="153"/>
    </row>
    <row r="573" spans="4:42" ht="15.75" customHeight="1">
      <c r="D573" s="152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  <c r="AC573" s="153"/>
      <c r="AD573" s="153"/>
      <c r="AE573" s="153"/>
      <c r="AF573" s="153"/>
      <c r="AG573" s="153"/>
      <c r="AH573" s="153"/>
      <c r="AI573" s="153"/>
      <c r="AJ573" s="153"/>
      <c r="AK573" s="153"/>
      <c r="AL573" s="153"/>
      <c r="AM573" s="153"/>
      <c r="AN573" s="153"/>
      <c r="AO573" s="153"/>
      <c r="AP573" s="153"/>
    </row>
    <row r="574" spans="4:42" ht="15.75" customHeight="1">
      <c r="D574" s="152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  <c r="AC574" s="153"/>
      <c r="AD574" s="153"/>
      <c r="AE574" s="153"/>
      <c r="AF574" s="153"/>
      <c r="AG574" s="153"/>
      <c r="AH574" s="153"/>
      <c r="AI574" s="153"/>
      <c r="AJ574" s="153"/>
      <c r="AK574" s="153"/>
      <c r="AL574" s="153"/>
      <c r="AM574" s="153"/>
      <c r="AN574" s="153"/>
      <c r="AO574" s="153"/>
      <c r="AP574" s="153"/>
    </row>
    <row r="575" spans="4:42" ht="15.75" customHeight="1">
      <c r="D575" s="152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  <c r="AC575" s="153"/>
      <c r="AD575" s="153"/>
      <c r="AE575" s="153"/>
      <c r="AF575" s="153"/>
      <c r="AG575" s="153"/>
      <c r="AH575" s="153"/>
      <c r="AI575" s="153"/>
      <c r="AJ575" s="153"/>
      <c r="AK575" s="153"/>
      <c r="AL575" s="153"/>
      <c r="AM575" s="153"/>
      <c r="AN575" s="153"/>
      <c r="AO575" s="153"/>
      <c r="AP575" s="153"/>
    </row>
    <row r="576" spans="4:42" ht="15.75" customHeight="1">
      <c r="D576" s="152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  <c r="AC576" s="153"/>
      <c r="AD576" s="153"/>
      <c r="AE576" s="153"/>
      <c r="AF576" s="153"/>
      <c r="AG576" s="153"/>
      <c r="AH576" s="153"/>
      <c r="AI576" s="153"/>
      <c r="AJ576" s="153"/>
      <c r="AK576" s="153"/>
      <c r="AL576" s="153"/>
      <c r="AM576" s="153"/>
      <c r="AN576" s="153"/>
      <c r="AO576" s="153"/>
      <c r="AP576" s="153"/>
    </row>
    <row r="577" spans="4:42" ht="15.75" customHeight="1">
      <c r="D577" s="152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  <c r="AC577" s="153"/>
      <c r="AD577" s="153"/>
      <c r="AE577" s="153"/>
      <c r="AF577" s="153"/>
      <c r="AG577" s="153"/>
      <c r="AH577" s="153"/>
      <c r="AI577" s="153"/>
      <c r="AJ577" s="153"/>
      <c r="AK577" s="153"/>
      <c r="AL577" s="153"/>
      <c r="AM577" s="153"/>
      <c r="AN577" s="153"/>
      <c r="AO577" s="153"/>
      <c r="AP577" s="153"/>
    </row>
    <row r="578" spans="4:42" ht="15.75" customHeight="1">
      <c r="D578" s="152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  <c r="AC578" s="153"/>
      <c r="AD578" s="153"/>
      <c r="AE578" s="153"/>
      <c r="AF578" s="153"/>
      <c r="AG578" s="153"/>
      <c r="AH578" s="153"/>
      <c r="AI578" s="153"/>
      <c r="AJ578" s="153"/>
      <c r="AK578" s="153"/>
      <c r="AL578" s="153"/>
      <c r="AM578" s="153"/>
      <c r="AN578" s="153"/>
      <c r="AO578" s="153"/>
      <c r="AP578" s="153"/>
    </row>
    <row r="579" spans="4:42" ht="15.75" customHeight="1">
      <c r="D579" s="152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  <c r="AC579" s="153"/>
      <c r="AD579" s="153"/>
      <c r="AE579" s="153"/>
      <c r="AF579" s="153"/>
      <c r="AG579" s="153"/>
      <c r="AH579" s="153"/>
      <c r="AI579" s="153"/>
      <c r="AJ579" s="153"/>
      <c r="AK579" s="153"/>
      <c r="AL579" s="153"/>
      <c r="AM579" s="153"/>
      <c r="AN579" s="153"/>
      <c r="AO579" s="153"/>
      <c r="AP579" s="153"/>
    </row>
    <row r="580" spans="4:42" ht="15.75" customHeight="1">
      <c r="D580" s="152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  <c r="AC580" s="153"/>
      <c r="AD580" s="153"/>
      <c r="AE580" s="153"/>
      <c r="AF580" s="153"/>
      <c r="AG580" s="153"/>
      <c r="AH580" s="153"/>
      <c r="AI580" s="153"/>
      <c r="AJ580" s="153"/>
      <c r="AK580" s="153"/>
      <c r="AL580" s="153"/>
      <c r="AM580" s="153"/>
      <c r="AN580" s="153"/>
      <c r="AO580" s="153"/>
      <c r="AP580" s="153"/>
    </row>
    <row r="581" spans="4:42" ht="15.75" customHeight="1">
      <c r="D581" s="152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  <c r="AC581" s="153"/>
      <c r="AD581" s="153"/>
      <c r="AE581" s="153"/>
      <c r="AF581" s="153"/>
      <c r="AG581" s="153"/>
      <c r="AH581" s="153"/>
      <c r="AI581" s="153"/>
      <c r="AJ581" s="153"/>
      <c r="AK581" s="153"/>
      <c r="AL581" s="153"/>
      <c r="AM581" s="153"/>
      <c r="AN581" s="153"/>
      <c r="AO581" s="153"/>
      <c r="AP581" s="153"/>
    </row>
    <row r="582" spans="4:42" ht="15.75" customHeight="1">
      <c r="D582" s="152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  <c r="AC582" s="153"/>
      <c r="AD582" s="153"/>
      <c r="AE582" s="153"/>
      <c r="AF582" s="153"/>
      <c r="AG582" s="153"/>
      <c r="AH582" s="153"/>
      <c r="AI582" s="153"/>
      <c r="AJ582" s="153"/>
      <c r="AK582" s="153"/>
      <c r="AL582" s="153"/>
      <c r="AM582" s="153"/>
      <c r="AN582" s="153"/>
      <c r="AO582" s="153"/>
      <c r="AP582" s="153"/>
    </row>
    <row r="583" spans="4:42" ht="15.75" customHeight="1">
      <c r="D583" s="152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  <c r="AC583" s="153"/>
      <c r="AD583" s="153"/>
      <c r="AE583" s="153"/>
      <c r="AF583" s="153"/>
      <c r="AG583" s="153"/>
      <c r="AH583" s="153"/>
      <c r="AI583" s="153"/>
      <c r="AJ583" s="153"/>
      <c r="AK583" s="153"/>
      <c r="AL583" s="153"/>
      <c r="AM583" s="153"/>
      <c r="AN583" s="153"/>
      <c r="AO583" s="153"/>
      <c r="AP583" s="153"/>
    </row>
    <row r="584" spans="4:42" ht="15.75" customHeight="1">
      <c r="D584" s="152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  <c r="AC584" s="153"/>
      <c r="AD584" s="153"/>
      <c r="AE584" s="153"/>
      <c r="AF584" s="153"/>
      <c r="AG584" s="153"/>
      <c r="AH584" s="153"/>
      <c r="AI584" s="153"/>
      <c r="AJ584" s="153"/>
      <c r="AK584" s="153"/>
      <c r="AL584" s="153"/>
      <c r="AM584" s="153"/>
      <c r="AN584" s="153"/>
      <c r="AO584" s="153"/>
      <c r="AP584" s="153"/>
    </row>
    <row r="585" spans="4:42" ht="15.75" customHeight="1">
      <c r="D585" s="152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  <c r="AC585" s="153"/>
      <c r="AD585" s="153"/>
      <c r="AE585" s="153"/>
      <c r="AF585" s="153"/>
      <c r="AG585" s="153"/>
      <c r="AH585" s="153"/>
      <c r="AI585" s="153"/>
      <c r="AJ585" s="153"/>
      <c r="AK585" s="153"/>
      <c r="AL585" s="153"/>
      <c r="AM585" s="153"/>
      <c r="AN585" s="153"/>
      <c r="AO585" s="153"/>
      <c r="AP585" s="153"/>
    </row>
    <row r="586" spans="4:42" ht="15.75" customHeight="1">
      <c r="D586" s="152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  <c r="AC586" s="153"/>
      <c r="AD586" s="153"/>
      <c r="AE586" s="153"/>
      <c r="AF586" s="153"/>
      <c r="AG586" s="153"/>
      <c r="AH586" s="153"/>
      <c r="AI586" s="153"/>
      <c r="AJ586" s="153"/>
      <c r="AK586" s="153"/>
      <c r="AL586" s="153"/>
      <c r="AM586" s="153"/>
      <c r="AN586" s="153"/>
      <c r="AO586" s="153"/>
      <c r="AP586" s="153"/>
    </row>
    <row r="587" spans="4:42" ht="15.75" customHeight="1">
      <c r="D587" s="152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  <c r="AC587" s="153"/>
      <c r="AD587" s="153"/>
      <c r="AE587" s="153"/>
      <c r="AF587" s="153"/>
      <c r="AG587" s="153"/>
      <c r="AH587" s="153"/>
      <c r="AI587" s="153"/>
      <c r="AJ587" s="153"/>
      <c r="AK587" s="153"/>
      <c r="AL587" s="153"/>
      <c r="AM587" s="153"/>
      <c r="AN587" s="153"/>
      <c r="AO587" s="153"/>
      <c r="AP587" s="153"/>
    </row>
    <row r="588" spans="4:42" ht="15.75" customHeight="1">
      <c r="D588" s="152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  <c r="AC588" s="153"/>
      <c r="AD588" s="153"/>
      <c r="AE588" s="153"/>
      <c r="AF588" s="153"/>
      <c r="AG588" s="153"/>
      <c r="AH588" s="153"/>
      <c r="AI588" s="153"/>
      <c r="AJ588" s="153"/>
      <c r="AK588" s="153"/>
      <c r="AL588" s="153"/>
      <c r="AM588" s="153"/>
      <c r="AN588" s="153"/>
      <c r="AO588" s="153"/>
      <c r="AP588" s="153"/>
    </row>
    <row r="589" spans="4:42" ht="15.75" customHeight="1">
      <c r="D589" s="152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  <c r="AC589" s="153"/>
      <c r="AD589" s="153"/>
      <c r="AE589" s="153"/>
      <c r="AF589" s="153"/>
      <c r="AG589" s="153"/>
      <c r="AH589" s="153"/>
      <c r="AI589" s="153"/>
      <c r="AJ589" s="153"/>
      <c r="AK589" s="153"/>
      <c r="AL589" s="153"/>
      <c r="AM589" s="153"/>
      <c r="AN589" s="153"/>
      <c r="AO589" s="153"/>
      <c r="AP589" s="153"/>
    </row>
    <row r="590" spans="4:42" ht="15.75" customHeight="1">
      <c r="D590" s="152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  <c r="AC590" s="153"/>
      <c r="AD590" s="153"/>
      <c r="AE590" s="153"/>
      <c r="AF590" s="153"/>
      <c r="AG590" s="153"/>
      <c r="AH590" s="153"/>
      <c r="AI590" s="153"/>
      <c r="AJ590" s="153"/>
      <c r="AK590" s="153"/>
      <c r="AL590" s="153"/>
      <c r="AM590" s="153"/>
      <c r="AN590" s="153"/>
      <c r="AO590" s="153"/>
      <c r="AP590" s="153"/>
    </row>
    <row r="591" spans="4:42" ht="15.75" customHeight="1">
      <c r="D591" s="152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  <c r="AC591" s="153"/>
      <c r="AD591" s="153"/>
      <c r="AE591" s="153"/>
      <c r="AF591" s="153"/>
      <c r="AG591" s="153"/>
      <c r="AH591" s="153"/>
      <c r="AI591" s="153"/>
      <c r="AJ591" s="153"/>
      <c r="AK591" s="153"/>
      <c r="AL591" s="153"/>
      <c r="AM591" s="153"/>
      <c r="AN591" s="153"/>
      <c r="AO591" s="153"/>
      <c r="AP591" s="153"/>
    </row>
    <row r="592" spans="4:42" ht="15.75" customHeight="1">
      <c r="D592" s="152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  <c r="AC592" s="153"/>
      <c r="AD592" s="153"/>
      <c r="AE592" s="153"/>
      <c r="AF592" s="153"/>
      <c r="AG592" s="153"/>
      <c r="AH592" s="153"/>
      <c r="AI592" s="153"/>
      <c r="AJ592" s="153"/>
      <c r="AK592" s="153"/>
      <c r="AL592" s="153"/>
      <c r="AM592" s="153"/>
      <c r="AN592" s="153"/>
      <c r="AO592" s="153"/>
      <c r="AP592" s="153"/>
    </row>
    <row r="593" spans="4:42" ht="15.75" customHeight="1">
      <c r="D593" s="152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  <c r="AC593" s="153"/>
      <c r="AD593" s="153"/>
      <c r="AE593" s="153"/>
      <c r="AF593" s="153"/>
      <c r="AG593" s="153"/>
      <c r="AH593" s="153"/>
      <c r="AI593" s="153"/>
      <c r="AJ593" s="153"/>
      <c r="AK593" s="153"/>
      <c r="AL593" s="153"/>
      <c r="AM593" s="153"/>
      <c r="AN593" s="153"/>
      <c r="AO593" s="153"/>
      <c r="AP593" s="153"/>
    </row>
    <row r="594" spans="4:42" ht="15.75" customHeight="1">
      <c r="D594" s="152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  <c r="AC594" s="153"/>
      <c r="AD594" s="153"/>
      <c r="AE594" s="153"/>
      <c r="AF594" s="153"/>
      <c r="AG594" s="153"/>
      <c r="AH594" s="153"/>
      <c r="AI594" s="153"/>
      <c r="AJ594" s="153"/>
      <c r="AK594" s="153"/>
      <c r="AL594" s="153"/>
      <c r="AM594" s="153"/>
      <c r="AN594" s="153"/>
      <c r="AO594" s="153"/>
      <c r="AP594" s="153"/>
    </row>
    <row r="595" spans="4:42" ht="15.75" customHeight="1">
      <c r="D595" s="152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  <c r="AC595" s="153"/>
      <c r="AD595" s="153"/>
      <c r="AE595" s="153"/>
      <c r="AF595" s="153"/>
      <c r="AG595" s="153"/>
      <c r="AH595" s="153"/>
      <c r="AI595" s="153"/>
      <c r="AJ595" s="153"/>
      <c r="AK595" s="153"/>
      <c r="AL595" s="153"/>
      <c r="AM595" s="153"/>
      <c r="AN595" s="153"/>
      <c r="AO595" s="153"/>
      <c r="AP595" s="153"/>
    </row>
    <row r="596" spans="4:42" ht="15.75" customHeight="1">
      <c r="D596" s="152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  <c r="AC596" s="153"/>
      <c r="AD596" s="153"/>
      <c r="AE596" s="153"/>
      <c r="AF596" s="153"/>
      <c r="AG596" s="153"/>
      <c r="AH596" s="153"/>
      <c r="AI596" s="153"/>
      <c r="AJ596" s="153"/>
      <c r="AK596" s="153"/>
      <c r="AL596" s="153"/>
      <c r="AM596" s="153"/>
      <c r="AN596" s="153"/>
      <c r="AO596" s="153"/>
      <c r="AP596" s="153"/>
    </row>
    <row r="597" spans="4:42" ht="15.75" customHeight="1">
      <c r="D597" s="152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  <c r="AC597" s="153"/>
      <c r="AD597" s="153"/>
      <c r="AE597" s="153"/>
      <c r="AF597" s="153"/>
      <c r="AG597" s="153"/>
      <c r="AH597" s="153"/>
      <c r="AI597" s="153"/>
      <c r="AJ597" s="153"/>
      <c r="AK597" s="153"/>
      <c r="AL597" s="153"/>
      <c r="AM597" s="153"/>
      <c r="AN597" s="153"/>
      <c r="AO597" s="153"/>
      <c r="AP597" s="153"/>
    </row>
    <row r="598" spans="4:42" ht="15.75" customHeight="1">
      <c r="D598" s="152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  <c r="AC598" s="153"/>
      <c r="AD598" s="153"/>
      <c r="AE598" s="153"/>
      <c r="AF598" s="153"/>
      <c r="AG598" s="153"/>
      <c r="AH598" s="153"/>
      <c r="AI598" s="153"/>
      <c r="AJ598" s="153"/>
      <c r="AK598" s="153"/>
      <c r="AL598" s="153"/>
      <c r="AM598" s="153"/>
      <c r="AN598" s="153"/>
      <c r="AO598" s="153"/>
      <c r="AP598" s="153"/>
    </row>
    <row r="599" spans="4:42" ht="15.75" customHeight="1">
      <c r="D599" s="152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  <c r="AC599" s="153"/>
      <c r="AD599" s="153"/>
      <c r="AE599" s="153"/>
      <c r="AF599" s="153"/>
      <c r="AG599" s="153"/>
      <c r="AH599" s="153"/>
      <c r="AI599" s="153"/>
      <c r="AJ599" s="153"/>
      <c r="AK599" s="153"/>
      <c r="AL599" s="153"/>
      <c r="AM599" s="153"/>
      <c r="AN599" s="153"/>
      <c r="AO599" s="153"/>
      <c r="AP599" s="153"/>
    </row>
    <row r="600" spans="4:42" ht="15.75" customHeight="1">
      <c r="D600" s="152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  <c r="AC600" s="153"/>
      <c r="AD600" s="153"/>
      <c r="AE600" s="153"/>
      <c r="AF600" s="153"/>
      <c r="AG600" s="153"/>
      <c r="AH600" s="153"/>
      <c r="AI600" s="153"/>
      <c r="AJ600" s="153"/>
      <c r="AK600" s="153"/>
      <c r="AL600" s="153"/>
      <c r="AM600" s="153"/>
      <c r="AN600" s="153"/>
      <c r="AO600" s="153"/>
      <c r="AP600" s="153"/>
    </row>
    <row r="601" spans="4:42" ht="15.75" customHeight="1">
      <c r="D601" s="152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  <c r="AC601" s="153"/>
      <c r="AD601" s="153"/>
      <c r="AE601" s="153"/>
      <c r="AF601" s="153"/>
      <c r="AG601" s="153"/>
      <c r="AH601" s="153"/>
      <c r="AI601" s="153"/>
      <c r="AJ601" s="153"/>
      <c r="AK601" s="153"/>
      <c r="AL601" s="153"/>
      <c r="AM601" s="153"/>
      <c r="AN601" s="153"/>
      <c r="AO601" s="153"/>
      <c r="AP601" s="153"/>
    </row>
    <row r="602" spans="4:42" ht="15.75" customHeight="1">
      <c r="D602" s="152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  <c r="AC602" s="153"/>
      <c r="AD602" s="153"/>
      <c r="AE602" s="153"/>
      <c r="AF602" s="153"/>
      <c r="AG602" s="153"/>
      <c r="AH602" s="153"/>
      <c r="AI602" s="153"/>
      <c r="AJ602" s="153"/>
      <c r="AK602" s="153"/>
      <c r="AL602" s="153"/>
      <c r="AM602" s="153"/>
      <c r="AN602" s="153"/>
      <c r="AO602" s="153"/>
      <c r="AP602" s="153"/>
    </row>
    <row r="603" spans="4:42" ht="15.75" customHeight="1">
      <c r="D603" s="152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  <c r="AC603" s="153"/>
      <c r="AD603" s="153"/>
      <c r="AE603" s="153"/>
      <c r="AF603" s="153"/>
      <c r="AG603" s="153"/>
      <c r="AH603" s="153"/>
      <c r="AI603" s="153"/>
      <c r="AJ603" s="153"/>
      <c r="AK603" s="153"/>
      <c r="AL603" s="153"/>
      <c r="AM603" s="153"/>
      <c r="AN603" s="153"/>
      <c r="AO603" s="153"/>
      <c r="AP603" s="153"/>
    </row>
    <row r="604" spans="4:42" ht="15.75" customHeight="1">
      <c r="D604" s="152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  <c r="AC604" s="153"/>
      <c r="AD604" s="153"/>
      <c r="AE604" s="153"/>
      <c r="AF604" s="153"/>
      <c r="AG604" s="153"/>
      <c r="AH604" s="153"/>
      <c r="AI604" s="153"/>
      <c r="AJ604" s="153"/>
      <c r="AK604" s="153"/>
      <c r="AL604" s="153"/>
      <c r="AM604" s="153"/>
      <c r="AN604" s="153"/>
      <c r="AO604" s="153"/>
      <c r="AP604" s="153"/>
    </row>
    <row r="605" spans="4:42" ht="15.75" customHeight="1">
      <c r="D605" s="152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  <c r="AC605" s="153"/>
      <c r="AD605" s="153"/>
      <c r="AE605" s="153"/>
      <c r="AF605" s="153"/>
      <c r="AG605" s="153"/>
      <c r="AH605" s="153"/>
      <c r="AI605" s="153"/>
      <c r="AJ605" s="153"/>
      <c r="AK605" s="153"/>
      <c r="AL605" s="153"/>
      <c r="AM605" s="153"/>
      <c r="AN605" s="153"/>
      <c r="AO605" s="153"/>
      <c r="AP605" s="153"/>
    </row>
    <row r="606" spans="4:42" ht="15.75" customHeight="1">
      <c r="D606" s="152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  <c r="AC606" s="153"/>
      <c r="AD606" s="153"/>
      <c r="AE606" s="153"/>
      <c r="AF606" s="153"/>
      <c r="AG606" s="153"/>
      <c r="AH606" s="153"/>
      <c r="AI606" s="153"/>
      <c r="AJ606" s="153"/>
      <c r="AK606" s="153"/>
      <c r="AL606" s="153"/>
      <c r="AM606" s="153"/>
      <c r="AN606" s="153"/>
      <c r="AO606" s="153"/>
      <c r="AP606" s="153"/>
    </row>
    <row r="607" spans="4:42" ht="15.75" customHeight="1">
      <c r="D607" s="152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  <c r="AC607" s="153"/>
      <c r="AD607" s="153"/>
      <c r="AE607" s="153"/>
      <c r="AF607" s="153"/>
      <c r="AG607" s="153"/>
      <c r="AH607" s="153"/>
      <c r="AI607" s="153"/>
      <c r="AJ607" s="153"/>
      <c r="AK607" s="153"/>
      <c r="AL607" s="153"/>
      <c r="AM607" s="153"/>
      <c r="AN607" s="153"/>
      <c r="AO607" s="153"/>
      <c r="AP607" s="153"/>
    </row>
    <row r="608" spans="4:42" ht="15.75" customHeight="1">
      <c r="D608" s="152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  <c r="AC608" s="153"/>
      <c r="AD608" s="153"/>
      <c r="AE608" s="153"/>
      <c r="AF608" s="153"/>
      <c r="AG608" s="153"/>
      <c r="AH608" s="153"/>
      <c r="AI608" s="153"/>
      <c r="AJ608" s="153"/>
      <c r="AK608" s="153"/>
      <c r="AL608" s="153"/>
      <c r="AM608" s="153"/>
      <c r="AN608" s="153"/>
      <c r="AO608" s="153"/>
      <c r="AP608" s="153"/>
    </row>
    <row r="609" spans="4:42" ht="15.75" customHeight="1">
      <c r="D609" s="152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  <c r="AC609" s="153"/>
      <c r="AD609" s="153"/>
      <c r="AE609" s="153"/>
      <c r="AF609" s="153"/>
      <c r="AG609" s="153"/>
      <c r="AH609" s="153"/>
      <c r="AI609" s="153"/>
      <c r="AJ609" s="153"/>
      <c r="AK609" s="153"/>
      <c r="AL609" s="153"/>
      <c r="AM609" s="153"/>
      <c r="AN609" s="153"/>
      <c r="AO609" s="153"/>
      <c r="AP609" s="153"/>
    </row>
    <row r="610" spans="4:42" ht="15.75" customHeight="1">
      <c r="D610" s="152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  <c r="AC610" s="153"/>
      <c r="AD610" s="153"/>
      <c r="AE610" s="153"/>
      <c r="AF610" s="153"/>
      <c r="AG610" s="153"/>
      <c r="AH610" s="153"/>
      <c r="AI610" s="153"/>
      <c r="AJ610" s="153"/>
      <c r="AK610" s="153"/>
      <c r="AL610" s="153"/>
      <c r="AM610" s="153"/>
      <c r="AN610" s="153"/>
      <c r="AO610" s="153"/>
      <c r="AP610" s="153"/>
    </row>
    <row r="611" spans="4:42" ht="15.75" customHeight="1">
      <c r="D611" s="152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  <c r="AC611" s="153"/>
      <c r="AD611" s="153"/>
      <c r="AE611" s="153"/>
      <c r="AF611" s="153"/>
      <c r="AG611" s="153"/>
      <c r="AH611" s="153"/>
      <c r="AI611" s="153"/>
      <c r="AJ611" s="153"/>
      <c r="AK611" s="153"/>
      <c r="AL611" s="153"/>
      <c r="AM611" s="153"/>
      <c r="AN611" s="153"/>
      <c r="AO611" s="153"/>
      <c r="AP611" s="153"/>
    </row>
    <row r="612" spans="4:42" ht="15.75" customHeight="1">
      <c r="D612" s="152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  <c r="AC612" s="153"/>
      <c r="AD612" s="153"/>
      <c r="AE612" s="153"/>
      <c r="AF612" s="153"/>
      <c r="AG612" s="153"/>
      <c r="AH612" s="153"/>
      <c r="AI612" s="153"/>
      <c r="AJ612" s="153"/>
      <c r="AK612" s="153"/>
      <c r="AL612" s="153"/>
      <c r="AM612" s="153"/>
      <c r="AN612" s="153"/>
      <c r="AO612" s="153"/>
      <c r="AP612" s="153"/>
    </row>
    <row r="613" spans="4:42" ht="15.75" customHeight="1">
      <c r="D613" s="152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  <c r="AC613" s="153"/>
      <c r="AD613" s="153"/>
      <c r="AE613" s="153"/>
      <c r="AF613" s="153"/>
      <c r="AG613" s="153"/>
      <c r="AH613" s="153"/>
      <c r="AI613" s="153"/>
      <c r="AJ613" s="153"/>
      <c r="AK613" s="153"/>
      <c r="AL613" s="153"/>
      <c r="AM613" s="153"/>
      <c r="AN613" s="153"/>
      <c r="AO613" s="153"/>
      <c r="AP613" s="153"/>
    </row>
    <row r="614" spans="4:42" ht="15.75" customHeight="1">
      <c r="D614" s="152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  <c r="AC614" s="153"/>
      <c r="AD614" s="153"/>
      <c r="AE614" s="153"/>
      <c r="AF614" s="153"/>
      <c r="AG614" s="153"/>
      <c r="AH614" s="153"/>
      <c r="AI614" s="153"/>
      <c r="AJ614" s="153"/>
      <c r="AK614" s="153"/>
      <c r="AL614" s="153"/>
      <c r="AM614" s="153"/>
      <c r="AN614" s="153"/>
      <c r="AO614" s="153"/>
      <c r="AP614" s="153"/>
    </row>
    <row r="615" spans="4:42" ht="15.75" customHeight="1">
      <c r="D615" s="152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  <c r="AC615" s="153"/>
      <c r="AD615" s="153"/>
      <c r="AE615" s="153"/>
      <c r="AF615" s="153"/>
      <c r="AG615" s="153"/>
      <c r="AH615" s="153"/>
      <c r="AI615" s="153"/>
      <c r="AJ615" s="153"/>
      <c r="AK615" s="153"/>
      <c r="AL615" s="153"/>
      <c r="AM615" s="153"/>
      <c r="AN615" s="153"/>
      <c r="AO615" s="153"/>
      <c r="AP615" s="153"/>
    </row>
    <row r="616" spans="4:42" ht="15.75" customHeight="1">
      <c r="D616" s="152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  <c r="AC616" s="153"/>
      <c r="AD616" s="153"/>
      <c r="AE616" s="153"/>
      <c r="AF616" s="153"/>
      <c r="AG616" s="153"/>
      <c r="AH616" s="153"/>
      <c r="AI616" s="153"/>
      <c r="AJ616" s="153"/>
      <c r="AK616" s="153"/>
      <c r="AL616" s="153"/>
      <c r="AM616" s="153"/>
      <c r="AN616" s="153"/>
      <c r="AO616" s="153"/>
      <c r="AP616" s="153"/>
    </row>
    <row r="617" spans="4:42" ht="15.75" customHeight="1">
      <c r="D617" s="152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  <c r="AC617" s="153"/>
      <c r="AD617" s="153"/>
      <c r="AE617" s="153"/>
      <c r="AF617" s="153"/>
      <c r="AG617" s="153"/>
      <c r="AH617" s="153"/>
      <c r="AI617" s="153"/>
      <c r="AJ617" s="153"/>
      <c r="AK617" s="153"/>
      <c r="AL617" s="153"/>
      <c r="AM617" s="153"/>
      <c r="AN617" s="153"/>
      <c r="AO617" s="153"/>
      <c r="AP617" s="153"/>
    </row>
    <row r="618" spans="4:42" ht="15.75" customHeight="1">
      <c r="D618" s="152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  <c r="AC618" s="153"/>
      <c r="AD618" s="153"/>
      <c r="AE618" s="153"/>
      <c r="AF618" s="153"/>
      <c r="AG618" s="153"/>
      <c r="AH618" s="153"/>
      <c r="AI618" s="153"/>
      <c r="AJ618" s="153"/>
      <c r="AK618" s="153"/>
      <c r="AL618" s="153"/>
      <c r="AM618" s="153"/>
      <c r="AN618" s="153"/>
      <c r="AO618" s="153"/>
      <c r="AP618" s="153"/>
    </row>
    <row r="619" spans="4:42" ht="15.75" customHeight="1">
      <c r="D619" s="152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  <c r="AC619" s="153"/>
      <c r="AD619" s="153"/>
      <c r="AE619" s="153"/>
      <c r="AF619" s="153"/>
      <c r="AG619" s="153"/>
      <c r="AH619" s="153"/>
      <c r="AI619" s="153"/>
      <c r="AJ619" s="153"/>
      <c r="AK619" s="153"/>
      <c r="AL619" s="153"/>
      <c r="AM619" s="153"/>
      <c r="AN619" s="153"/>
      <c r="AO619" s="153"/>
      <c r="AP619" s="153"/>
    </row>
    <row r="620" spans="4:42" ht="15.75" customHeight="1">
      <c r="D620" s="152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  <c r="AC620" s="153"/>
      <c r="AD620" s="153"/>
      <c r="AE620" s="153"/>
      <c r="AF620" s="153"/>
      <c r="AG620" s="153"/>
      <c r="AH620" s="153"/>
      <c r="AI620" s="153"/>
      <c r="AJ620" s="153"/>
      <c r="AK620" s="153"/>
      <c r="AL620" s="153"/>
      <c r="AM620" s="153"/>
      <c r="AN620" s="153"/>
      <c r="AO620" s="153"/>
      <c r="AP620" s="153"/>
    </row>
    <row r="621" spans="4:42" ht="15.75" customHeight="1">
      <c r="D621" s="152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  <c r="AC621" s="153"/>
      <c r="AD621" s="153"/>
      <c r="AE621" s="153"/>
      <c r="AF621" s="153"/>
      <c r="AG621" s="153"/>
      <c r="AH621" s="153"/>
      <c r="AI621" s="153"/>
      <c r="AJ621" s="153"/>
      <c r="AK621" s="153"/>
      <c r="AL621" s="153"/>
      <c r="AM621" s="153"/>
      <c r="AN621" s="153"/>
      <c r="AO621" s="153"/>
      <c r="AP621" s="153"/>
    </row>
    <row r="622" spans="4:42" ht="15.75" customHeight="1">
      <c r="D622" s="152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  <c r="AC622" s="153"/>
      <c r="AD622" s="153"/>
      <c r="AE622" s="153"/>
      <c r="AF622" s="153"/>
      <c r="AG622" s="153"/>
      <c r="AH622" s="153"/>
      <c r="AI622" s="153"/>
      <c r="AJ622" s="153"/>
      <c r="AK622" s="153"/>
      <c r="AL622" s="153"/>
      <c r="AM622" s="153"/>
      <c r="AN622" s="153"/>
      <c r="AO622" s="153"/>
      <c r="AP622" s="153"/>
    </row>
    <row r="623" spans="4:42" ht="15.75" customHeight="1">
      <c r="D623" s="152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  <c r="AC623" s="153"/>
      <c r="AD623" s="153"/>
      <c r="AE623" s="153"/>
      <c r="AF623" s="153"/>
      <c r="AG623" s="153"/>
      <c r="AH623" s="153"/>
      <c r="AI623" s="153"/>
      <c r="AJ623" s="153"/>
      <c r="AK623" s="153"/>
      <c r="AL623" s="153"/>
      <c r="AM623" s="153"/>
      <c r="AN623" s="153"/>
      <c r="AO623" s="153"/>
      <c r="AP623" s="153"/>
    </row>
    <row r="624" spans="4:42" ht="15.75" customHeight="1">
      <c r="D624" s="152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  <c r="AC624" s="153"/>
      <c r="AD624" s="153"/>
      <c r="AE624" s="153"/>
      <c r="AF624" s="153"/>
      <c r="AG624" s="153"/>
      <c r="AH624" s="153"/>
      <c r="AI624" s="153"/>
      <c r="AJ624" s="153"/>
      <c r="AK624" s="153"/>
      <c r="AL624" s="153"/>
      <c r="AM624" s="153"/>
      <c r="AN624" s="153"/>
      <c r="AO624" s="153"/>
      <c r="AP624" s="153"/>
    </row>
    <row r="625" spans="4:42" ht="15.75" customHeight="1">
      <c r="D625" s="152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  <c r="AC625" s="153"/>
      <c r="AD625" s="153"/>
      <c r="AE625" s="153"/>
      <c r="AF625" s="153"/>
      <c r="AG625" s="153"/>
      <c r="AH625" s="153"/>
      <c r="AI625" s="153"/>
      <c r="AJ625" s="153"/>
      <c r="AK625" s="153"/>
      <c r="AL625" s="153"/>
      <c r="AM625" s="153"/>
      <c r="AN625" s="153"/>
      <c r="AO625" s="153"/>
      <c r="AP625" s="153"/>
    </row>
    <row r="626" spans="4:42" ht="15.75" customHeight="1">
      <c r="D626" s="152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  <c r="AC626" s="153"/>
      <c r="AD626" s="153"/>
      <c r="AE626" s="153"/>
      <c r="AF626" s="153"/>
      <c r="AG626" s="153"/>
      <c r="AH626" s="153"/>
      <c r="AI626" s="153"/>
      <c r="AJ626" s="153"/>
      <c r="AK626" s="153"/>
      <c r="AL626" s="153"/>
      <c r="AM626" s="153"/>
      <c r="AN626" s="153"/>
      <c r="AO626" s="153"/>
      <c r="AP626" s="153"/>
    </row>
    <row r="627" spans="4:42" ht="15.75" customHeight="1">
      <c r="D627" s="152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  <c r="AC627" s="153"/>
      <c r="AD627" s="153"/>
      <c r="AE627" s="153"/>
      <c r="AF627" s="153"/>
      <c r="AG627" s="153"/>
      <c r="AH627" s="153"/>
      <c r="AI627" s="153"/>
      <c r="AJ627" s="153"/>
      <c r="AK627" s="153"/>
      <c r="AL627" s="153"/>
      <c r="AM627" s="153"/>
      <c r="AN627" s="153"/>
      <c r="AO627" s="153"/>
      <c r="AP627" s="153"/>
    </row>
    <row r="628" spans="4:42" ht="15.75" customHeight="1">
      <c r="D628" s="152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  <c r="AC628" s="153"/>
      <c r="AD628" s="153"/>
      <c r="AE628" s="153"/>
      <c r="AF628" s="153"/>
      <c r="AG628" s="153"/>
      <c r="AH628" s="153"/>
      <c r="AI628" s="153"/>
      <c r="AJ628" s="153"/>
      <c r="AK628" s="153"/>
      <c r="AL628" s="153"/>
      <c r="AM628" s="153"/>
      <c r="AN628" s="153"/>
      <c r="AO628" s="153"/>
      <c r="AP628" s="153"/>
    </row>
    <row r="629" spans="4:42" ht="15.75" customHeight="1">
      <c r="D629" s="152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  <c r="AC629" s="153"/>
      <c r="AD629" s="153"/>
      <c r="AE629" s="153"/>
      <c r="AF629" s="153"/>
      <c r="AG629" s="153"/>
      <c r="AH629" s="153"/>
      <c r="AI629" s="153"/>
      <c r="AJ629" s="153"/>
      <c r="AK629" s="153"/>
      <c r="AL629" s="153"/>
      <c r="AM629" s="153"/>
      <c r="AN629" s="153"/>
      <c r="AO629" s="153"/>
      <c r="AP629" s="153"/>
    </row>
    <row r="630" spans="4:42" ht="15.75" customHeight="1">
      <c r="D630" s="152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  <c r="AC630" s="153"/>
      <c r="AD630" s="153"/>
      <c r="AE630" s="153"/>
      <c r="AF630" s="153"/>
      <c r="AG630" s="153"/>
      <c r="AH630" s="153"/>
      <c r="AI630" s="153"/>
      <c r="AJ630" s="153"/>
      <c r="AK630" s="153"/>
      <c r="AL630" s="153"/>
      <c r="AM630" s="153"/>
      <c r="AN630" s="153"/>
      <c r="AO630" s="153"/>
      <c r="AP630" s="153"/>
    </row>
    <row r="631" spans="4:42" ht="15.75" customHeight="1">
      <c r="D631" s="152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  <c r="AC631" s="153"/>
      <c r="AD631" s="153"/>
      <c r="AE631" s="153"/>
      <c r="AF631" s="153"/>
      <c r="AG631" s="153"/>
      <c r="AH631" s="153"/>
      <c r="AI631" s="153"/>
      <c r="AJ631" s="153"/>
      <c r="AK631" s="153"/>
      <c r="AL631" s="153"/>
      <c r="AM631" s="153"/>
      <c r="AN631" s="153"/>
      <c r="AO631" s="153"/>
      <c r="AP631" s="153"/>
    </row>
    <row r="632" spans="4:42" ht="15.75" customHeight="1">
      <c r="D632" s="152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  <c r="AC632" s="153"/>
      <c r="AD632" s="153"/>
      <c r="AE632" s="153"/>
      <c r="AF632" s="153"/>
      <c r="AG632" s="153"/>
      <c r="AH632" s="153"/>
      <c r="AI632" s="153"/>
      <c r="AJ632" s="153"/>
      <c r="AK632" s="153"/>
      <c r="AL632" s="153"/>
      <c r="AM632" s="153"/>
      <c r="AN632" s="153"/>
      <c r="AO632" s="153"/>
      <c r="AP632" s="153"/>
    </row>
    <row r="633" spans="4:42" ht="15.75" customHeight="1">
      <c r="D633" s="152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  <c r="AC633" s="153"/>
      <c r="AD633" s="153"/>
      <c r="AE633" s="153"/>
      <c r="AF633" s="153"/>
      <c r="AG633" s="153"/>
      <c r="AH633" s="153"/>
      <c r="AI633" s="153"/>
      <c r="AJ633" s="153"/>
      <c r="AK633" s="153"/>
      <c r="AL633" s="153"/>
      <c r="AM633" s="153"/>
      <c r="AN633" s="153"/>
      <c r="AO633" s="153"/>
      <c r="AP633" s="153"/>
    </row>
    <row r="634" spans="4:42" ht="15.75" customHeight="1">
      <c r="D634" s="152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  <c r="AC634" s="153"/>
      <c r="AD634" s="153"/>
      <c r="AE634" s="153"/>
      <c r="AF634" s="153"/>
      <c r="AG634" s="153"/>
      <c r="AH634" s="153"/>
      <c r="AI634" s="153"/>
      <c r="AJ634" s="153"/>
      <c r="AK634" s="153"/>
      <c r="AL634" s="153"/>
      <c r="AM634" s="153"/>
      <c r="AN634" s="153"/>
      <c r="AO634" s="153"/>
      <c r="AP634" s="153"/>
    </row>
    <row r="635" spans="4:42" ht="15.75" customHeight="1">
      <c r="D635" s="152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  <c r="AC635" s="153"/>
      <c r="AD635" s="153"/>
      <c r="AE635" s="153"/>
      <c r="AF635" s="153"/>
      <c r="AG635" s="153"/>
      <c r="AH635" s="153"/>
      <c r="AI635" s="153"/>
      <c r="AJ635" s="153"/>
      <c r="AK635" s="153"/>
      <c r="AL635" s="153"/>
      <c r="AM635" s="153"/>
      <c r="AN635" s="153"/>
      <c r="AO635" s="153"/>
      <c r="AP635" s="153"/>
    </row>
    <row r="636" spans="4:42" ht="15.75" customHeight="1">
      <c r="D636" s="152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  <c r="AC636" s="153"/>
      <c r="AD636" s="153"/>
      <c r="AE636" s="153"/>
      <c r="AF636" s="153"/>
      <c r="AG636" s="153"/>
      <c r="AH636" s="153"/>
      <c r="AI636" s="153"/>
      <c r="AJ636" s="153"/>
      <c r="AK636" s="153"/>
      <c r="AL636" s="153"/>
      <c r="AM636" s="153"/>
      <c r="AN636" s="153"/>
      <c r="AO636" s="153"/>
      <c r="AP636" s="153"/>
    </row>
    <row r="637" spans="4:42" ht="15.75" customHeight="1">
      <c r="D637" s="152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  <c r="AC637" s="153"/>
      <c r="AD637" s="153"/>
      <c r="AE637" s="153"/>
      <c r="AF637" s="153"/>
      <c r="AG637" s="153"/>
      <c r="AH637" s="153"/>
      <c r="AI637" s="153"/>
      <c r="AJ637" s="153"/>
      <c r="AK637" s="153"/>
      <c r="AL637" s="153"/>
      <c r="AM637" s="153"/>
      <c r="AN637" s="153"/>
      <c r="AO637" s="153"/>
      <c r="AP637" s="153"/>
    </row>
    <row r="638" spans="4:42" ht="15.75" customHeight="1">
      <c r="D638" s="152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  <c r="AC638" s="153"/>
      <c r="AD638" s="153"/>
      <c r="AE638" s="153"/>
      <c r="AF638" s="153"/>
      <c r="AG638" s="153"/>
      <c r="AH638" s="153"/>
      <c r="AI638" s="153"/>
      <c r="AJ638" s="153"/>
      <c r="AK638" s="153"/>
      <c r="AL638" s="153"/>
      <c r="AM638" s="153"/>
      <c r="AN638" s="153"/>
      <c r="AO638" s="153"/>
      <c r="AP638" s="153"/>
    </row>
    <row r="639" spans="4:42" ht="15.75" customHeight="1">
      <c r="D639" s="152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  <c r="AC639" s="153"/>
      <c r="AD639" s="153"/>
      <c r="AE639" s="153"/>
      <c r="AF639" s="153"/>
      <c r="AG639" s="153"/>
      <c r="AH639" s="153"/>
      <c r="AI639" s="153"/>
      <c r="AJ639" s="153"/>
      <c r="AK639" s="153"/>
      <c r="AL639" s="153"/>
      <c r="AM639" s="153"/>
      <c r="AN639" s="153"/>
      <c r="AO639" s="153"/>
      <c r="AP639" s="153"/>
    </row>
    <row r="640" spans="4:42" ht="15.75" customHeight="1">
      <c r="D640" s="152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  <c r="AC640" s="153"/>
      <c r="AD640" s="153"/>
      <c r="AE640" s="153"/>
      <c r="AF640" s="153"/>
      <c r="AG640" s="153"/>
      <c r="AH640" s="153"/>
      <c r="AI640" s="153"/>
      <c r="AJ640" s="153"/>
      <c r="AK640" s="153"/>
      <c r="AL640" s="153"/>
      <c r="AM640" s="153"/>
      <c r="AN640" s="153"/>
      <c r="AO640" s="153"/>
      <c r="AP640" s="153"/>
    </row>
    <row r="641" spans="4:42" ht="15.75" customHeight="1">
      <c r="D641" s="152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  <c r="AC641" s="153"/>
      <c r="AD641" s="153"/>
      <c r="AE641" s="153"/>
      <c r="AF641" s="153"/>
      <c r="AG641" s="153"/>
      <c r="AH641" s="153"/>
      <c r="AI641" s="153"/>
      <c r="AJ641" s="153"/>
      <c r="AK641" s="153"/>
      <c r="AL641" s="153"/>
      <c r="AM641" s="153"/>
      <c r="AN641" s="153"/>
      <c r="AO641" s="153"/>
      <c r="AP641" s="153"/>
    </row>
    <row r="642" spans="4:42" ht="15.75" customHeight="1">
      <c r="D642" s="152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  <c r="AC642" s="153"/>
      <c r="AD642" s="153"/>
      <c r="AE642" s="153"/>
      <c r="AF642" s="153"/>
      <c r="AG642" s="153"/>
      <c r="AH642" s="153"/>
      <c r="AI642" s="153"/>
      <c r="AJ642" s="153"/>
      <c r="AK642" s="153"/>
      <c r="AL642" s="153"/>
      <c r="AM642" s="153"/>
      <c r="AN642" s="153"/>
      <c r="AO642" s="153"/>
      <c r="AP642" s="153"/>
    </row>
    <row r="643" spans="4:42" ht="15.75" customHeight="1">
      <c r="D643" s="152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  <c r="AC643" s="153"/>
      <c r="AD643" s="153"/>
      <c r="AE643" s="153"/>
      <c r="AF643" s="153"/>
      <c r="AG643" s="153"/>
      <c r="AH643" s="153"/>
      <c r="AI643" s="153"/>
      <c r="AJ643" s="153"/>
      <c r="AK643" s="153"/>
      <c r="AL643" s="153"/>
      <c r="AM643" s="153"/>
      <c r="AN643" s="153"/>
      <c r="AO643" s="153"/>
      <c r="AP643" s="153"/>
    </row>
    <row r="644" spans="4:42" ht="15.75" customHeight="1">
      <c r="D644" s="152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  <c r="AC644" s="153"/>
      <c r="AD644" s="153"/>
      <c r="AE644" s="153"/>
      <c r="AF644" s="153"/>
      <c r="AG644" s="153"/>
      <c r="AH644" s="153"/>
      <c r="AI644" s="153"/>
      <c r="AJ644" s="153"/>
      <c r="AK644" s="153"/>
      <c r="AL644" s="153"/>
      <c r="AM644" s="153"/>
      <c r="AN644" s="153"/>
      <c r="AO644" s="153"/>
      <c r="AP644" s="153"/>
    </row>
    <row r="645" spans="4:42" ht="15.75" customHeight="1">
      <c r="D645" s="152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  <c r="AC645" s="153"/>
      <c r="AD645" s="153"/>
      <c r="AE645" s="153"/>
      <c r="AF645" s="153"/>
      <c r="AG645" s="153"/>
      <c r="AH645" s="153"/>
      <c r="AI645" s="153"/>
      <c r="AJ645" s="153"/>
      <c r="AK645" s="153"/>
      <c r="AL645" s="153"/>
      <c r="AM645" s="153"/>
      <c r="AN645" s="153"/>
      <c r="AO645" s="153"/>
      <c r="AP645" s="153"/>
    </row>
    <row r="646" spans="4:42" ht="15.75" customHeight="1">
      <c r="D646" s="152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  <c r="AC646" s="153"/>
      <c r="AD646" s="153"/>
      <c r="AE646" s="153"/>
      <c r="AF646" s="153"/>
      <c r="AG646" s="153"/>
      <c r="AH646" s="153"/>
      <c r="AI646" s="153"/>
      <c r="AJ646" s="153"/>
      <c r="AK646" s="153"/>
      <c r="AL646" s="153"/>
      <c r="AM646" s="153"/>
      <c r="AN646" s="153"/>
      <c r="AO646" s="153"/>
      <c r="AP646" s="153"/>
    </row>
    <row r="647" spans="4:42" ht="15.75" customHeight="1">
      <c r="D647" s="152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  <c r="AC647" s="153"/>
      <c r="AD647" s="153"/>
      <c r="AE647" s="153"/>
      <c r="AF647" s="153"/>
      <c r="AG647" s="153"/>
      <c r="AH647" s="153"/>
      <c r="AI647" s="153"/>
      <c r="AJ647" s="153"/>
      <c r="AK647" s="153"/>
      <c r="AL647" s="153"/>
      <c r="AM647" s="153"/>
      <c r="AN647" s="153"/>
      <c r="AO647" s="153"/>
      <c r="AP647" s="153"/>
    </row>
    <row r="648" spans="4:42" ht="15.75" customHeight="1">
      <c r="D648" s="152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  <c r="AC648" s="153"/>
      <c r="AD648" s="153"/>
      <c r="AE648" s="153"/>
      <c r="AF648" s="153"/>
      <c r="AG648" s="153"/>
      <c r="AH648" s="153"/>
      <c r="AI648" s="153"/>
      <c r="AJ648" s="153"/>
      <c r="AK648" s="153"/>
      <c r="AL648" s="153"/>
      <c r="AM648" s="153"/>
      <c r="AN648" s="153"/>
      <c r="AO648" s="153"/>
      <c r="AP648" s="153"/>
    </row>
    <row r="649" spans="4:42" ht="15.75" customHeight="1">
      <c r="D649" s="152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  <c r="AC649" s="153"/>
      <c r="AD649" s="153"/>
      <c r="AE649" s="153"/>
      <c r="AF649" s="153"/>
      <c r="AG649" s="153"/>
      <c r="AH649" s="153"/>
      <c r="AI649" s="153"/>
      <c r="AJ649" s="153"/>
      <c r="AK649" s="153"/>
      <c r="AL649" s="153"/>
      <c r="AM649" s="153"/>
      <c r="AN649" s="153"/>
      <c r="AO649" s="153"/>
      <c r="AP649" s="153"/>
    </row>
    <row r="650" spans="4:42" ht="15.75" customHeight="1">
      <c r="D650" s="152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  <c r="AC650" s="153"/>
      <c r="AD650" s="153"/>
      <c r="AE650" s="153"/>
      <c r="AF650" s="153"/>
      <c r="AG650" s="153"/>
      <c r="AH650" s="153"/>
      <c r="AI650" s="153"/>
      <c r="AJ650" s="153"/>
      <c r="AK650" s="153"/>
      <c r="AL650" s="153"/>
      <c r="AM650" s="153"/>
      <c r="AN650" s="153"/>
      <c r="AO650" s="153"/>
      <c r="AP650" s="153"/>
    </row>
    <row r="651" spans="4:42" ht="15.75" customHeight="1">
      <c r="D651" s="152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  <c r="AC651" s="153"/>
      <c r="AD651" s="153"/>
      <c r="AE651" s="153"/>
      <c r="AF651" s="153"/>
      <c r="AG651" s="153"/>
      <c r="AH651" s="153"/>
      <c r="AI651" s="153"/>
      <c r="AJ651" s="153"/>
      <c r="AK651" s="153"/>
      <c r="AL651" s="153"/>
      <c r="AM651" s="153"/>
      <c r="AN651" s="153"/>
      <c r="AO651" s="153"/>
      <c r="AP651" s="153"/>
    </row>
    <row r="652" spans="4:42" ht="15.75" customHeight="1">
      <c r="D652" s="152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  <c r="AC652" s="153"/>
      <c r="AD652" s="153"/>
      <c r="AE652" s="153"/>
      <c r="AF652" s="153"/>
      <c r="AG652" s="153"/>
      <c r="AH652" s="153"/>
      <c r="AI652" s="153"/>
      <c r="AJ652" s="153"/>
      <c r="AK652" s="153"/>
      <c r="AL652" s="153"/>
      <c r="AM652" s="153"/>
      <c r="AN652" s="153"/>
      <c r="AO652" s="153"/>
      <c r="AP652" s="153"/>
    </row>
    <row r="653" spans="4:42" ht="15.75" customHeight="1">
      <c r="D653" s="152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  <c r="AC653" s="153"/>
      <c r="AD653" s="153"/>
      <c r="AE653" s="153"/>
      <c r="AF653" s="153"/>
      <c r="AG653" s="153"/>
      <c r="AH653" s="153"/>
      <c r="AI653" s="153"/>
      <c r="AJ653" s="153"/>
      <c r="AK653" s="153"/>
      <c r="AL653" s="153"/>
      <c r="AM653" s="153"/>
      <c r="AN653" s="153"/>
      <c r="AO653" s="153"/>
      <c r="AP653" s="153"/>
    </row>
    <row r="654" spans="4:42" ht="15.75" customHeight="1">
      <c r="D654" s="152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  <c r="AC654" s="153"/>
      <c r="AD654" s="153"/>
      <c r="AE654" s="153"/>
      <c r="AF654" s="153"/>
      <c r="AG654" s="153"/>
      <c r="AH654" s="153"/>
      <c r="AI654" s="153"/>
      <c r="AJ654" s="153"/>
      <c r="AK654" s="153"/>
      <c r="AL654" s="153"/>
      <c r="AM654" s="153"/>
      <c r="AN654" s="153"/>
      <c r="AO654" s="153"/>
      <c r="AP654" s="153"/>
    </row>
    <row r="655" spans="4:42" ht="15.75" customHeight="1">
      <c r="D655" s="152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  <c r="AC655" s="153"/>
      <c r="AD655" s="153"/>
      <c r="AE655" s="153"/>
      <c r="AF655" s="153"/>
      <c r="AG655" s="153"/>
      <c r="AH655" s="153"/>
      <c r="AI655" s="153"/>
      <c r="AJ655" s="153"/>
      <c r="AK655" s="153"/>
      <c r="AL655" s="153"/>
      <c r="AM655" s="153"/>
      <c r="AN655" s="153"/>
      <c r="AO655" s="153"/>
      <c r="AP655" s="153"/>
    </row>
    <row r="656" spans="4:42" ht="15.75" customHeight="1">
      <c r="D656" s="152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  <c r="AC656" s="153"/>
      <c r="AD656" s="153"/>
      <c r="AE656" s="153"/>
      <c r="AF656" s="153"/>
      <c r="AG656" s="153"/>
      <c r="AH656" s="153"/>
      <c r="AI656" s="153"/>
      <c r="AJ656" s="153"/>
      <c r="AK656" s="153"/>
      <c r="AL656" s="153"/>
      <c r="AM656" s="153"/>
      <c r="AN656" s="153"/>
      <c r="AO656" s="153"/>
      <c r="AP656" s="153"/>
    </row>
    <row r="657" spans="4:42" ht="15.75" customHeight="1">
      <c r="D657" s="152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  <c r="AC657" s="153"/>
      <c r="AD657" s="153"/>
      <c r="AE657" s="153"/>
      <c r="AF657" s="153"/>
      <c r="AG657" s="153"/>
      <c r="AH657" s="153"/>
      <c r="AI657" s="153"/>
      <c r="AJ657" s="153"/>
      <c r="AK657" s="153"/>
      <c r="AL657" s="153"/>
      <c r="AM657" s="153"/>
      <c r="AN657" s="153"/>
      <c r="AO657" s="153"/>
      <c r="AP657" s="153"/>
    </row>
    <row r="658" spans="4:42" ht="15.75" customHeight="1">
      <c r="D658" s="152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  <c r="AC658" s="153"/>
      <c r="AD658" s="153"/>
      <c r="AE658" s="153"/>
      <c r="AF658" s="153"/>
      <c r="AG658" s="153"/>
      <c r="AH658" s="153"/>
      <c r="AI658" s="153"/>
      <c r="AJ658" s="153"/>
      <c r="AK658" s="153"/>
      <c r="AL658" s="153"/>
      <c r="AM658" s="153"/>
      <c r="AN658" s="153"/>
      <c r="AO658" s="153"/>
      <c r="AP658" s="153"/>
    </row>
    <row r="659" spans="4:42" ht="15.75" customHeight="1">
      <c r="D659" s="152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  <c r="AC659" s="153"/>
      <c r="AD659" s="153"/>
      <c r="AE659" s="153"/>
      <c r="AF659" s="153"/>
      <c r="AG659" s="153"/>
      <c r="AH659" s="153"/>
      <c r="AI659" s="153"/>
      <c r="AJ659" s="153"/>
      <c r="AK659" s="153"/>
      <c r="AL659" s="153"/>
      <c r="AM659" s="153"/>
      <c r="AN659" s="153"/>
      <c r="AO659" s="153"/>
      <c r="AP659" s="153"/>
    </row>
    <row r="660" spans="4:42" ht="15.75" customHeight="1">
      <c r="D660" s="152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  <c r="AC660" s="153"/>
      <c r="AD660" s="153"/>
      <c r="AE660" s="153"/>
      <c r="AF660" s="153"/>
      <c r="AG660" s="153"/>
      <c r="AH660" s="153"/>
      <c r="AI660" s="153"/>
      <c r="AJ660" s="153"/>
      <c r="AK660" s="153"/>
      <c r="AL660" s="153"/>
      <c r="AM660" s="153"/>
      <c r="AN660" s="153"/>
      <c r="AO660" s="153"/>
      <c r="AP660" s="153"/>
    </row>
    <row r="661" spans="4:42" ht="15.75" customHeight="1">
      <c r="D661" s="152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  <c r="AC661" s="153"/>
      <c r="AD661" s="153"/>
      <c r="AE661" s="153"/>
      <c r="AF661" s="153"/>
      <c r="AG661" s="153"/>
      <c r="AH661" s="153"/>
      <c r="AI661" s="153"/>
      <c r="AJ661" s="153"/>
      <c r="AK661" s="153"/>
      <c r="AL661" s="153"/>
      <c r="AM661" s="153"/>
      <c r="AN661" s="153"/>
      <c r="AO661" s="153"/>
      <c r="AP661" s="153"/>
    </row>
    <row r="662" spans="4:42" ht="15.75" customHeight="1">
      <c r="D662" s="152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  <c r="AC662" s="153"/>
      <c r="AD662" s="153"/>
      <c r="AE662" s="153"/>
      <c r="AF662" s="153"/>
      <c r="AG662" s="153"/>
      <c r="AH662" s="153"/>
      <c r="AI662" s="153"/>
      <c r="AJ662" s="153"/>
      <c r="AK662" s="153"/>
      <c r="AL662" s="153"/>
      <c r="AM662" s="153"/>
      <c r="AN662" s="153"/>
      <c r="AO662" s="153"/>
      <c r="AP662" s="153"/>
    </row>
    <row r="663" spans="4:42" ht="15.75" customHeight="1">
      <c r="D663" s="152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  <c r="AC663" s="153"/>
      <c r="AD663" s="153"/>
      <c r="AE663" s="153"/>
      <c r="AF663" s="153"/>
      <c r="AG663" s="153"/>
      <c r="AH663" s="153"/>
      <c r="AI663" s="153"/>
      <c r="AJ663" s="153"/>
      <c r="AK663" s="153"/>
      <c r="AL663" s="153"/>
      <c r="AM663" s="153"/>
      <c r="AN663" s="153"/>
      <c r="AO663" s="153"/>
      <c r="AP663" s="153"/>
    </row>
    <row r="664" spans="4:42" ht="15.75" customHeight="1">
      <c r="D664" s="152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  <c r="AC664" s="153"/>
      <c r="AD664" s="153"/>
      <c r="AE664" s="153"/>
      <c r="AF664" s="153"/>
      <c r="AG664" s="153"/>
      <c r="AH664" s="153"/>
      <c r="AI664" s="153"/>
      <c r="AJ664" s="153"/>
      <c r="AK664" s="153"/>
      <c r="AL664" s="153"/>
      <c r="AM664" s="153"/>
      <c r="AN664" s="153"/>
      <c r="AO664" s="153"/>
      <c r="AP664" s="153"/>
    </row>
    <row r="665" spans="4:42" ht="15.75" customHeight="1">
      <c r="D665" s="152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  <c r="AD665" s="153"/>
      <c r="AE665" s="153"/>
      <c r="AF665" s="153"/>
      <c r="AG665" s="153"/>
      <c r="AH665" s="153"/>
      <c r="AI665" s="153"/>
      <c r="AJ665" s="153"/>
      <c r="AK665" s="153"/>
      <c r="AL665" s="153"/>
      <c r="AM665" s="153"/>
      <c r="AN665" s="153"/>
      <c r="AO665" s="153"/>
      <c r="AP665" s="153"/>
    </row>
    <row r="666" spans="4:42" ht="15.75" customHeight="1">
      <c r="D666" s="152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  <c r="AC666" s="153"/>
      <c r="AD666" s="153"/>
      <c r="AE666" s="153"/>
      <c r="AF666" s="153"/>
      <c r="AG666" s="153"/>
      <c r="AH666" s="153"/>
      <c r="AI666" s="153"/>
      <c r="AJ666" s="153"/>
      <c r="AK666" s="153"/>
      <c r="AL666" s="153"/>
      <c r="AM666" s="153"/>
      <c r="AN666" s="153"/>
      <c r="AO666" s="153"/>
      <c r="AP666" s="153"/>
    </row>
    <row r="667" spans="4:42" ht="15.75" customHeight="1">
      <c r="D667" s="152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  <c r="AC667" s="153"/>
      <c r="AD667" s="153"/>
      <c r="AE667" s="153"/>
      <c r="AF667" s="153"/>
      <c r="AG667" s="153"/>
      <c r="AH667" s="153"/>
      <c r="AI667" s="153"/>
      <c r="AJ667" s="153"/>
      <c r="AK667" s="153"/>
      <c r="AL667" s="153"/>
      <c r="AM667" s="153"/>
      <c r="AN667" s="153"/>
      <c r="AO667" s="153"/>
      <c r="AP667" s="153"/>
    </row>
    <row r="668" spans="4:42" ht="15.75" customHeight="1">
      <c r="D668" s="152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  <c r="AC668" s="153"/>
      <c r="AD668" s="153"/>
      <c r="AE668" s="153"/>
      <c r="AF668" s="153"/>
      <c r="AG668" s="153"/>
      <c r="AH668" s="153"/>
      <c r="AI668" s="153"/>
      <c r="AJ668" s="153"/>
      <c r="AK668" s="153"/>
      <c r="AL668" s="153"/>
      <c r="AM668" s="153"/>
      <c r="AN668" s="153"/>
      <c r="AO668" s="153"/>
      <c r="AP668" s="153"/>
    </row>
    <row r="669" spans="4:42" ht="15.75" customHeight="1">
      <c r="D669" s="152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  <c r="AC669" s="153"/>
      <c r="AD669" s="153"/>
      <c r="AE669" s="153"/>
      <c r="AF669" s="153"/>
      <c r="AG669" s="153"/>
      <c r="AH669" s="153"/>
      <c r="AI669" s="153"/>
      <c r="AJ669" s="153"/>
      <c r="AK669" s="153"/>
      <c r="AL669" s="153"/>
      <c r="AM669" s="153"/>
      <c r="AN669" s="153"/>
      <c r="AO669" s="153"/>
      <c r="AP669" s="153"/>
    </row>
    <row r="670" spans="4:42" ht="15.75" customHeight="1">
      <c r="D670" s="152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  <c r="AC670" s="153"/>
      <c r="AD670" s="153"/>
      <c r="AE670" s="153"/>
      <c r="AF670" s="153"/>
      <c r="AG670" s="153"/>
      <c r="AH670" s="153"/>
      <c r="AI670" s="153"/>
      <c r="AJ670" s="153"/>
      <c r="AK670" s="153"/>
      <c r="AL670" s="153"/>
      <c r="AM670" s="153"/>
      <c r="AN670" s="153"/>
      <c r="AO670" s="153"/>
      <c r="AP670" s="153"/>
    </row>
    <row r="671" spans="4:42" ht="15.75" customHeight="1">
      <c r="D671" s="152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  <c r="AC671" s="153"/>
      <c r="AD671" s="153"/>
      <c r="AE671" s="153"/>
      <c r="AF671" s="153"/>
      <c r="AG671" s="153"/>
      <c r="AH671" s="153"/>
      <c r="AI671" s="153"/>
      <c r="AJ671" s="153"/>
      <c r="AK671" s="153"/>
      <c r="AL671" s="153"/>
      <c r="AM671" s="153"/>
      <c r="AN671" s="153"/>
      <c r="AO671" s="153"/>
      <c r="AP671" s="153"/>
    </row>
    <row r="672" spans="4:42" ht="15.75" customHeight="1">
      <c r="D672" s="152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  <c r="AC672" s="153"/>
      <c r="AD672" s="153"/>
      <c r="AE672" s="153"/>
      <c r="AF672" s="153"/>
      <c r="AG672" s="153"/>
      <c r="AH672" s="153"/>
      <c r="AI672" s="153"/>
      <c r="AJ672" s="153"/>
      <c r="AK672" s="153"/>
      <c r="AL672" s="153"/>
      <c r="AM672" s="153"/>
      <c r="AN672" s="153"/>
      <c r="AO672" s="153"/>
      <c r="AP672" s="153"/>
    </row>
    <row r="673" spans="4:42" ht="15.75" customHeight="1">
      <c r="D673" s="152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  <c r="AC673" s="153"/>
      <c r="AD673" s="153"/>
      <c r="AE673" s="153"/>
      <c r="AF673" s="153"/>
      <c r="AG673" s="153"/>
      <c r="AH673" s="153"/>
      <c r="AI673" s="153"/>
      <c r="AJ673" s="153"/>
      <c r="AK673" s="153"/>
      <c r="AL673" s="153"/>
      <c r="AM673" s="153"/>
      <c r="AN673" s="153"/>
      <c r="AO673" s="153"/>
      <c r="AP673" s="153"/>
    </row>
    <row r="674" spans="4:42" ht="15.75" customHeight="1">
      <c r="D674" s="152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  <c r="AC674" s="153"/>
      <c r="AD674" s="153"/>
      <c r="AE674" s="153"/>
      <c r="AF674" s="153"/>
      <c r="AG674" s="153"/>
      <c r="AH674" s="153"/>
      <c r="AI674" s="153"/>
      <c r="AJ674" s="153"/>
      <c r="AK674" s="153"/>
      <c r="AL674" s="153"/>
      <c r="AM674" s="153"/>
      <c r="AN674" s="153"/>
      <c r="AO674" s="153"/>
      <c r="AP674" s="153"/>
    </row>
    <row r="675" spans="4:42" ht="15.75" customHeight="1">
      <c r="D675" s="152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  <c r="AC675" s="153"/>
      <c r="AD675" s="153"/>
      <c r="AE675" s="153"/>
      <c r="AF675" s="153"/>
      <c r="AG675" s="153"/>
      <c r="AH675" s="153"/>
      <c r="AI675" s="153"/>
      <c r="AJ675" s="153"/>
      <c r="AK675" s="153"/>
      <c r="AL675" s="153"/>
      <c r="AM675" s="153"/>
      <c r="AN675" s="153"/>
      <c r="AO675" s="153"/>
      <c r="AP675" s="153"/>
    </row>
    <row r="676" spans="4:42" ht="15.75" customHeight="1">
      <c r="D676" s="152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  <c r="AC676" s="153"/>
      <c r="AD676" s="153"/>
      <c r="AE676" s="153"/>
      <c r="AF676" s="153"/>
      <c r="AG676" s="153"/>
      <c r="AH676" s="153"/>
      <c r="AI676" s="153"/>
      <c r="AJ676" s="153"/>
      <c r="AK676" s="153"/>
      <c r="AL676" s="153"/>
      <c r="AM676" s="153"/>
      <c r="AN676" s="153"/>
      <c r="AO676" s="153"/>
      <c r="AP676" s="153"/>
    </row>
    <row r="677" spans="4:42" ht="15.75" customHeight="1">
      <c r="D677" s="152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  <c r="AC677" s="153"/>
      <c r="AD677" s="153"/>
      <c r="AE677" s="153"/>
      <c r="AF677" s="153"/>
      <c r="AG677" s="153"/>
      <c r="AH677" s="153"/>
      <c r="AI677" s="153"/>
      <c r="AJ677" s="153"/>
      <c r="AK677" s="153"/>
      <c r="AL677" s="153"/>
      <c r="AM677" s="153"/>
      <c r="AN677" s="153"/>
      <c r="AO677" s="153"/>
      <c r="AP677" s="153"/>
    </row>
    <row r="678" spans="4:42" ht="15.75" customHeight="1">
      <c r="D678" s="152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  <c r="AC678" s="153"/>
      <c r="AD678" s="153"/>
      <c r="AE678" s="153"/>
      <c r="AF678" s="153"/>
      <c r="AG678" s="153"/>
      <c r="AH678" s="153"/>
      <c r="AI678" s="153"/>
      <c r="AJ678" s="153"/>
      <c r="AK678" s="153"/>
      <c r="AL678" s="153"/>
      <c r="AM678" s="153"/>
      <c r="AN678" s="153"/>
      <c r="AO678" s="153"/>
      <c r="AP678" s="153"/>
    </row>
    <row r="679" spans="4:42" ht="15.75" customHeight="1">
      <c r="D679" s="152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  <c r="AC679" s="153"/>
      <c r="AD679" s="153"/>
      <c r="AE679" s="153"/>
      <c r="AF679" s="153"/>
      <c r="AG679" s="153"/>
      <c r="AH679" s="153"/>
      <c r="AI679" s="153"/>
      <c r="AJ679" s="153"/>
      <c r="AK679" s="153"/>
      <c r="AL679" s="153"/>
      <c r="AM679" s="153"/>
      <c r="AN679" s="153"/>
      <c r="AO679" s="153"/>
      <c r="AP679" s="153"/>
    </row>
    <row r="680" spans="4:42" ht="15.75" customHeight="1">
      <c r="D680" s="152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  <c r="AC680" s="153"/>
      <c r="AD680" s="153"/>
      <c r="AE680" s="153"/>
      <c r="AF680" s="153"/>
      <c r="AG680" s="153"/>
      <c r="AH680" s="153"/>
      <c r="AI680" s="153"/>
      <c r="AJ680" s="153"/>
      <c r="AK680" s="153"/>
      <c r="AL680" s="153"/>
      <c r="AM680" s="153"/>
      <c r="AN680" s="153"/>
      <c r="AO680" s="153"/>
      <c r="AP680" s="153"/>
    </row>
    <row r="681" spans="4:42" ht="15.75" customHeight="1">
      <c r="D681" s="152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  <c r="AC681" s="153"/>
      <c r="AD681" s="153"/>
      <c r="AE681" s="153"/>
      <c r="AF681" s="153"/>
      <c r="AG681" s="153"/>
      <c r="AH681" s="153"/>
      <c r="AI681" s="153"/>
      <c r="AJ681" s="153"/>
      <c r="AK681" s="153"/>
      <c r="AL681" s="153"/>
      <c r="AM681" s="153"/>
      <c r="AN681" s="153"/>
      <c r="AO681" s="153"/>
      <c r="AP681" s="153"/>
    </row>
    <row r="682" spans="4:42" ht="15.75" customHeight="1">
      <c r="D682" s="152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  <c r="AC682" s="153"/>
      <c r="AD682" s="153"/>
      <c r="AE682" s="153"/>
      <c r="AF682" s="153"/>
      <c r="AG682" s="153"/>
      <c r="AH682" s="153"/>
      <c r="AI682" s="153"/>
      <c r="AJ682" s="153"/>
      <c r="AK682" s="153"/>
      <c r="AL682" s="153"/>
      <c r="AM682" s="153"/>
      <c r="AN682" s="153"/>
      <c r="AO682" s="153"/>
      <c r="AP682" s="153"/>
    </row>
    <row r="683" spans="4:42" ht="15.75" customHeight="1">
      <c r="D683" s="152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  <c r="AC683" s="153"/>
      <c r="AD683" s="153"/>
      <c r="AE683" s="153"/>
      <c r="AF683" s="153"/>
      <c r="AG683" s="153"/>
      <c r="AH683" s="153"/>
      <c r="AI683" s="153"/>
      <c r="AJ683" s="153"/>
      <c r="AK683" s="153"/>
      <c r="AL683" s="153"/>
      <c r="AM683" s="153"/>
      <c r="AN683" s="153"/>
      <c r="AO683" s="153"/>
      <c r="AP683" s="153"/>
    </row>
    <row r="684" spans="4:42" ht="15.75" customHeight="1">
      <c r="D684" s="152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  <c r="AC684" s="153"/>
      <c r="AD684" s="153"/>
      <c r="AE684" s="153"/>
      <c r="AF684" s="153"/>
      <c r="AG684" s="153"/>
      <c r="AH684" s="153"/>
      <c r="AI684" s="153"/>
      <c r="AJ684" s="153"/>
      <c r="AK684" s="153"/>
      <c r="AL684" s="153"/>
      <c r="AM684" s="153"/>
      <c r="AN684" s="153"/>
      <c r="AO684" s="153"/>
      <c r="AP684" s="153"/>
    </row>
    <row r="685" spans="4:42" ht="15.75" customHeight="1">
      <c r="D685" s="152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  <c r="AC685" s="153"/>
      <c r="AD685" s="153"/>
      <c r="AE685" s="153"/>
      <c r="AF685" s="153"/>
      <c r="AG685" s="153"/>
      <c r="AH685" s="153"/>
      <c r="AI685" s="153"/>
      <c r="AJ685" s="153"/>
      <c r="AK685" s="153"/>
      <c r="AL685" s="153"/>
      <c r="AM685" s="153"/>
      <c r="AN685" s="153"/>
      <c r="AO685" s="153"/>
      <c r="AP685" s="153"/>
    </row>
    <row r="686" spans="4:42" ht="15.75" customHeight="1">
      <c r="D686" s="152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  <c r="AC686" s="153"/>
      <c r="AD686" s="153"/>
      <c r="AE686" s="153"/>
      <c r="AF686" s="153"/>
      <c r="AG686" s="153"/>
      <c r="AH686" s="153"/>
      <c r="AI686" s="153"/>
      <c r="AJ686" s="153"/>
      <c r="AK686" s="153"/>
      <c r="AL686" s="153"/>
      <c r="AM686" s="153"/>
      <c r="AN686" s="153"/>
      <c r="AO686" s="153"/>
      <c r="AP686" s="153"/>
    </row>
    <row r="687" spans="4:42" ht="15.75" customHeight="1">
      <c r="D687" s="152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  <c r="AC687" s="153"/>
      <c r="AD687" s="153"/>
      <c r="AE687" s="153"/>
      <c r="AF687" s="153"/>
      <c r="AG687" s="153"/>
      <c r="AH687" s="153"/>
      <c r="AI687" s="153"/>
      <c r="AJ687" s="153"/>
      <c r="AK687" s="153"/>
      <c r="AL687" s="153"/>
      <c r="AM687" s="153"/>
      <c r="AN687" s="153"/>
      <c r="AO687" s="153"/>
      <c r="AP687" s="153"/>
    </row>
    <row r="688" spans="4:42" ht="15.75" customHeight="1">
      <c r="D688" s="152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  <c r="AC688" s="153"/>
      <c r="AD688" s="153"/>
      <c r="AE688" s="153"/>
      <c r="AF688" s="153"/>
      <c r="AG688" s="153"/>
      <c r="AH688" s="153"/>
      <c r="AI688" s="153"/>
      <c r="AJ688" s="153"/>
      <c r="AK688" s="153"/>
      <c r="AL688" s="153"/>
      <c r="AM688" s="153"/>
      <c r="AN688" s="153"/>
      <c r="AO688" s="153"/>
      <c r="AP688" s="153"/>
    </row>
    <row r="689" spans="4:42" ht="15.75" customHeight="1">
      <c r="D689" s="152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  <c r="AC689" s="153"/>
      <c r="AD689" s="153"/>
      <c r="AE689" s="153"/>
      <c r="AF689" s="153"/>
      <c r="AG689" s="153"/>
      <c r="AH689" s="153"/>
      <c r="AI689" s="153"/>
      <c r="AJ689" s="153"/>
      <c r="AK689" s="153"/>
      <c r="AL689" s="153"/>
      <c r="AM689" s="153"/>
      <c r="AN689" s="153"/>
      <c r="AO689" s="153"/>
      <c r="AP689" s="153"/>
    </row>
    <row r="690" spans="4:42" ht="15.75" customHeight="1">
      <c r="D690" s="152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  <c r="AC690" s="153"/>
      <c r="AD690" s="153"/>
      <c r="AE690" s="153"/>
      <c r="AF690" s="153"/>
      <c r="AG690" s="153"/>
      <c r="AH690" s="153"/>
      <c r="AI690" s="153"/>
      <c r="AJ690" s="153"/>
      <c r="AK690" s="153"/>
      <c r="AL690" s="153"/>
      <c r="AM690" s="153"/>
      <c r="AN690" s="153"/>
      <c r="AO690" s="153"/>
      <c r="AP690" s="153"/>
    </row>
    <row r="691" spans="4:42" ht="15.75" customHeight="1">
      <c r="D691" s="152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  <c r="AC691" s="153"/>
      <c r="AD691" s="153"/>
      <c r="AE691" s="153"/>
      <c r="AF691" s="153"/>
      <c r="AG691" s="153"/>
      <c r="AH691" s="153"/>
      <c r="AI691" s="153"/>
      <c r="AJ691" s="153"/>
      <c r="AK691" s="153"/>
      <c r="AL691" s="153"/>
      <c r="AM691" s="153"/>
      <c r="AN691" s="153"/>
      <c r="AO691" s="153"/>
      <c r="AP691" s="153"/>
    </row>
    <row r="692" spans="4:42" ht="15.75" customHeight="1">
      <c r="D692" s="152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  <c r="AC692" s="153"/>
      <c r="AD692" s="153"/>
      <c r="AE692" s="153"/>
      <c r="AF692" s="153"/>
      <c r="AG692" s="153"/>
      <c r="AH692" s="153"/>
      <c r="AI692" s="153"/>
      <c r="AJ692" s="153"/>
      <c r="AK692" s="153"/>
      <c r="AL692" s="153"/>
      <c r="AM692" s="153"/>
      <c r="AN692" s="153"/>
      <c r="AO692" s="153"/>
      <c r="AP692" s="153"/>
    </row>
    <row r="693" spans="4:42" ht="15.75" customHeight="1">
      <c r="D693" s="152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  <c r="AC693" s="153"/>
      <c r="AD693" s="153"/>
      <c r="AE693" s="153"/>
      <c r="AF693" s="153"/>
      <c r="AG693" s="153"/>
      <c r="AH693" s="153"/>
      <c r="AI693" s="153"/>
      <c r="AJ693" s="153"/>
      <c r="AK693" s="153"/>
      <c r="AL693" s="153"/>
      <c r="AM693" s="153"/>
      <c r="AN693" s="153"/>
      <c r="AO693" s="153"/>
      <c r="AP693" s="153"/>
    </row>
    <row r="694" spans="4:42" ht="15.75" customHeight="1">
      <c r="D694" s="152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  <c r="AC694" s="153"/>
      <c r="AD694" s="153"/>
      <c r="AE694" s="153"/>
      <c r="AF694" s="153"/>
      <c r="AG694" s="153"/>
      <c r="AH694" s="153"/>
      <c r="AI694" s="153"/>
      <c r="AJ694" s="153"/>
      <c r="AK694" s="153"/>
      <c r="AL694" s="153"/>
      <c r="AM694" s="153"/>
      <c r="AN694" s="153"/>
      <c r="AO694" s="153"/>
      <c r="AP694" s="153"/>
    </row>
    <row r="695" spans="4:42" ht="15.75" customHeight="1">
      <c r="D695" s="152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  <c r="AC695" s="153"/>
      <c r="AD695" s="153"/>
      <c r="AE695" s="153"/>
      <c r="AF695" s="153"/>
      <c r="AG695" s="153"/>
      <c r="AH695" s="153"/>
      <c r="AI695" s="153"/>
      <c r="AJ695" s="153"/>
      <c r="AK695" s="153"/>
      <c r="AL695" s="153"/>
      <c r="AM695" s="153"/>
      <c r="AN695" s="153"/>
      <c r="AO695" s="153"/>
      <c r="AP695" s="153"/>
    </row>
    <row r="696" spans="4:42" ht="15.75" customHeight="1">
      <c r="D696" s="152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  <c r="AC696" s="153"/>
      <c r="AD696" s="153"/>
      <c r="AE696" s="153"/>
      <c r="AF696" s="153"/>
      <c r="AG696" s="153"/>
      <c r="AH696" s="153"/>
      <c r="AI696" s="153"/>
      <c r="AJ696" s="153"/>
      <c r="AK696" s="153"/>
      <c r="AL696" s="153"/>
      <c r="AM696" s="153"/>
      <c r="AN696" s="153"/>
      <c r="AO696" s="153"/>
      <c r="AP696" s="153"/>
    </row>
    <row r="697" spans="4:42" ht="15.75" customHeight="1">
      <c r="D697" s="152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  <c r="AC697" s="153"/>
      <c r="AD697" s="153"/>
      <c r="AE697" s="153"/>
      <c r="AF697" s="153"/>
      <c r="AG697" s="153"/>
      <c r="AH697" s="153"/>
      <c r="AI697" s="153"/>
      <c r="AJ697" s="153"/>
      <c r="AK697" s="153"/>
      <c r="AL697" s="153"/>
      <c r="AM697" s="153"/>
      <c r="AN697" s="153"/>
      <c r="AO697" s="153"/>
      <c r="AP697" s="153"/>
    </row>
    <row r="698" spans="4:42" ht="15.75" customHeight="1">
      <c r="D698" s="152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  <c r="AC698" s="153"/>
      <c r="AD698" s="153"/>
      <c r="AE698" s="153"/>
      <c r="AF698" s="153"/>
      <c r="AG698" s="153"/>
      <c r="AH698" s="153"/>
      <c r="AI698" s="153"/>
      <c r="AJ698" s="153"/>
      <c r="AK698" s="153"/>
      <c r="AL698" s="153"/>
      <c r="AM698" s="153"/>
      <c r="AN698" s="153"/>
      <c r="AO698" s="153"/>
      <c r="AP698" s="153"/>
    </row>
    <row r="699" spans="4:42" ht="15.75" customHeight="1">
      <c r="D699" s="152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  <c r="AC699" s="153"/>
      <c r="AD699" s="153"/>
      <c r="AE699" s="153"/>
      <c r="AF699" s="153"/>
      <c r="AG699" s="153"/>
      <c r="AH699" s="153"/>
      <c r="AI699" s="153"/>
      <c r="AJ699" s="153"/>
      <c r="AK699" s="153"/>
      <c r="AL699" s="153"/>
      <c r="AM699" s="153"/>
      <c r="AN699" s="153"/>
      <c r="AO699" s="153"/>
      <c r="AP699" s="153"/>
    </row>
    <row r="700" spans="4:42" ht="15.75" customHeight="1">
      <c r="D700" s="152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  <c r="AC700" s="153"/>
      <c r="AD700" s="153"/>
      <c r="AE700" s="153"/>
      <c r="AF700" s="153"/>
      <c r="AG700" s="153"/>
      <c r="AH700" s="153"/>
      <c r="AI700" s="153"/>
      <c r="AJ700" s="153"/>
      <c r="AK700" s="153"/>
      <c r="AL700" s="153"/>
      <c r="AM700" s="153"/>
      <c r="AN700" s="153"/>
      <c r="AO700" s="153"/>
      <c r="AP700" s="153"/>
    </row>
    <row r="701" spans="4:42" ht="15.75" customHeight="1">
      <c r="D701" s="152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  <c r="AC701" s="153"/>
      <c r="AD701" s="153"/>
      <c r="AE701" s="153"/>
      <c r="AF701" s="153"/>
      <c r="AG701" s="153"/>
      <c r="AH701" s="153"/>
      <c r="AI701" s="153"/>
      <c r="AJ701" s="153"/>
      <c r="AK701" s="153"/>
      <c r="AL701" s="153"/>
      <c r="AM701" s="153"/>
      <c r="AN701" s="153"/>
      <c r="AO701" s="153"/>
      <c r="AP701" s="153"/>
    </row>
    <row r="702" spans="4:42" ht="15.75" customHeight="1">
      <c r="D702" s="152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  <c r="AC702" s="153"/>
      <c r="AD702" s="153"/>
      <c r="AE702" s="153"/>
      <c r="AF702" s="153"/>
      <c r="AG702" s="153"/>
      <c r="AH702" s="153"/>
      <c r="AI702" s="153"/>
      <c r="AJ702" s="153"/>
      <c r="AK702" s="153"/>
      <c r="AL702" s="153"/>
      <c r="AM702" s="153"/>
      <c r="AN702" s="153"/>
      <c r="AO702" s="153"/>
      <c r="AP702" s="153"/>
    </row>
    <row r="703" spans="4:42" ht="15.75" customHeight="1">
      <c r="D703" s="152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  <c r="AC703" s="153"/>
      <c r="AD703" s="153"/>
      <c r="AE703" s="153"/>
      <c r="AF703" s="153"/>
      <c r="AG703" s="153"/>
      <c r="AH703" s="153"/>
      <c r="AI703" s="153"/>
      <c r="AJ703" s="153"/>
      <c r="AK703" s="153"/>
      <c r="AL703" s="153"/>
      <c r="AM703" s="153"/>
      <c r="AN703" s="153"/>
      <c r="AO703" s="153"/>
      <c r="AP703" s="153"/>
    </row>
    <row r="704" spans="4:42" ht="15.75" customHeight="1">
      <c r="D704" s="152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  <c r="AC704" s="153"/>
      <c r="AD704" s="153"/>
      <c r="AE704" s="153"/>
      <c r="AF704" s="153"/>
      <c r="AG704" s="153"/>
      <c r="AH704" s="153"/>
      <c r="AI704" s="153"/>
      <c r="AJ704" s="153"/>
      <c r="AK704" s="153"/>
      <c r="AL704" s="153"/>
      <c r="AM704" s="153"/>
      <c r="AN704" s="153"/>
      <c r="AO704" s="153"/>
      <c r="AP704" s="153"/>
    </row>
    <row r="705" spans="4:42" ht="15.75" customHeight="1">
      <c r="D705" s="152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  <c r="AC705" s="153"/>
      <c r="AD705" s="153"/>
      <c r="AE705" s="153"/>
      <c r="AF705" s="153"/>
      <c r="AG705" s="153"/>
      <c r="AH705" s="153"/>
      <c r="AI705" s="153"/>
      <c r="AJ705" s="153"/>
      <c r="AK705" s="153"/>
      <c r="AL705" s="153"/>
      <c r="AM705" s="153"/>
      <c r="AN705" s="153"/>
      <c r="AO705" s="153"/>
      <c r="AP705" s="153"/>
    </row>
    <row r="706" spans="4:42" ht="15.75" customHeight="1">
      <c r="D706" s="152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  <c r="AC706" s="153"/>
      <c r="AD706" s="153"/>
      <c r="AE706" s="153"/>
      <c r="AF706" s="153"/>
      <c r="AG706" s="153"/>
      <c r="AH706" s="153"/>
      <c r="AI706" s="153"/>
      <c r="AJ706" s="153"/>
      <c r="AK706" s="153"/>
      <c r="AL706" s="153"/>
      <c r="AM706" s="153"/>
      <c r="AN706" s="153"/>
      <c r="AO706" s="153"/>
      <c r="AP706" s="153"/>
    </row>
    <row r="707" spans="4:42" ht="15.75" customHeight="1">
      <c r="D707" s="152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  <c r="AC707" s="153"/>
      <c r="AD707" s="153"/>
      <c r="AE707" s="153"/>
      <c r="AF707" s="153"/>
      <c r="AG707" s="153"/>
      <c r="AH707" s="153"/>
      <c r="AI707" s="153"/>
      <c r="AJ707" s="153"/>
      <c r="AK707" s="153"/>
      <c r="AL707" s="153"/>
      <c r="AM707" s="153"/>
      <c r="AN707" s="153"/>
      <c r="AO707" s="153"/>
      <c r="AP707" s="153"/>
    </row>
    <row r="708" spans="4:42" ht="15.75" customHeight="1">
      <c r="D708" s="152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  <c r="AC708" s="153"/>
      <c r="AD708" s="153"/>
      <c r="AE708" s="153"/>
      <c r="AF708" s="153"/>
      <c r="AG708" s="153"/>
      <c r="AH708" s="153"/>
      <c r="AI708" s="153"/>
      <c r="AJ708" s="153"/>
      <c r="AK708" s="153"/>
      <c r="AL708" s="153"/>
      <c r="AM708" s="153"/>
      <c r="AN708" s="153"/>
      <c r="AO708" s="153"/>
      <c r="AP708" s="153"/>
    </row>
    <row r="709" spans="4:42" ht="15.75" customHeight="1">
      <c r="D709" s="152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  <c r="AC709" s="153"/>
      <c r="AD709" s="153"/>
      <c r="AE709" s="153"/>
      <c r="AF709" s="153"/>
      <c r="AG709" s="153"/>
      <c r="AH709" s="153"/>
      <c r="AI709" s="153"/>
      <c r="AJ709" s="153"/>
      <c r="AK709" s="153"/>
      <c r="AL709" s="153"/>
      <c r="AM709" s="153"/>
      <c r="AN709" s="153"/>
      <c r="AO709" s="153"/>
      <c r="AP709" s="153"/>
    </row>
    <row r="710" spans="4:42" ht="15.75" customHeight="1">
      <c r="D710" s="152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  <c r="AC710" s="153"/>
      <c r="AD710" s="153"/>
      <c r="AE710" s="153"/>
      <c r="AF710" s="153"/>
      <c r="AG710" s="153"/>
      <c r="AH710" s="153"/>
      <c r="AI710" s="153"/>
      <c r="AJ710" s="153"/>
      <c r="AK710" s="153"/>
      <c r="AL710" s="153"/>
      <c r="AM710" s="153"/>
      <c r="AN710" s="153"/>
      <c r="AO710" s="153"/>
      <c r="AP710" s="153"/>
    </row>
    <row r="711" spans="4:42" ht="15.75" customHeight="1">
      <c r="D711" s="152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  <c r="AC711" s="153"/>
      <c r="AD711" s="153"/>
      <c r="AE711" s="153"/>
      <c r="AF711" s="153"/>
      <c r="AG711" s="153"/>
      <c r="AH711" s="153"/>
      <c r="AI711" s="153"/>
      <c r="AJ711" s="153"/>
      <c r="AK711" s="153"/>
      <c r="AL711" s="153"/>
      <c r="AM711" s="153"/>
      <c r="AN711" s="153"/>
      <c r="AO711" s="153"/>
      <c r="AP711" s="153"/>
    </row>
    <row r="712" spans="4:42" ht="15.75" customHeight="1">
      <c r="D712" s="152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  <c r="AC712" s="153"/>
      <c r="AD712" s="153"/>
      <c r="AE712" s="153"/>
      <c r="AF712" s="153"/>
      <c r="AG712" s="153"/>
      <c r="AH712" s="153"/>
      <c r="AI712" s="153"/>
      <c r="AJ712" s="153"/>
      <c r="AK712" s="153"/>
      <c r="AL712" s="153"/>
      <c r="AM712" s="153"/>
      <c r="AN712" s="153"/>
      <c r="AO712" s="153"/>
      <c r="AP712" s="153"/>
    </row>
    <row r="713" spans="4:42" ht="15.75" customHeight="1">
      <c r="D713" s="152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  <c r="AC713" s="153"/>
      <c r="AD713" s="153"/>
      <c r="AE713" s="153"/>
      <c r="AF713" s="153"/>
      <c r="AG713" s="153"/>
      <c r="AH713" s="153"/>
      <c r="AI713" s="153"/>
      <c r="AJ713" s="153"/>
      <c r="AK713" s="153"/>
      <c r="AL713" s="153"/>
      <c r="AM713" s="153"/>
      <c r="AN713" s="153"/>
      <c r="AO713" s="153"/>
      <c r="AP713" s="153"/>
    </row>
    <row r="714" spans="4:42" ht="15.75" customHeight="1">
      <c r="D714" s="152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  <c r="AC714" s="153"/>
      <c r="AD714" s="153"/>
      <c r="AE714" s="153"/>
      <c r="AF714" s="153"/>
      <c r="AG714" s="153"/>
      <c r="AH714" s="153"/>
      <c r="AI714" s="153"/>
      <c r="AJ714" s="153"/>
      <c r="AK714" s="153"/>
      <c r="AL714" s="153"/>
      <c r="AM714" s="153"/>
      <c r="AN714" s="153"/>
      <c r="AO714" s="153"/>
      <c r="AP714" s="153"/>
    </row>
    <row r="715" spans="4:42" ht="15.75" customHeight="1">
      <c r="D715" s="152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  <c r="AC715" s="153"/>
      <c r="AD715" s="153"/>
      <c r="AE715" s="153"/>
      <c r="AF715" s="153"/>
      <c r="AG715" s="153"/>
      <c r="AH715" s="153"/>
      <c r="AI715" s="153"/>
      <c r="AJ715" s="153"/>
      <c r="AK715" s="153"/>
      <c r="AL715" s="153"/>
      <c r="AM715" s="153"/>
      <c r="AN715" s="153"/>
      <c r="AO715" s="153"/>
      <c r="AP715" s="153"/>
    </row>
    <row r="716" spans="4:42" ht="15.75" customHeight="1">
      <c r="D716" s="152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  <c r="AC716" s="153"/>
      <c r="AD716" s="153"/>
      <c r="AE716" s="153"/>
      <c r="AF716" s="153"/>
      <c r="AG716" s="153"/>
      <c r="AH716" s="153"/>
      <c r="AI716" s="153"/>
      <c r="AJ716" s="153"/>
      <c r="AK716" s="153"/>
      <c r="AL716" s="153"/>
      <c r="AM716" s="153"/>
      <c r="AN716" s="153"/>
      <c r="AO716" s="153"/>
      <c r="AP716" s="153"/>
    </row>
    <row r="717" spans="4:42" ht="15.75" customHeight="1">
      <c r="D717" s="152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  <c r="AC717" s="153"/>
      <c r="AD717" s="153"/>
      <c r="AE717" s="153"/>
      <c r="AF717" s="153"/>
      <c r="AG717" s="153"/>
      <c r="AH717" s="153"/>
      <c r="AI717" s="153"/>
      <c r="AJ717" s="153"/>
      <c r="AK717" s="153"/>
      <c r="AL717" s="153"/>
      <c r="AM717" s="153"/>
      <c r="AN717" s="153"/>
      <c r="AO717" s="153"/>
      <c r="AP717" s="153"/>
    </row>
    <row r="718" spans="4:42" ht="15.75" customHeight="1">
      <c r="D718" s="152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  <c r="AC718" s="153"/>
      <c r="AD718" s="153"/>
      <c r="AE718" s="153"/>
      <c r="AF718" s="153"/>
      <c r="AG718" s="153"/>
      <c r="AH718" s="153"/>
      <c r="AI718" s="153"/>
      <c r="AJ718" s="153"/>
      <c r="AK718" s="153"/>
      <c r="AL718" s="153"/>
      <c r="AM718" s="153"/>
      <c r="AN718" s="153"/>
      <c r="AO718" s="153"/>
      <c r="AP718" s="153"/>
    </row>
    <row r="719" spans="4:42" ht="15.75" customHeight="1">
      <c r="D719" s="152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  <c r="AC719" s="153"/>
      <c r="AD719" s="153"/>
      <c r="AE719" s="153"/>
      <c r="AF719" s="153"/>
      <c r="AG719" s="153"/>
      <c r="AH719" s="153"/>
      <c r="AI719" s="153"/>
      <c r="AJ719" s="153"/>
      <c r="AK719" s="153"/>
      <c r="AL719" s="153"/>
      <c r="AM719" s="153"/>
      <c r="AN719" s="153"/>
      <c r="AO719" s="153"/>
      <c r="AP719" s="153"/>
    </row>
    <row r="720" spans="4:42" ht="15.75" customHeight="1">
      <c r="D720" s="152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  <c r="AC720" s="153"/>
      <c r="AD720" s="153"/>
      <c r="AE720" s="153"/>
      <c r="AF720" s="153"/>
      <c r="AG720" s="153"/>
      <c r="AH720" s="153"/>
      <c r="AI720" s="153"/>
      <c r="AJ720" s="153"/>
      <c r="AK720" s="153"/>
      <c r="AL720" s="153"/>
      <c r="AM720" s="153"/>
      <c r="AN720" s="153"/>
      <c r="AO720" s="153"/>
      <c r="AP720" s="153"/>
    </row>
    <row r="721" spans="4:42" ht="15.75" customHeight="1">
      <c r="D721" s="152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  <c r="AC721" s="153"/>
      <c r="AD721" s="153"/>
      <c r="AE721" s="153"/>
      <c r="AF721" s="153"/>
      <c r="AG721" s="153"/>
      <c r="AH721" s="153"/>
      <c r="AI721" s="153"/>
      <c r="AJ721" s="153"/>
      <c r="AK721" s="153"/>
      <c r="AL721" s="153"/>
      <c r="AM721" s="153"/>
      <c r="AN721" s="153"/>
      <c r="AO721" s="153"/>
      <c r="AP721" s="153"/>
    </row>
    <row r="722" spans="4:42" ht="15.75" customHeight="1">
      <c r="D722" s="152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  <c r="AC722" s="153"/>
      <c r="AD722" s="153"/>
      <c r="AE722" s="153"/>
      <c r="AF722" s="153"/>
      <c r="AG722" s="153"/>
      <c r="AH722" s="153"/>
      <c r="AI722" s="153"/>
      <c r="AJ722" s="153"/>
      <c r="AK722" s="153"/>
      <c r="AL722" s="153"/>
      <c r="AM722" s="153"/>
      <c r="AN722" s="153"/>
      <c r="AO722" s="153"/>
      <c r="AP722" s="153"/>
    </row>
    <row r="723" spans="4:42" ht="15.75" customHeight="1">
      <c r="D723" s="152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  <c r="AC723" s="153"/>
      <c r="AD723" s="153"/>
      <c r="AE723" s="153"/>
      <c r="AF723" s="153"/>
      <c r="AG723" s="153"/>
      <c r="AH723" s="153"/>
      <c r="AI723" s="153"/>
      <c r="AJ723" s="153"/>
      <c r="AK723" s="153"/>
      <c r="AL723" s="153"/>
      <c r="AM723" s="153"/>
      <c r="AN723" s="153"/>
      <c r="AO723" s="153"/>
      <c r="AP723" s="153"/>
    </row>
    <row r="724" spans="4:42" ht="15.75" customHeight="1">
      <c r="D724" s="152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  <c r="AC724" s="153"/>
      <c r="AD724" s="153"/>
      <c r="AE724" s="153"/>
      <c r="AF724" s="153"/>
      <c r="AG724" s="153"/>
      <c r="AH724" s="153"/>
      <c r="AI724" s="153"/>
      <c r="AJ724" s="153"/>
      <c r="AK724" s="153"/>
      <c r="AL724" s="153"/>
      <c r="AM724" s="153"/>
      <c r="AN724" s="153"/>
      <c r="AO724" s="153"/>
      <c r="AP724" s="153"/>
    </row>
    <row r="725" spans="4:42" ht="15.75" customHeight="1">
      <c r="D725" s="152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  <c r="AC725" s="153"/>
      <c r="AD725" s="153"/>
      <c r="AE725" s="153"/>
      <c r="AF725" s="153"/>
      <c r="AG725" s="153"/>
      <c r="AH725" s="153"/>
      <c r="AI725" s="153"/>
      <c r="AJ725" s="153"/>
      <c r="AK725" s="153"/>
      <c r="AL725" s="153"/>
      <c r="AM725" s="153"/>
      <c r="AN725" s="153"/>
      <c r="AO725" s="153"/>
      <c r="AP725" s="153"/>
    </row>
    <row r="726" spans="4:42" ht="15.75" customHeight="1">
      <c r="D726" s="152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  <c r="AC726" s="153"/>
      <c r="AD726" s="153"/>
      <c r="AE726" s="153"/>
      <c r="AF726" s="153"/>
      <c r="AG726" s="153"/>
      <c r="AH726" s="153"/>
      <c r="AI726" s="153"/>
      <c r="AJ726" s="153"/>
      <c r="AK726" s="153"/>
      <c r="AL726" s="153"/>
      <c r="AM726" s="153"/>
      <c r="AN726" s="153"/>
      <c r="AO726" s="153"/>
      <c r="AP726" s="153"/>
    </row>
    <row r="727" spans="4:42" ht="15.75" customHeight="1">
      <c r="D727" s="152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  <c r="AC727" s="153"/>
      <c r="AD727" s="153"/>
      <c r="AE727" s="153"/>
      <c r="AF727" s="153"/>
      <c r="AG727" s="153"/>
      <c r="AH727" s="153"/>
      <c r="AI727" s="153"/>
      <c r="AJ727" s="153"/>
      <c r="AK727" s="153"/>
      <c r="AL727" s="153"/>
      <c r="AM727" s="153"/>
      <c r="AN727" s="153"/>
      <c r="AO727" s="153"/>
      <c r="AP727" s="153"/>
    </row>
    <row r="728" spans="4:42" ht="15.75" customHeight="1">
      <c r="D728" s="152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  <c r="AC728" s="153"/>
      <c r="AD728" s="153"/>
      <c r="AE728" s="153"/>
      <c r="AF728" s="153"/>
      <c r="AG728" s="153"/>
      <c r="AH728" s="153"/>
      <c r="AI728" s="153"/>
      <c r="AJ728" s="153"/>
      <c r="AK728" s="153"/>
      <c r="AL728" s="153"/>
      <c r="AM728" s="153"/>
      <c r="AN728" s="153"/>
      <c r="AO728" s="153"/>
      <c r="AP728" s="153"/>
    </row>
    <row r="729" spans="4:42" ht="15.75" customHeight="1">
      <c r="D729" s="152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  <c r="AC729" s="153"/>
      <c r="AD729" s="153"/>
      <c r="AE729" s="153"/>
      <c r="AF729" s="153"/>
      <c r="AG729" s="153"/>
      <c r="AH729" s="153"/>
      <c r="AI729" s="153"/>
      <c r="AJ729" s="153"/>
      <c r="AK729" s="153"/>
      <c r="AL729" s="153"/>
      <c r="AM729" s="153"/>
      <c r="AN729" s="153"/>
      <c r="AO729" s="153"/>
      <c r="AP729" s="153"/>
    </row>
    <row r="730" spans="4:42" ht="15.75" customHeight="1">
      <c r="D730" s="152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  <c r="AC730" s="153"/>
      <c r="AD730" s="153"/>
      <c r="AE730" s="153"/>
      <c r="AF730" s="153"/>
      <c r="AG730" s="153"/>
      <c r="AH730" s="153"/>
      <c r="AI730" s="153"/>
      <c r="AJ730" s="153"/>
      <c r="AK730" s="153"/>
      <c r="AL730" s="153"/>
      <c r="AM730" s="153"/>
      <c r="AN730" s="153"/>
      <c r="AO730" s="153"/>
      <c r="AP730" s="153"/>
    </row>
    <row r="731" spans="4:42" ht="15.75" customHeight="1">
      <c r="D731" s="152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  <c r="AC731" s="153"/>
      <c r="AD731" s="153"/>
      <c r="AE731" s="153"/>
      <c r="AF731" s="153"/>
      <c r="AG731" s="153"/>
      <c r="AH731" s="153"/>
      <c r="AI731" s="153"/>
      <c r="AJ731" s="153"/>
      <c r="AK731" s="153"/>
      <c r="AL731" s="153"/>
      <c r="AM731" s="153"/>
      <c r="AN731" s="153"/>
      <c r="AO731" s="153"/>
      <c r="AP731" s="153"/>
    </row>
    <row r="732" spans="4:42" ht="15.75" customHeight="1">
      <c r="D732" s="152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  <c r="AC732" s="153"/>
      <c r="AD732" s="153"/>
      <c r="AE732" s="153"/>
      <c r="AF732" s="153"/>
      <c r="AG732" s="153"/>
      <c r="AH732" s="153"/>
      <c r="AI732" s="153"/>
      <c r="AJ732" s="153"/>
      <c r="AK732" s="153"/>
      <c r="AL732" s="153"/>
      <c r="AM732" s="153"/>
      <c r="AN732" s="153"/>
      <c r="AO732" s="153"/>
      <c r="AP732" s="153"/>
    </row>
    <row r="733" spans="4:42" ht="15.75" customHeight="1">
      <c r="D733" s="152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  <c r="AC733" s="153"/>
      <c r="AD733" s="153"/>
      <c r="AE733" s="153"/>
      <c r="AF733" s="153"/>
      <c r="AG733" s="153"/>
      <c r="AH733" s="153"/>
      <c r="AI733" s="153"/>
      <c r="AJ733" s="153"/>
      <c r="AK733" s="153"/>
      <c r="AL733" s="153"/>
      <c r="AM733" s="153"/>
      <c r="AN733" s="153"/>
      <c r="AO733" s="153"/>
      <c r="AP733" s="153"/>
    </row>
    <row r="734" spans="4:42" ht="15.75" customHeight="1">
      <c r="D734" s="152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  <c r="AC734" s="153"/>
      <c r="AD734" s="153"/>
      <c r="AE734" s="153"/>
      <c r="AF734" s="153"/>
      <c r="AG734" s="153"/>
      <c r="AH734" s="153"/>
      <c r="AI734" s="153"/>
      <c r="AJ734" s="153"/>
      <c r="AK734" s="153"/>
      <c r="AL734" s="153"/>
      <c r="AM734" s="153"/>
      <c r="AN734" s="153"/>
      <c r="AO734" s="153"/>
      <c r="AP734" s="153"/>
    </row>
    <row r="735" spans="4:42" ht="15.75" customHeight="1">
      <c r="D735" s="152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  <c r="AC735" s="153"/>
      <c r="AD735" s="153"/>
      <c r="AE735" s="153"/>
      <c r="AF735" s="153"/>
      <c r="AG735" s="153"/>
      <c r="AH735" s="153"/>
      <c r="AI735" s="153"/>
      <c r="AJ735" s="153"/>
      <c r="AK735" s="153"/>
      <c r="AL735" s="153"/>
      <c r="AM735" s="153"/>
      <c r="AN735" s="153"/>
      <c r="AO735" s="153"/>
      <c r="AP735" s="153"/>
    </row>
    <row r="736" spans="4:42" ht="15.75" customHeight="1">
      <c r="D736" s="152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  <c r="AC736" s="153"/>
      <c r="AD736" s="153"/>
      <c r="AE736" s="153"/>
      <c r="AF736" s="153"/>
      <c r="AG736" s="153"/>
      <c r="AH736" s="153"/>
      <c r="AI736" s="153"/>
      <c r="AJ736" s="153"/>
      <c r="AK736" s="153"/>
      <c r="AL736" s="153"/>
      <c r="AM736" s="153"/>
      <c r="AN736" s="153"/>
      <c r="AO736" s="153"/>
      <c r="AP736" s="153"/>
    </row>
    <row r="737" spans="4:42" ht="15.75" customHeight="1">
      <c r="D737" s="152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  <c r="AC737" s="153"/>
      <c r="AD737" s="153"/>
      <c r="AE737" s="153"/>
      <c r="AF737" s="153"/>
      <c r="AG737" s="153"/>
      <c r="AH737" s="153"/>
      <c r="AI737" s="153"/>
      <c r="AJ737" s="153"/>
      <c r="AK737" s="153"/>
      <c r="AL737" s="153"/>
      <c r="AM737" s="153"/>
      <c r="AN737" s="153"/>
      <c r="AO737" s="153"/>
      <c r="AP737" s="153"/>
    </row>
    <row r="738" spans="4:42" ht="15.75" customHeight="1">
      <c r="D738" s="152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  <c r="AC738" s="153"/>
      <c r="AD738" s="153"/>
      <c r="AE738" s="153"/>
      <c r="AF738" s="153"/>
      <c r="AG738" s="153"/>
      <c r="AH738" s="153"/>
      <c r="AI738" s="153"/>
      <c r="AJ738" s="153"/>
      <c r="AK738" s="153"/>
      <c r="AL738" s="153"/>
      <c r="AM738" s="153"/>
      <c r="AN738" s="153"/>
      <c r="AO738" s="153"/>
      <c r="AP738" s="153"/>
    </row>
    <row r="739" spans="4:42" ht="15.75" customHeight="1">
      <c r="D739" s="152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  <c r="AC739" s="153"/>
      <c r="AD739" s="153"/>
      <c r="AE739" s="153"/>
      <c r="AF739" s="153"/>
      <c r="AG739" s="153"/>
      <c r="AH739" s="153"/>
      <c r="AI739" s="153"/>
      <c r="AJ739" s="153"/>
      <c r="AK739" s="153"/>
      <c r="AL739" s="153"/>
      <c r="AM739" s="153"/>
      <c r="AN739" s="153"/>
      <c r="AO739" s="153"/>
      <c r="AP739" s="153"/>
    </row>
    <row r="740" spans="4:42" ht="15.75" customHeight="1">
      <c r="D740" s="152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  <c r="AC740" s="153"/>
      <c r="AD740" s="153"/>
      <c r="AE740" s="153"/>
      <c r="AF740" s="153"/>
      <c r="AG740" s="153"/>
      <c r="AH740" s="153"/>
      <c r="AI740" s="153"/>
      <c r="AJ740" s="153"/>
      <c r="AK740" s="153"/>
      <c r="AL740" s="153"/>
      <c r="AM740" s="153"/>
      <c r="AN740" s="153"/>
      <c r="AO740" s="153"/>
      <c r="AP740" s="153"/>
    </row>
    <row r="741" spans="4:42" ht="15.75" customHeight="1">
      <c r="D741" s="152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  <c r="AC741" s="153"/>
      <c r="AD741" s="153"/>
      <c r="AE741" s="153"/>
      <c r="AF741" s="153"/>
      <c r="AG741" s="153"/>
      <c r="AH741" s="153"/>
      <c r="AI741" s="153"/>
      <c r="AJ741" s="153"/>
      <c r="AK741" s="153"/>
      <c r="AL741" s="153"/>
      <c r="AM741" s="153"/>
      <c r="AN741" s="153"/>
      <c r="AO741" s="153"/>
      <c r="AP741" s="153"/>
    </row>
    <row r="742" spans="4:42" ht="15.75" customHeight="1">
      <c r="D742" s="152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  <c r="AC742" s="153"/>
      <c r="AD742" s="153"/>
      <c r="AE742" s="153"/>
      <c r="AF742" s="153"/>
      <c r="AG742" s="153"/>
      <c r="AH742" s="153"/>
      <c r="AI742" s="153"/>
      <c r="AJ742" s="153"/>
      <c r="AK742" s="153"/>
      <c r="AL742" s="153"/>
      <c r="AM742" s="153"/>
      <c r="AN742" s="153"/>
      <c r="AO742" s="153"/>
      <c r="AP742" s="153"/>
    </row>
    <row r="743" spans="4:42" ht="15.75" customHeight="1">
      <c r="D743" s="152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  <c r="AC743" s="153"/>
      <c r="AD743" s="153"/>
      <c r="AE743" s="153"/>
      <c r="AF743" s="153"/>
      <c r="AG743" s="153"/>
      <c r="AH743" s="153"/>
      <c r="AI743" s="153"/>
      <c r="AJ743" s="153"/>
      <c r="AK743" s="153"/>
      <c r="AL743" s="153"/>
      <c r="AM743" s="153"/>
      <c r="AN743" s="153"/>
      <c r="AO743" s="153"/>
      <c r="AP743" s="153"/>
    </row>
    <row r="744" spans="4:42" ht="15.75" customHeight="1">
      <c r="D744" s="152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  <c r="AC744" s="153"/>
      <c r="AD744" s="153"/>
      <c r="AE744" s="153"/>
      <c r="AF744" s="153"/>
      <c r="AG744" s="153"/>
      <c r="AH744" s="153"/>
      <c r="AI744" s="153"/>
      <c r="AJ744" s="153"/>
      <c r="AK744" s="153"/>
      <c r="AL744" s="153"/>
      <c r="AM744" s="153"/>
      <c r="AN744" s="153"/>
      <c r="AO744" s="153"/>
      <c r="AP744" s="153"/>
    </row>
    <row r="745" spans="4:42" ht="15.75" customHeight="1">
      <c r="D745" s="152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  <c r="AC745" s="153"/>
      <c r="AD745" s="153"/>
      <c r="AE745" s="153"/>
      <c r="AF745" s="153"/>
      <c r="AG745" s="153"/>
      <c r="AH745" s="153"/>
      <c r="AI745" s="153"/>
      <c r="AJ745" s="153"/>
      <c r="AK745" s="153"/>
      <c r="AL745" s="153"/>
      <c r="AM745" s="153"/>
      <c r="AN745" s="153"/>
      <c r="AO745" s="153"/>
      <c r="AP745" s="153"/>
    </row>
    <row r="746" spans="4:42" ht="15.75" customHeight="1">
      <c r="D746" s="152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  <c r="AC746" s="153"/>
      <c r="AD746" s="153"/>
      <c r="AE746" s="153"/>
      <c r="AF746" s="153"/>
      <c r="AG746" s="153"/>
      <c r="AH746" s="153"/>
      <c r="AI746" s="153"/>
      <c r="AJ746" s="153"/>
      <c r="AK746" s="153"/>
      <c r="AL746" s="153"/>
      <c r="AM746" s="153"/>
      <c r="AN746" s="153"/>
      <c r="AO746" s="153"/>
      <c r="AP746" s="153"/>
    </row>
    <row r="747" spans="4:42" ht="15.75" customHeight="1">
      <c r="D747" s="152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  <c r="AC747" s="153"/>
      <c r="AD747" s="153"/>
      <c r="AE747" s="153"/>
      <c r="AF747" s="153"/>
      <c r="AG747" s="153"/>
      <c r="AH747" s="153"/>
      <c r="AI747" s="153"/>
      <c r="AJ747" s="153"/>
      <c r="AK747" s="153"/>
      <c r="AL747" s="153"/>
      <c r="AM747" s="153"/>
      <c r="AN747" s="153"/>
      <c r="AO747" s="153"/>
      <c r="AP747" s="153"/>
    </row>
    <row r="748" spans="4:42" ht="15.75" customHeight="1">
      <c r="D748" s="152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  <c r="AC748" s="153"/>
      <c r="AD748" s="153"/>
      <c r="AE748" s="153"/>
      <c r="AF748" s="153"/>
      <c r="AG748" s="153"/>
      <c r="AH748" s="153"/>
      <c r="AI748" s="153"/>
      <c r="AJ748" s="153"/>
      <c r="AK748" s="153"/>
      <c r="AL748" s="153"/>
      <c r="AM748" s="153"/>
      <c r="AN748" s="153"/>
      <c r="AO748" s="153"/>
      <c r="AP748" s="153"/>
    </row>
    <row r="749" spans="4:42" ht="15.75" customHeight="1">
      <c r="D749" s="152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  <c r="AC749" s="153"/>
      <c r="AD749" s="153"/>
      <c r="AE749" s="153"/>
      <c r="AF749" s="153"/>
      <c r="AG749" s="153"/>
      <c r="AH749" s="153"/>
      <c r="AI749" s="153"/>
      <c r="AJ749" s="153"/>
      <c r="AK749" s="153"/>
      <c r="AL749" s="153"/>
      <c r="AM749" s="153"/>
      <c r="AN749" s="153"/>
      <c r="AO749" s="153"/>
      <c r="AP749" s="153"/>
    </row>
    <row r="750" spans="4:42" ht="15.75" customHeight="1">
      <c r="D750" s="152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  <c r="AC750" s="153"/>
      <c r="AD750" s="153"/>
      <c r="AE750" s="153"/>
      <c r="AF750" s="153"/>
      <c r="AG750" s="153"/>
      <c r="AH750" s="153"/>
      <c r="AI750" s="153"/>
      <c r="AJ750" s="153"/>
      <c r="AK750" s="153"/>
      <c r="AL750" s="153"/>
      <c r="AM750" s="153"/>
      <c r="AN750" s="153"/>
      <c r="AO750" s="153"/>
      <c r="AP750" s="153"/>
    </row>
    <row r="751" spans="4:42" ht="15.75" customHeight="1">
      <c r="D751" s="152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  <c r="AC751" s="153"/>
      <c r="AD751" s="153"/>
      <c r="AE751" s="153"/>
      <c r="AF751" s="153"/>
      <c r="AG751" s="153"/>
      <c r="AH751" s="153"/>
      <c r="AI751" s="153"/>
      <c r="AJ751" s="153"/>
      <c r="AK751" s="153"/>
      <c r="AL751" s="153"/>
      <c r="AM751" s="153"/>
      <c r="AN751" s="153"/>
      <c r="AO751" s="153"/>
      <c r="AP751" s="153"/>
    </row>
    <row r="752" spans="4:42" ht="15.75" customHeight="1">
      <c r="D752" s="152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  <c r="AC752" s="153"/>
      <c r="AD752" s="153"/>
      <c r="AE752" s="153"/>
      <c r="AF752" s="153"/>
      <c r="AG752" s="153"/>
      <c r="AH752" s="153"/>
      <c r="AI752" s="153"/>
      <c r="AJ752" s="153"/>
      <c r="AK752" s="153"/>
      <c r="AL752" s="153"/>
      <c r="AM752" s="153"/>
      <c r="AN752" s="153"/>
      <c r="AO752" s="153"/>
      <c r="AP752" s="153"/>
    </row>
    <row r="753" spans="4:42" ht="15.75" customHeight="1">
      <c r="D753" s="152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  <c r="AC753" s="153"/>
      <c r="AD753" s="153"/>
      <c r="AE753" s="153"/>
      <c r="AF753" s="153"/>
      <c r="AG753" s="153"/>
      <c r="AH753" s="153"/>
      <c r="AI753" s="153"/>
      <c r="AJ753" s="153"/>
      <c r="AK753" s="153"/>
      <c r="AL753" s="153"/>
      <c r="AM753" s="153"/>
      <c r="AN753" s="153"/>
      <c r="AO753" s="153"/>
      <c r="AP753" s="153"/>
    </row>
    <row r="754" spans="4:42" ht="15.75" customHeight="1">
      <c r="D754" s="152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  <c r="AC754" s="153"/>
      <c r="AD754" s="153"/>
      <c r="AE754" s="153"/>
      <c r="AF754" s="153"/>
      <c r="AG754" s="153"/>
      <c r="AH754" s="153"/>
      <c r="AI754" s="153"/>
      <c r="AJ754" s="153"/>
      <c r="AK754" s="153"/>
      <c r="AL754" s="153"/>
      <c r="AM754" s="153"/>
      <c r="AN754" s="153"/>
      <c r="AO754" s="153"/>
      <c r="AP754" s="153"/>
    </row>
    <row r="755" spans="4:42" ht="15.75" customHeight="1">
      <c r="D755" s="152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  <c r="AC755" s="153"/>
      <c r="AD755" s="153"/>
      <c r="AE755" s="153"/>
      <c r="AF755" s="153"/>
      <c r="AG755" s="153"/>
      <c r="AH755" s="153"/>
      <c r="AI755" s="153"/>
      <c r="AJ755" s="153"/>
      <c r="AK755" s="153"/>
      <c r="AL755" s="153"/>
      <c r="AM755" s="153"/>
      <c r="AN755" s="153"/>
      <c r="AO755" s="153"/>
      <c r="AP755" s="153"/>
    </row>
    <row r="756" spans="4:42" ht="15.75" customHeight="1">
      <c r="D756" s="152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  <c r="AC756" s="153"/>
      <c r="AD756" s="153"/>
      <c r="AE756" s="153"/>
      <c r="AF756" s="153"/>
      <c r="AG756" s="153"/>
      <c r="AH756" s="153"/>
      <c r="AI756" s="153"/>
      <c r="AJ756" s="153"/>
      <c r="AK756" s="153"/>
      <c r="AL756" s="153"/>
      <c r="AM756" s="153"/>
      <c r="AN756" s="153"/>
      <c r="AO756" s="153"/>
      <c r="AP756" s="153"/>
    </row>
    <row r="757" spans="4:42" ht="15.75" customHeight="1">
      <c r="D757" s="152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  <c r="AC757" s="153"/>
      <c r="AD757" s="153"/>
      <c r="AE757" s="153"/>
      <c r="AF757" s="153"/>
      <c r="AG757" s="153"/>
      <c r="AH757" s="153"/>
      <c r="AI757" s="153"/>
      <c r="AJ757" s="153"/>
      <c r="AK757" s="153"/>
      <c r="AL757" s="153"/>
      <c r="AM757" s="153"/>
      <c r="AN757" s="153"/>
      <c r="AO757" s="153"/>
      <c r="AP757" s="153"/>
    </row>
    <row r="758" spans="4:42" ht="15.75" customHeight="1">
      <c r="D758" s="152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  <c r="AC758" s="153"/>
      <c r="AD758" s="153"/>
      <c r="AE758" s="153"/>
      <c r="AF758" s="153"/>
      <c r="AG758" s="153"/>
      <c r="AH758" s="153"/>
      <c r="AI758" s="153"/>
      <c r="AJ758" s="153"/>
      <c r="AK758" s="153"/>
      <c r="AL758" s="153"/>
      <c r="AM758" s="153"/>
      <c r="AN758" s="153"/>
      <c r="AO758" s="153"/>
      <c r="AP758" s="153"/>
    </row>
    <row r="759" spans="4:42" ht="15.75" customHeight="1">
      <c r="D759" s="152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  <c r="AC759" s="153"/>
      <c r="AD759" s="153"/>
      <c r="AE759" s="153"/>
      <c r="AF759" s="153"/>
      <c r="AG759" s="153"/>
      <c r="AH759" s="153"/>
      <c r="AI759" s="153"/>
      <c r="AJ759" s="153"/>
      <c r="AK759" s="153"/>
      <c r="AL759" s="153"/>
      <c r="AM759" s="153"/>
      <c r="AN759" s="153"/>
      <c r="AO759" s="153"/>
      <c r="AP759" s="153"/>
    </row>
    <row r="760" spans="4:42" ht="15.75" customHeight="1">
      <c r="D760" s="152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  <c r="AC760" s="153"/>
      <c r="AD760" s="153"/>
      <c r="AE760" s="153"/>
      <c r="AF760" s="153"/>
      <c r="AG760" s="153"/>
      <c r="AH760" s="153"/>
      <c r="AI760" s="153"/>
      <c r="AJ760" s="153"/>
      <c r="AK760" s="153"/>
      <c r="AL760" s="153"/>
      <c r="AM760" s="153"/>
      <c r="AN760" s="153"/>
      <c r="AO760" s="153"/>
      <c r="AP760" s="153"/>
    </row>
    <row r="761" spans="4:42" ht="15.75" customHeight="1">
      <c r="D761" s="152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  <c r="AC761" s="153"/>
      <c r="AD761" s="153"/>
      <c r="AE761" s="153"/>
      <c r="AF761" s="153"/>
      <c r="AG761" s="153"/>
      <c r="AH761" s="153"/>
      <c r="AI761" s="153"/>
      <c r="AJ761" s="153"/>
      <c r="AK761" s="153"/>
      <c r="AL761" s="153"/>
      <c r="AM761" s="153"/>
      <c r="AN761" s="153"/>
      <c r="AO761" s="153"/>
      <c r="AP761" s="153"/>
    </row>
    <row r="762" spans="4:42" ht="15.75" customHeight="1">
      <c r="D762" s="152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  <c r="AC762" s="153"/>
      <c r="AD762" s="153"/>
      <c r="AE762" s="153"/>
      <c r="AF762" s="153"/>
      <c r="AG762" s="153"/>
      <c r="AH762" s="153"/>
      <c r="AI762" s="153"/>
      <c r="AJ762" s="153"/>
      <c r="AK762" s="153"/>
      <c r="AL762" s="153"/>
      <c r="AM762" s="153"/>
      <c r="AN762" s="153"/>
      <c r="AO762" s="153"/>
      <c r="AP762" s="153"/>
    </row>
    <row r="763" spans="4:42" ht="15.75" customHeight="1">
      <c r="D763" s="152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  <c r="AC763" s="153"/>
      <c r="AD763" s="153"/>
      <c r="AE763" s="153"/>
      <c r="AF763" s="153"/>
      <c r="AG763" s="153"/>
      <c r="AH763" s="153"/>
      <c r="AI763" s="153"/>
      <c r="AJ763" s="153"/>
      <c r="AK763" s="153"/>
      <c r="AL763" s="153"/>
      <c r="AM763" s="153"/>
      <c r="AN763" s="153"/>
      <c r="AO763" s="153"/>
      <c r="AP763" s="153"/>
    </row>
    <row r="764" spans="4:42" ht="15.75" customHeight="1">
      <c r="D764" s="152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  <c r="AC764" s="153"/>
      <c r="AD764" s="153"/>
      <c r="AE764" s="153"/>
      <c r="AF764" s="153"/>
      <c r="AG764" s="153"/>
      <c r="AH764" s="153"/>
      <c r="AI764" s="153"/>
      <c r="AJ764" s="153"/>
      <c r="AK764" s="153"/>
      <c r="AL764" s="153"/>
      <c r="AM764" s="153"/>
      <c r="AN764" s="153"/>
      <c r="AO764" s="153"/>
      <c r="AP764" s="153"/>
    </row>
    <row r="765" spans="4:42" ht="15.75" customHeight="1">
      <c r="D765" s="152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  <c r="AC765" s="153"/>
      <c r="AD765" s="153"/>
      <c r="AE765" s="153"/>
      <c r="AF765" s="153"/>
      <c r="AG765" s="153"/>
      <c r="AH765" s="153"/>
      <c r="AI765" s="153"/>
      <c r="AJ765" s="153"/>
      <c r="AK765" s="153"/>
      <c r="AL765" s="153"/>
      <c r="AM765" s="153"/>
      <c r="AN765" s="153"/>
      <c r="AO765" s="153"/>
      <c r="AP765" s="153"/>
    </row>
    <row r="766" spans="4:42" ht="15.75" customHeight="1">
      <c r="D766" s="152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  <c r="AC766" s="153"/>
      <c r="AD766" s="153"/>
      <c r="AE766" s="153"/>
      <c r="AF766" s="153"/>
      <c r="AG766" s="153"/>
      <c r="AH766" s="153"/>
      <c r="AI766" s="153"/>
      <c r="AJ766" s="153"/>
      <c r="AK766" s="153"/>
      <c r="AL766" s="153"/>
      <c r="AM766" s="153"/>
      <c r="AN766" s="153"/>
      <c r="AO766" s="153"/>
      <c r="AP766" s="153"/>
    </row>
    <row r="767" spans="4:42" ht="15.75" customHeight="1">
      <c r="D767" s="152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  <c r="AC767" s="153"/>
      <c r="AD767" s="153"/>
      <c r="AE767" s="153"/>
      <c r="AF767" s="153"/>
      <c r="AG767" s="153"/>
      <c r="AH767" s="153"/>
      <c r="AI767" s="153"/>
      <c r="AJ767" s="153"/>
      <c r="AK767" s="153"/>
      <c r="AL767" s="153"/>
      <c r="AM767" s="153"/>
      <c r="AN767" s="153"/>
      <c r="AO767" s="153"/>
      <c r="AP767" s="153"/>
    </row>
    <row r="768" spans="4:42" ht="15.75" customHeight="1">
      <c r="D768" s="152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  <c r="AC768" s="153"/>
      <c r="AD768" s="153"/>
      <c r="AE768" s="153"/>
      <c r="AF768" s="153"/>
      <c r="AG768" s="153"/>
      <c r="AH768" s="153"/>
      <c r="AI768" s="153"/>
      <c r="AJ768" s="153"/>
      <c r="AK768" s="153"/>
      <c r="AL768" s="153"/>
      <c r="AM768" s="153"/>
      <c r="AN768" s="153"/>
      <c r="AO768" s="153"/>
      <c r="AP768" s="153"/>
    </row>
    <row r="769" spans="4:42" ht="15.75" customHeight="1">
      <c r="D769" s="152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  <c r="AC769" s="153"/>
      <c r="AD769" s="153"/>
      <c r="AE769" s="153"/>
      <c r="AF769" s="153"/>
      <c r="AG769" s="153"/>
      <c r="AH769" s="153"/>
      <c r="AI769" s="153"/>
      <c r="AJ769" s="153"/>
      <c r="AK769" s="153"/>
      <c r="AL769" s="153"/>
      <c r="AM769" s="153"/>
      <c r="AN769" s="153"/>
      <c r="AO769" s="153"/>
      <c r="AP769" s="153"/>
    </row>
    <row r="770" spans="4:42" ht="15.75" customHeight="1">
      <c r="D770" s="152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  <c r="AC770" s="153"/>
      <c r="AD770" s="153"/>
      <c r="AE770" s="153"/>
      <c r="AF770" s="153"/>
      <c r="AG770" s="153"/>
      <c r="AH770" s="153"/>
      <c r="AI770" s="153"/>
      <c r="AJ770" s="153"/>
      <c r="AK770" s="153"/>
      <c r="AL770" s="153"/>
      <c r="AM770" s="153"/>
      <c r="AN770" s="153"/>
      <c r="AO770" s="153"/>
      <c r="AP770" s="153"/>
    </row>
    <row r="771" spans="4:42" ht="15.75" customHeight="1">
      <c r="D771" s="152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  <c r="AC771" s="153"/>
      <c r="AD771" s="153"/>
      <c r="AE771" s="153"/>
      <c r="AF771" s="153"/>
      <c r="AG771" s="153"/>
      <c r="AH771" s="153"/>
      <c r="AI771" s="153"/>
      <c r="AJ771" s="153"/>
      <c r="AK771" s="153"/>
      <c r="AL771" s="153"/>
      <c r="AM771" s="153"/>
      <c r="AN771" s="153"/>
      <c r="AO771" s="153"/>
      <c r="AP771" s="153"/>
    </row>
    <row r="772" spans="4:42" ht="15.75" customHeight="1">
      <c r="D772" s="152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  <c r="AC772" s="153"/>
      <c r="AD772" s="153"/>
      <c r="AE772" s="153"/>
      <c r="AF772" s="153"/>
      <c r="AG772" s="153"/>
      <c r="AH772" s="153"/>
      <c r="AI772" s="153"/>
      <c r="AJ772" s="153"/>
      <c r="AK772" s="153"/>
      <c r="AL772" s="153"/>
      <c r="AM772" s="153"/>
      <c r="AN772" s="153"/>
      <c r="AO772" s="153"/>
      <c r="AP772" s="153"/>
    </row>
    <row r="773" spans="4:42" ht="15.75" customHeight="1">
      <c r="D773" s="152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  <c r="AC773" s="153"/>
      <c r="AD773" s="153"/>
      <c r="AE773" s="153"/>
      <c r="AF773" s="153"/>
      <c r="AG773" s="153"/>
      <c r="AH773" s="153"/>
      <c r="AI773" s="153"/>
      <c r="AJ773" s="153"/>
      <c r="AK773" s="153"/>
      <c r="AL773" s="153"/>
      <c r="AM773" s="153"/>
      <c r="AN773" s="153"/>
      <c r="AO773" s="153"/>
      <c r="AP773" s="153"/>
    </row>
    <row r="774" spans="4:42" ht="15.75" customHeight="1">
      <c r="D774" s="152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  <c r="AC774" s="153"/>
      <c r="AD774" s="153"/>
      <c r="AE774" s="153"/>
      <c r="AF774" s="153"/>
      <c r="AG774" s="153"/>
      <c r="AH774" s="153"/>
      <c r="AI774" s="153"/>
      <c r="AJ774" s="153"/>
      <c r="AK774" s="153"/>
      <c r="AL774" s="153"/>
      <c r="AM774" s="153"/>
      <c r="AN774" s="153"/>
      <c r="AO774" s="153"/>
      <c r="AP774" s="153"/>
    </row>
    <row r="775" spans="4:42" ht="15.75" customHeight="1">
      <c r="D775" s="152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  <c r="AC775" s="153"/>
      <c r="AD775" s="153"/>
      <c r="AE775" s="153"/>
      <c r="AF775" s="153"/>
      <c r="AG775" s="153"/>
      <c r="AH775" s="153"/>
      <c r="AI775" s="153"/>
      <c r="AJ775" s="153"/>
      <c r="AK775" s="153"/>
      <c r="AL775" s="153"/>
      <c r="AM775" s="153"/>
      <c r="AN775" s="153"/>
      <c r="AO775" s="153"/>
      <c r="AP775" s="153"/>
    </row>
    <row r="776" spans="4:42" ht="15.75" customHeight="1">
      <c r="D776" s="152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  <c r="AC776" s="153"/>
      <c r="AD776" s="153"/>
      <c r="AE776" s="153"/>
      <c r="AF776" s="153"/>
      <c r="AG776" s="153"/>
      <c r="AH776" s="153"/>
      <c r="AI776" s="153"/>
      <c r="AJ776" s="153"/>
      <c r="AK776" s="153"/>
      <c r="AL776" s="153"/>
      <c r="AM776" s="153"/>
      <c r="AN776" s="153"/>
      <c r="AO776" s="153"/>
      <c r="AP776" s="153"/>
    </row>
    <row r="777" spans="4:42" ht="15.75" customHeight="1">
      <c r="D777" s="152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  <c r="AC777" s="153"/>
      <c r="AD777" s="153"/>
      <c r="AE777" s="153"/>
      <c r="AF777" s="153"/>
      <c r="AG777" s="153"/>
      <c r="AH777" s="153"/>
      <c r="AI777" s="153"/>
      <c r="AJ777" s="153"/>
      <c r="AK777" s="153"/>
      <c r="AL777" s="153"/>
      <c r="AM777" s="153"/>
      <c r="AN777" s="153"/>
      <c r="AO777" s="153"/>
      <c r="AP777" s="153"/>
    </row>
    <row r="778" spans="4:42" ht="15.75" customHeight="1">
      <c r="D778" s="152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  <c r="AC778" s="153"/>
      <c r="AD778" s="153"/>
      <c r="AE778" s="153"/>
      <c r="AF778" s="153"/>
      <c r="AG778" s="153"/>
      <c r="AH778" s="153"/>
      <c r="AI778" s="153"/>
      <c r="AJ778" s="153"/>
      <c r="AK778" s="153"/>
      <c r="AL778" s="153"/>
      <c r="AM778" s="153"/>
      <c r="AN778" s="153"/>
      <c r="AO778" s="153"/>
      <c r="AP778" s="153"/>
    </row>
    <row r="779" spans="4:42" ht="15.75" customHeight="1">
      <c r="D779" s="152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  <c r="AC779" s="153"/>
      <c r="AD779" s="153"/>
      <c r="AE779" s="153"/>
      <c r="AF779" s="153"/>
      <c r="AG779" s="153"/>
      <c r="AH779" s="153"/>
      <c r="AI779" s="153"/>
      <c r="AJ779" s="153"/>
      <c r="AK779" s="153"/>
      <c r="AL779" s="153"/>
      <c r="AM779" s="153"/>
      <c r="AN779" s="153"/>
      <c r="AO779" s="153"/>
      <c r="AP779" s="153"/>
    </row>
    <row r="780" spans="4:42" ht="15.75" customHeight="1">
      <c r="D780" s="152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  <c r="AC780" s="153"/>
      <c r="AD780" s="153"/>
      <c r="AE780" s="153"/>
      <c r="AF780" s="153"/>
      <c r="AG780" s="153"/>
      <c r="AH780" s="153"/>
      <c r="AI780" s="153"/>
      <c r="AJ780" s="153"/>
      <c r="AK780" s="153"/>
      <c r="AL780" s="153"/>
      <c r="AM780" s="153"/>
      <c r="AN780" s="153"/>
      <c r="AO780" s="153"/>
      <c r="AP780" s="153"/>
    </row>
    <row r="781" spans="4:42" ht="15.75" customHeight="1">
      <c r="D781" s="152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  <c r="AC781" s="153"/>
      <c r="AD781" s="153"/>
      <c r="AE781" s="153"/>
      <c r="AF781" s="153"/>
      <c r="AG781" s="153"/>
      <c r="AH781" s="153"/>
      <c r="AI781" s="153"/>
      <c r="AJ781" s="153"/>
      <c r="AK781" s="153"/>
      <c r="AL781" s="153"/>
      <c r="AM781" s="153"/>
      <c r="AN781" s="153"/>
      <c r="AO781" s="153"/>
      <c r="AP781" s="153"/>
    </row>
    <row r="782" spans="4:42" ht="15.75" customHeight="1">
      <c r="D782" s="152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  <c r="AC782" s="153"/>
      <c r="AD782" s="153"/>
      <c r="AE782" s="153"/>
      <c r="AF782" s="153"/>
      <c r="AG782" s="153"/>
      <c r="AH782" s="153"/>
      <c r="AI782" s="153"/>
      <c r="AJ782" s="153"/>
      <c r="AK782" s="153"/>
      <c r="AL782" s="153"/>
      <c r="AM782" s="153"/>
      <c r="AN782" s="153"/>
      <c r="AO782" s="153"/>
      <c r="AP782" s="153"/>
    </row>
    <row r="783" spans="4:42" ht="15.75" customHeight="1">
      <c r="D783" s="152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  <c r="AC783" s="153"/>
      <c r="AD783" s="153"/>
      <c r="AE783" s="153"/>
      <c r="AF783" s="153"/>
      <c r="AG783" s="153"/>
      <c r="AH783" s="153"/>
      <c r="AI783" s="153"/>
      <c r="AJ783" s="153"/>
      <c r="AK783" s="153"/>
      <c r="AL783" s="153"/>
      <c r="AM783" s="153"/>
      <c r="AN783" s="153"/>
      <c r="AO783" s="153"/>
      <c r="AP783" s="153"/>
    </row>
    <row r="784" spans="4:42" ht="15.75" customHeight="1">
      <c r="D784" s="152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  <c r="AC784" s="153"/>
      <c r="AD784" s="153"/>
      <c r="AE784" s="153"/>
      <c r="AF784" s="153"/>
      <c r="AG784" s="153"/>
      <c r="AH784" s="153"/>
      <c r="AI784" s="153"/>
      <c r="AJ784" s="153"/>
      <c r="AK784" s="153"/>
      <c r="AL784" s="153"/>
      <c r="AM784" s="153"/>
      <c r="AN784" s="153"/>
      <c r="AO784" s="153"/>
      <c r="AP784" s="153"/>
    </row>
    <row r="785" spans="4:42" ht="15.75" customHeight="1">
      <c r="D785" s="152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  <c r="AC785" s="153"/>
      <c r="AD785" s="153"/>
      <c r="AE785" s="153"/>
      <c r="AF785" s="153"/>
      <c r="AG785" s="153"/>
      <c r="AH785" s="153"/>
      <c r="AI785" s="153"/>
      <c r="AJ785" s="153"/>
      <c r="AK785" s="153"/>
      <c r="AL785" s="153"/>
      <c r="AM785" s="153"/>
      <c r="AN785" s="153"/>
      <c r="AO785" s="153"/>
      <c r="AP785" s="153"/>
    </row>
    <row r="786" spans="4:42" ht="15.75" customHeight="1">
      <c r="D786" s="152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  <c r="AC786" s="153"/>
      <c r="AD786" s="153"/>
      <c r="AE786" s="153"/>
      <c r="AF786" s="153"/>
      <c r="AG786" s="153"/>
      <c r="AH786" s="153"/>
      <c r="AI786" s="153"/>
      <c r="AJ786" s="153"/>
      <c r="AK786" s="153"/>
      <c r="AL786" s="153"/>
      <c r="AM786" s="153"/>
      <c r="AN786" s="153"/>
      <c r="AO786" s="153"/>
      <c r="AP786" s="153"/>
    </row>
    <row r="787" spans="4:42" ht="15.75" customHeight="1">
      <c r="D787" s="152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  <c r="AC787" s="153"/>
      <c r="AD787" s="153"/>
      <c r="AE787" s="153"/>
      <c r="AF787" s="153"/>
      <c r="AG787" s="153"/>
      <c r="AH787" s="153"/>
      <c r="AI787" s="153"/>
      <c r="AJ787" s="153"/>
      <c r="AK787" s="153"/>
      <c r="AL787" s="153"/>
      <c r="AM787" s="153"/>
      <c r="AN787" s="153"/>
      <c r="AO787" s="153"/>
      <c r="AP787" s="153"/>
    </row>
    <row r="788" spans="4:42" ht="15.75" customHeight="1">
      <c r="D788" s="152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  <c r="AC788" s="153"/>
      <c r="AD788" s="153"/>
      <c r="AE788" s="153"/>
      <c r="AF788" s="153"/>
      <c r="AG788" s="153"/>
      <c r="AH788" s="153"/>
      <c r="AI788" s="153"/>
      <c r="AJ788" s="153"/>
      <c r="AK788" s="153"/>
      <c r="AL788" s="153"/>
      <c r="AM788" s="153"/>
      <c r="AN788" s="153"/>
      <c r="AO788" s="153"/>
      <c r="AP788" s="153"/>
    </row>
    <row r="789" spans="4:42" ht="15.75" customHeight="1">
      <c r="D789" s="152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  <c r="AC789" s="153"/>
      <c r="AD789" s="153"/>
      <c r="AE789" s="153"/>
      <c r="AF789" s="153"/>
      <c r="AG789" s="153"/>
      <c r="AH789" s="153"/>
      <c r="AI789" s="153"/>
      <c r="AJ789" s="153"/>
      <c r="AK789" s="153"/>
      <c r="AL789" s="153"/>
      <c r="AM789" s="153"/>
      <c r="AN789" s="153"/>
      <c r="AO789" s="153"/>
      <c r="AP789" s="153"/>
    </row>
    <row r="790" spans="4:42" ht="15.75" customHeight="1">
      <c r="D790" s="152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  <c r="AC790" s="153"/>
      <c r="AD790" s="153"/>
      <c r="AE790" s="153"/>
      <c r="AF790" s="153"/>
      <c r="AG790" s="153"/>
      <c r="AH790" s="153"/>
      <c r="AI790" s="153"/>
      <c r="AJ790" s="153"/>
      <c r="AK790" s="153"/>
      <c r="AL790" s="153"/>
      <c r="AM790" s="153"/>
      <c r="AN790" s="153"/>
      <c r="AO790" s="153"/>
      <c r="AP790" s="153"/>
    </row>
    <row r="791" spans="4:42" ht="15.75" customHeight="1">
      <c r="D791" s="152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  <c r="AC791" s="153"/>
      <c r="AD791" s="153"/>
      <c r="AE791" s="153"/>
      <c r="AF791" s="153"/>
      <c r="AG791" s="153"/>
      <c r="AH791" s="153"/>
      <c r="AI791" s="153"/>
      <c r="AJ791" s="153"/>
      <c r="AK791" s="153"/>
      <c r="AL791" s="153"/>
      <c r="AM791" s="153"/>
      <c r="AN791" s="153"/>
      <c r="AO791" s="153"/>
      <c r="AP791" s="153"/>
    </row>
    <row r="792" spans="4:42" ht="15.75" customHeight="1">
      <c r="D792" s="152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  <c r="AC792" s="153"/>
      <c r="AD792" s="153"/>
      <c r="AE792" s="153"/>
      <c r="AF792" s="153"/>
      <c r="AG792" s="153"/>
      <c r="AH792" s="153"/>
      <c r="AI792" s="153"/>
      <c r="AJ792" s="153"/>
      <c r="AK792" s="153"/>
      <c r="AL792" s="153"/>
      <c r="AM792" s="153"/>
      <c r="AN792" s="153"/>
      <c r="AO792" s="153"/>
      <c r="AP792" s="153"/>
    </row>
    <row r="793" spans="4:42" ht="15.75" customHeight="1">
      <c r="D793" s="152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  <c r="AC793" s="153"/>
      <c r="AD793" s="153"/>
      <c r="AE793" s="153"/>
      <c r="AF793" s="153"/>
      <c r="AG793" s="153"/>
      <c r="AH793" s="153"/>
      <c r="AI793" s="153"/>
      <c r="AJ793" s="153"/>
      <c r="AK793" s="153"/>
      <c r="AL793" s="153"/>
      <c r="AM793" s="153"/>
      <c r="AN793" s="153"/>
      <c r="AO793" s="153"/>
      <c r="AP793" s="153"/>
    </row>
    <row r="794" spans="4:42" ht="15.75" customHeight="1">
      <c r="D794" s="152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  <c r="AC794" s="153"/>
      <c r="AD794" s="153"/>
      <c r="AE794" s="153"/>
      <c r="AF794" s="153"/>
      <c r="AG794" s="153"/>
      <c r="AH794" s="153"/>
      <c r="AI794" s="153"/>
      <c r="AJ794" s="153"/>
      <c r="AK794" s="153"/>
      <c r="AL794" s="153"/>
      <c r="AM794" s="153"/>
      <c r="AN794" s="153"/>
      <c r="AO794" s="153"/>
      <c r="AP794" s="153"/>
    </row>
    <row r="795" spans="4:42" ht="15.75" customHeight="1">
      <c r="D795" s="152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  <c r="AC795" s="153"/>
      <c r="AD795" s="153"/>
      <c r="AE795" s="153"/>
      <c r="AF795" s="153"/>
      <c r="AG795" s="153"/>
      <c r="AH795" s="153"/>
      <c r="AI795" s="153"/>
      <c r="AJ795" s="153"/>
      <c r="AK795" s="153"/>
      <c r="AL795" s="153"/>
      <c r="AM795" s="153"/>
      <c r="AN795" s="153"/>
      <c r="AO795" s="153"/>
      <c r="AP795" s="153"/>
    </row>
    <row r="796" spans="4:42" ht="15.75" customHeight="1">
      <c r="D796" s="152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  <c r="AC796" s="153"/>
      <c r="AD796" s="153"/>
      <c r="AE796" s="153"/>
      <c r="AF796" s="153"/>
      <c r="AG796" s="153"/>
      <c r="AH796" s="153"/>
      <c r="AI796" s="153"/>
      <c r="AJ796" s="153"/>
      <c r="AK796" s="153"/>
      <c r="AL796" s="153"/>
      <c r="AM796" s="153"/>
      <c r="AN796" s="153"/>
      <c r="AO796" s="153"/>
      <c r="AP796" s="153"/>
    </row>
    <row r="797" spans="4:42" ht="15.75" customHeight="1">
      <c r="D797" s="152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  <c r="AC797" s="153"/>
      <c r="AD797" s="153"/>
      <c r="AE797" s="153"/>
      <c r="AF797" s="153"/>
      <c r="AG797" s="153"/>
      <c r="AH797" s="153"/>
      <c r="AI797" s="153"/>
      <c r="AJ797" s="153"/>
      <c r="AK797" s="153"/>
      <c r="AL797" s="153"/>
      <c r="AM797" s="153"/>
      <c r="AN797" s="153"/>
      <c r="AO797" s="153"/>
      <c r="AP797" s="153"/>
    </row>
    <row r="798" spans="4:42" ht="15.75" customHeight="1">
      <c r="D798" s="152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  <c r="AC798" s="153"/>
      <c r="AD798" s="153"/>
      <c r="AE798" s="153"/>
      <c r="AF798" s="153"/>
      <c r="AG798" s="153"/>
      <c r="AH798" s="153"/>
      <c r="AI798" s="153"/>
      <c r="AJ798" s="153"/>
      <c r="AK798" s="153"/>
      <c r="AL798" s="153"/>
      <c r="AM798" s="153"/>
      <c r="AN798" s="153"/>
      <c r="AO798" s="153"/>
      <c r="AP798" s="153"/>
    </row>
    <row r="799" spans="4:42" ht="15.75" customHeight="1">
      <c r="D799" s="152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  <c r="AC799" s="153"/>
      <c r="AD799" s="153"/>
      <c r="AE799" s="153"/>
      <c r="AF799" s="153"/>
      <c r="AG799" s="153"/>
      <c r="AH799" s="153"/>
      <c r="AI799" s="153"/>
      <c r="AJ799" s="153"/>
      <c r="AK799" s="153"/>
      <c r="AL799" s="153"/>
      <c r="AM799" s="153"/>
      <c r="AN799" s="153"/>
      <c r="AO799" s="153"/>
      <c r="AP799" s="153"/>
    </row>
    <row r="800" spans="4:42" ht="15.75" customHeight="1">
      <c r="D800" s="152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  <c r="AC800" s="153"/>
      <c r="AD800" s="153"/>
      <c r="AE800" s="153"/>
      <c r="AF800" s="153"/>
      <c r="AG800" s="153"/>
      <c r="AH800" s="153"/>
      <c r="AI800" s="153"/>
      <c r="AJ800" s="153"/>
      <c r="AK800" s="153"/>
      <c r="AL800" s="153"/>
      <c r="AM800" s="153"/>
      <c r="AN800" s="153"/>
      <c r="AO800" s="153"/>
      <c r="AP800" s="153"/>
    </row>
    <row r="801" spans="4:42" ht="15.75" customHeight="1">
      <c r="D801" s="152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  <c r="AC801" s="153"/>
      <c r="AD801" s="153"/>
      <c r="AE801" s="153"/>
      <c r="AF801" s="153"/>
      <c r="AG801" s="153"/>
      <c r="AH801" s="153"/>
      <c r="AI801" s="153"/>
      <c r="AJ801" s="153"/>
      <c r="AK801" s="153"/>
      <c r="AL801" s="153"/>
      <c r="AM801" s="153"/>
      <c r="AN801" s="153"/>
      <c r="AO801" s="153"/>
      <c r="AP801" s="153"/>
    </row>
    <row r="802" spans="4:42" ht="15.75" customHeight="1">
      <c r="D802" s="152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  <c r="AC802" s="153"/>
      <c r="AD802" s="153"/>
      <c r="AE802" s="153"/>
      <c r="AF802" s="153"/>
      <c r="AG802" s="153"/>
      <c r="AH802" s="153"/>
      <c r="AI802" s="153"/>
      <c r="AJ802" s="153"/>
      <c r="AK802" s="153"/>
      <c r="AL802" s="153"/>
      <c r="AM802" s="153"/>
      <c r="AN802" s="153"/>
      <c r="AO802" s="153"/>
      <c r="AP802" s="153"/>
    </row>
    <row r="803" spans="4:42" ht="15.75" customHeight="1">
      <c r="D803" s="152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  <c r="AC803" s="153"/>
      <c r="AD803" s="153"/>
      <c r="AE803" s="153"/>
      <c r="AF803" s="153"/>
      <c r="AG803" s="153"/>
      <c r="AH803" s="153"/>
      <c r="AI803" s="153"/>
      <c r="AJ803" s="153"/>
      <c r="AK803" s="153"/>
      <c r="AL803" s="153"/>
      <c r="AM803" s="153"/>
      <c r="AN803" s="153"/>
      <c r="AO803" s="153"/>
      <c r="AP803" s="153"/>
    </row>
    <row r="804" spans="4:42" ht="15.75" customHeight="1">
      <c r="D804" s="152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  <c r="AC804" s="153"/>
      <c r="AD804" s="153"/>
      <c r="AE804" s="153"/>
      <c r="AF804" s="153"/>
      <c r="AG804" s="153"/>
      <c r="AH804" s="153"/>
      <c r="AI804" s="153"/>
      <c r="AJ804" s="153"/>
      <c r="AK804" s="153"/>
      <c r="AL804" s="153"/>
      <c r="AM804" s="153"/>
      <c r="AN804" s="153"/>
      <c r="AO804" s="153"/>
      <c r="AP804" s="153"/>
    </row>
    <row r="805" spans="4:42" ht="15.75" customHeight="1">
      <c r="D805" s="152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  <c r="AC805" s="153"/>
      <c r="AD805" s="153"/>
      <c r="AE805" s="153"/>
      <c r="AF805" s="153"/>
      <c r="AG805" s="153"/>
      <c r="AH805" s="153"/>
      <c r="AI805" s="153"/>
      <c r="AJ805" s="153"/>
      <c r="AK805" s="153"/>
      <c r="AL805" s="153"/>
      <c r="AM805" s="153"/>
      <c r="AN805" s="153"/>
      <c r="AO805" s="153"/>
      <c r="AP805" s="153"/>
    </row>
    <row r="806" spans="4:42" ht="15.75" customHeight="1">
      <c r="D806" s="152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  <c r="AC806" s="153"/>
      <c r="AD806" s="153"/>
      <c r="AE806" s="153"/>
      <c r="AF806" s="153"/>
      <c r="AG806" s="153"/>
      <c r="AH806" s="153"/>
      <c r="AI806" s="153"/>
      <c r="AJ806" s="153"/>
      <c r="AK806" s="153"/>
      <c r="AL806" s="153"/>
      <c r="AM806" s="153"/>
      <c r="AN806" s="153"/>
      <c r="AO806" s="153"/>
      <c r="AP806" s="153"/>
    </row>
    <row r="807" spans="4:42" ht="15.75" customHeight="1">
      <c r="D807" s="152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  <c r="AC807" s="153"/>
      <c r="AD807" s="153"/>
      <c r="AE807" s="153"/>
      <c r="AF807" s="153"/>
      <c r="AG807" s="153"/>
      <c r="AH807" s="153"/>
      <c r="AI807" s="153"/>
      <c r="AJ807" s="153"/>
      <c r="AK807" s="153"/>
      <c r="AL807" s="153"/>
      <c r="AM807" s="153"/>
      <c r="AN807" s="153"/>
      <c r="AO807" s="153"/>
      <c r="AP807" s="153"/>
    </row>
    <row r="808" spans="4:42" ht="15.75" customHeight="1">
      <c r="D808" s="152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  <c r="AC808" s="153"/>
      <c r="AD808" s="153"/>
      <c r="AE808" s="153"/>
      <c r="AF808" s="153"/>
      <c r="AG808" s="153"/>
      <c r="AH808" s="153"/>
      <c r="AI808" s="153"/>
      <c r="AJ808" s="153"/>
      <c r="AK808" s="153"/>
      <c r="AL808" s="153"/>
      <c r="AM808" s="153"/>
      <c r="AN808" s="153"/>
      <c r="AO808" s="153"/>
      <c r="AP808" s="153"/>
    </row>
    <row r="809" spans="4:42" ht="15.75" customHeight="1">
      <c r="D809" s="152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  <c r="AC809" s="153"/>
      <c r="AD809" s="153"/>
      <c r="AE809" s="153"/>
      <c r="AF809" s="153"/>
      <c r="AG809" s="153"/>
      <c r="AH809" s="153"/>
      <c r="AI809" s="153"/>
      <c r="AJ809" s="153"/>
      <c r="AK809" s="153"/>
      <c r="AL809" s="153"/>
      <c r="AM809" s="153"/>
      <c r="AN809" s="153"/>
      <c r="AO809" s="153"/>
      <c r="AP809" s="153"/>
    </row>
    <row r="810" spans="4:42" ht="15.75" customHeight="1">
      <c r="D810" s="152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  <c r="AC810" s="153"/>
      <c r="AD810" s="153"/>
      <c r="AE810" s="153"/>
      <c r="AF810" s="153"/>
      <c r="AG810" s="153"/>
      <c r="AH810" s="153"/>
      <c r="AI810" s="153"/>
      <c r="AJ810" s="153"/>
      <c r="AK810" s="153"/>
      <c r="AL810" s="153"/>
      <c r="AM810" s="153"/>
      <c r="AN810" s="153"/>
      <c r="AO810" s="153"/>
      <c r="AP810" s="153"/>
    </row>
    <row r="811" spans="4:42" ht="15.75" customHeight="1">
      <c r="D811" s="152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  <c r="AC811" s="153"/>
      <c r="AD811" s="153"/>
      <c r="AE811" s="153"/>
      <c r="AF811" s="153"/>
      <c r="AG811" s="153"/>
      <c r="AH811" s="153"/>
      <c r="AI811" s="153"/>
      <c r="AJ811" s="153"/>
      <c r="AK811" s="153"/>
      <c r="AL811" s="153"/>
      <c r="AM811" s="153"/>
      <c r="AN811" s="153"/>
      <c r="AO811" s="153"/>
      <c r="AP811" s="153"/>
    </row>
    <row r="812" spans="4:42" ht="15.75" customHeight="1">
      <c r="D812" s="152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  <c r="AC812" s="153"/>
      <c r="AD812" s="153"/>
      <c r="AE812" s="153"/>
      <c r="AF812" s="153"/>
      <c r="AG812" s="153"/>
      <c r="AH812" s="153"/>
      <c r="AI812" s="153"/>
      <c r="AJ812" s="153"/>
      <c r="AK812" s="153"/>
      <c r="AL812" s="153"/>
      <c r="AM812" s="153"/>
      <c r="AN812" s="153"/>
      <c r="AO812" s="153"/>
      <c r="AP812" s="153"/>
    </row>
    <row r="813" spans="4:42" ht="15.75" customHeight="1">
      <c r="D813" s="152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  <c r="AC813" s="153"/>
      <c r="AD813" s="153"/>
      <c r="AE813" s="153"/>
      <c r="AF813" s="153"/>
      <c r="AG813" s="153"/>
      <c r="AH813" s="153"/>
      <c r="AI813" s="153"/>
      <c r="AJ813" s="153"/>
      <c r="AK813" s="153"/>
      <c r="AL813" s="153"/>
      <c r="AM813" s="153"/>
      <c r="AN813" s="153"/>
      <c r="AO813" s="153"/>
      <c r="AP813" s="153"/>
    </row>
    <row r="814" spans="4:42" ht="15.75" customHeight="1">
      <c r="D814" s="152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  <c r="AC814" s="153"/>
      <c r="AD814" s="153"/>
      <c r="AE814" s="153"/>
      <c r="AF814" s="153"/>
      <c r="AG814" s="153"/>
      <c r="AH814" s="153"/>
      <c r="AI814" s="153"/>
      <c r="AJ814" s="153"/>
      <c r="AK814" s="153"/>
      <c r="AL814" s="153"/>
      <c r="AM814" s="153"/>
      <c r="AN814" s="153"/>
      <c r="AO814" s="153"/>
      <c r="AP814" s="153"/>
    </row>
    <row r="815" spans="4:42" ht="15.75" customHeight="1">
      <c r="D815" s="152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  <c r="AC815" s="153"/>
      <c r="AD815" s="153"/>
      <c r="AE815" s="153"/>
      <c r="AF815" s="153"/>
      <c r="AG815" s="153"/>
      <c r="AH815" s="153"/>
      <c r="AI815" s="153"/>
      <c r="AJ815" s="153"/>
      <c r="AK815" s="153"/>
      <c r="AL815" s="153"/>
      <c r="AM815" s="153"/>
      <c r="AN815" s="153"/>
      <c r="AO815" s="153"/>
      <c r="AP815" s="153"/>
    </row>
    <row r="816" spans="4:42" ht="15.75" customHeight="1">
      <c r="D816" s="152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  <c r="AC816" s="153"/>
      <c r="AD816" s="153"/>
      <c r="AE816" s="153"/>
      <c r="AF816" s="153"/>
      <c r="AG816" s="153"/>
      <c r="AH816" s="153"/>
      <c r="AI816" s="153"/>
      <c r="AJ816" s="153"/>
      <c r="AK816" s="153"/>
      <c r="AL816" s="153"/>
      <c r="AM816" s="153"/>
      <c r="AN816" s="153"/>
      <c r="AO816" s="153"/>
      <c r="AP816" s="153"/>
    </row>
    <row r="817" spans="4:42" ht="15.75" customHeight="1">
      <c r="D817" s="152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  <c r="AC817" s="153"/>
      <c r="AD817" s="153"/>
      <c r="AE817" s="153"/>
      <c r="AF817" s="153"/>
      <c r="AG817" s="153"/>
      <c r="AH817" s="153"/>
      <c r="AI817" s="153"/>
      <c r="AJ817" s="153"/>
      <c r="AK817" s="153"/>
      <c r="AL817" s="153"/>
      <c r="AM817" s="153"/>
      <c r="AN817" s="153"/>
      <c r="AO817" s="153"/>
      <c r="AP817" s="153"/>
    </row>
    <row r="818" spans="4:42" ht="15.75" customHeight="1">
      <c r="D818" s="152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  <c r="AC818" s="153"/>
      <c r="AD818" s="153"/>
      <c r="AE818" s="153"/>
      <c r="AF818" s="153"/>
      <c r="AG818" s="153"/>
      <c r="AH818" s="153"/>
      <c r="AI818" s="153"/>
      <c r="AJ818" s="153"/>
      <c r="AK818" s="153"/>
      <c r="AL818" s="153"/>
      <c r="AM818" s="153"/>
      <c r="AN818" s="153"/>
      <c r="AO818" s="153"/>
      <c r="AP818" s="153"/>
    </row>
    <row r="819" spans="4:42" ht="15.75" customHeight="1">
      <c r="D819" s="152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  <c r="AC819" s="153"/>
      <c r="AD819" s="153"/>
      <c r="AE819" s="153"/>
      <c r="AF819" s="153"/>
      <c r="AG819" s="153"/>
      <c r="AH819" s="153"/>
      <c r="AI819" s="153"/>
      <c r="AJ819" s="153"/>
      <c r="AK819" s="153"/>
      <c r="AL819" s="153"/>
      <c r="AM819" s="153"/>
      <c r="AN819" s="153"/>
      <c r="AO819" s="153"/>
      <c r="AP819" s="153"/>
    </row>
    <row r="820" spans="4:42" ht="15.75" customHeight="1">
      <c r="D820" s="152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  <c r="AC820" s="153"/>
      <c r="AD820" s="153"/>
      <c r="AE820" s="153"/>
      <c r="AF820" s="153"/>
      <c r="AG820" s="153"/>
      <c r="AH820" s="153"/>
      <c r="AI820" s="153"/>
      <c r="AJ820" s="153"/>
      <c r="AK820" s="153"/>
      <c r="AL820" s="153"/>
      <c r="AM820" s="153"/>
      <c r="AN820" s="153"/>
      <c r="AO820" s="153"/>
      <c r="AP820" s="153"/>
    </row>
    <row r="821" spans="4:42" ht="15.75" customHeight="1">
      <c r="D821" s="152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  <c r="AC821" s="153"/>
      <c r="AD821" s="153"/>
      <c r="AE821" s="153"/>
      <c r="AF821" s="153"/>
      <c r="AG821" s="153"/>
      <c r="AH821" s="153"/>
      <c r="AI821" s="153"/>
      <c r="AJ821" s="153"/>
      <c r="AK821" s="153"/>
      <c r="AL821" s="153"/>
      <c r="AM821" s="153"/>
      <c r="AN821" s="153"/>
      <c r="AO821" s="153"/>
      <c r="AP821" s="153"/>
    </row>
    <row r="822" spans="4:42" ht="15.75" customHeight="1">
      <c r="D822" s="152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  <c r="AC822" s="153"/>
      <c r="AD822" s="153"/>
      <c r="AE822" s="153"/>
      <c r="AF822" s="153"/>
      <c r="AG822" s="153"/>
      <c r="AH822" s="153"/>
      <c r="AI822" s="153"/>
      <c r="AJ822" s="153"/>
      <c r="AK822" s="153"/>
      <c r="AL822" s="153"/>
      <c r="AM822" s="153"/>
      <c r="AN822" s="153"/>
      <c r="AO822" s="153"/>
      <c r="AP822" s="153"/>
    </row>
    <row r="823" spans="4:42" ht="15.75" customHeight="1">
      <c r="D823" s="152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  <c r="AC823" s="153"/>
      <c r="AD823" s="153"/>
      <c r="AE823" s="153"/>
      <c r="AF823" s="153"/>
      <c r="AG823" s="153"/>
      <c r="AH823" s="153"/>
      <c r="AI823" s="153"/>
      <c r="AJ823" s="153"/>
      <c r="AK823" s="153"/>
      <c r="AL823" s="153"/>
      <c r="AM823" s="153"/>
      <c r="AN823" s="153"/>
      <c r="AO823" s="153"/>
      <c r="AP823" s="153"/>
    </row>
    <row r="824" spans="4:42" ht="15.75" customHeight="1">
      <c r="D824" s="152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  <c r="AC824" s="153"/>
      <c r="AD824" s="153"/>
      <c r="AE824" s="153"/>
      <c r="AF824" s="153"/>
      <c r="AG824" s="153"/>
      <c r="AH824" s="153"/>
      <c r="AI824" s="153"/>
      <c r="AJ824" s="153"/>
      <c r="AK824" s="153"/>
      <c r="AL824" s="153"/>
      <c r="AM824" s="153"/>
      <c r="AN824" s="153"/>
      <c r="AO824" s="153"/>
      <c r="AP824" s="153"/>
    </row>
    <row r="825" spans="4:42" ht="15.75" customHeight="1">
      <c r="D825" s="152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  <c r="AC825" s="153"/>
      <c r="AD825" s="153"/>
      <c r="AE825" s="153"/>
      <c r="AF825" s="153"/>
      <c r="AG825" s="153"/>
      <c r="AH825" s="153"/>
      <c r="AI825" s="153"/>
      <c r="AJ825" s="153"/>
      <c r="AK825" s="153"/>
      <c r="AL825" s="153"/>
      <c r="AM825" s="153"/>
      <c r="AN825" s="153"/>
      <c r="AO825" s="153"/>
      <c r="AP825" s="153"/>
    </row>
    <row r="826" spans="4:42" ht="15.75" customHeight="1">
      <c r="D826" s="152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  <c r="AC826" s="153"/>
      <c r="AD826" s="153"/>
      <c r="AE826" s="153"/>
      <c r="AF826" s="153"/>
      <c r="AG826" s="153"/>
      <c r="AH826" s="153"/>
      <c r="AI826" s="153"/>
      <c r="AJ826" s="153"/>
      <c r="AK826" s="153"/>
      <c r="AL826" s="153"/>
      <c r="AM826" s="153"/>
      <c r="AN826" s="153"/>
      <c r="AO826" s="153"/>
      <c r="AP826" s="153"/>
    </row>
    <row r="827" spans="4:42" ht="15.75" customHeight="1">
      <c r="D827" s="152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  <c r="AC827" s="153"/>
      <c r="AD827" s="153"/>
      <c r="AE827" s="153"/>
      <c r="AF827" s="153"/>
      <c r="AG827" s="153"/>
      <c r="AH827" s="153"/>
      <c r="AI827" s="153"/>
      <c r="AJ827" s="153"/>
      <c r="AK827" s="153"/>
      <c r="AL827" s="153"/>
      <c r="AM827" s="153"/>
      <c r="AN827" s="153"/>
      <c r="AO827" s="153"/>
      <c r="AP827" s="153"/>
    </row>
    <row r="828" spans="4:42" ht="15.75" customHeight="1">
      <c r="D828" s="152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  <c r="AC828" s="153"/>
      <c r="AD828" s="153"/>
      <c r="AE828" s="153"/>
      <c r="AF828" s="153"/>
      <c r="AG828" s="153"/>
      <c r="AH828" s="153"/>
      <c r="AI828" s="153"/>
      <c r="AJ828" s="153"/>
      <c r="AK828" s="153"/>
      <c r="AL828" s="153"/>
      <c r="AM828" s="153"/>
      <c r="AN828" s="153"/>
      <c r="AO828" s="153"/>
      <c r="AP828" s="153"/>
    </row>
    <row r="829" spans="4:42" ht="15.75" customHeight="1">
      <c r="D829" s="152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  <c r="AC829" s="153"/>
      <c r="AD829" s="153"/>
      <c r="AE829" s="153"/>
      <c r="AF829" s="153"/>
      <c r="AG829" s="153"/>
      <c r="AH829" s="153"/>
      <c r="AI829" s="153"/>
      <c r="AJ829" s="153"/>
      <c r="AK829" s="153"/>
      <c r="AL829" s="153"/>
      <c r="AM829" s="153"/>
      <c r="AN829" s="153"/>
      <c r="AO829" s="153"/>
      <c r="AP829" s="153"/>
    </row>
    <row r="830" spans="4:42" ht="15.75" customHeight="1">
      <c r="D830" s="152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  <c r="AC830" s="153"/>
      <c r="AD830" s="153"/>
      <c r="AE830" s="153"/>
      <c r="AF830" s="153"/>
      <c r="AG830" s="153"/>
      <c r="AH830" s="153"/>
      <c r="AI830" s="153"/>
      <c r="AJ830" s="153"/>
      <c r="AK830" s="153"/>
      <c r="AL830" s="153"/>
      <c r="AM830" s="153"/>
      <c r="AN830" s="153"/>
      <c r="AO830" s="153"/>
      <c r="AP830" s="153"/>
    </row>
    <row r="831" spans="4:42" ht="15.75" customHeight="1">
      <c r="D831" s="152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  <c r="AC831" s="153"/>
      <c r="AD831" s="153"/>
      <c r="AE831" s="153"/>
      <c r="AF831" s="153"/>
      <c r="AG831" s="153"/>
      <c r="AH831" s="153"/>
      <c r="AI831" s="153"/>
      <c r="AJ831" s="153"/>
      <c r="AK831" s="153"/>
      <c r="AL831" s="153"/>
      <c r="AM831" s="153"/>
      <c r="AN831" s="153"/>
      <c r="AO831" s="153"/>
      <c r="AP831" s="153"/>
    </row>
    <row r="832" spans="4:42" ht="15.75" customHeight="1">
      <c r="D832" s="152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  <c r="AC832" s="153"/>
      <c r="AD832" s="153"/>
      <c r="AE832" s="153"/>
      <c r="AF832" s="153"/>
      <c r="AG832" s="153"/>
      <c r="AH832" s="153"/>
      <c r="AI832" s="153"/>
      <c r="AJ832" s="153"/>
      <c r="AK832" s="153"/>
      <c r="AL832" s="153"/>
      <c r="AM832" s="153"/>
      <c r="AN832" s="153"/>
      <c r="AO832" s="153"/>
      <c r="AP832" s="153"/>
    </row>
    <row r="833" spans="4:42" ht="15.75" customHeight="1">
      <c r="D833" s="152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  <c r="AC833" s="153"/>
      <c r="AD833" s="153"/>
      <c r="AE833" s="153"/>
      <c r="AF833" s="153"/>
      <c r="AG833" s="153"/>
      <c r="AH833" s="153"/>
      <c r="AI833" s="153"/>
      <c r="AJ833" s="153"/>
      <c r="AK833" s="153"/>
      <c r="AL833" s="153"/>
      <c r="AM833" s="153"/>
      <c r="AN833" s="153"/>
      <c r="AO833" s="153"/>
      <c r="AP833" s="153"/>
    </row>
    <row r="834" spans="4:42" ht="15.75" customHeight="1">
      <c r="D834" s="152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  <c r="AC834" s="153"/>
      <c r="AD834" s="153"/>
      <c r="AE834" s="153"/>
      <c r="AF834" s="153"/>
      <c r="AG834" s="153"/>
      <c r="AH834" s="153"/>
      <c r="AI834" s="153"/>
      <c r="AJ834" s="153"/>
      <c r="AK834" s="153"/>
      <c r="AL834" s="153"/>
      <c r="AM834" s="153"/>
      <c r="AN834" s="153"/>
      <c r="AO834" s="153"/>
      <c r="AP834" s="153"/>
    </row>
    <row r="835" spans="4:42" ht="15.75" customHeight="1">
      <c r="D835" s="152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  <c r="AC835" s="153"/>
      <c r="AD835" s="153"/>
      <c r="AE835" s="153"/>
      <c r="AF835" s="153"/>
      <c r="AG835" s="153"/>
      <c r="AH835" s="153"/>
      <c r="AI835" s="153"/>
      <c r="AJ835" s="153"/>
      <c r="AK835" s="153"/>
      <c r="AL835" s="153"/>
      <c r="AM835" s="153"/>
      <c r="AN835" s="153"/>
      <c r="AO835" s="153"/>
      <c r="AP835" s="153"/>
    </row>
    <row r="836" spans="4:42" ht="15.75" customHeight="1">
      <c r="D836" s="152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  <c r="AC836" s="153"/>
      <c r="AD836" s="153"/>
      <c r="AE836" s="153"/>
      <c r="AF836" s="153"/>
      <c r="AG836" s="153"/>
      <c r="AH836" s="153"/>
      <c r="AI836" s="153"/>
      <c r="AJ836" s="153"/>
      <c r="AK836" s="153"/>
      <c r="AL836" s="153"/>
      <c r="AM836" s="153"/>
      <c r="AN836" s="153"/>
      <c r="AO836" s="153"/>
      <c r="AP836" s="153"/>
    </row>
    <row r="837" spans="4:42" ht="15.75" customHeight="1">
      <c r="D837" s="152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  <c r="AC837" s="153"/>
      <c r="AD837" s="153"/>
      <c r="AE837" s="153"/>
      <c r="AF837" s="153"/>
      <c r="AG837" s="153"/>
      <c r="AH837" s="153"/>
      <c r="AI837" s="153"/>
      <c r="AJ837" s="153"/>
      <c r="AK837" s="153"/>
      <c r="AL837" s="153"/>
      <c r="AM837" s="153"/>
      <c r="AN837" s="153"/>
      <c r="AO837" s="153"/>
      <c r="AP837" s="153"/>
    </row>
    <row r="838" spans="4:42" ht="15.75" customHeight="1">
      <c r="D838" s="152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  <c r="AC838" s="153"/>
      <c r="AD838" s="153"/>
      <c r="AE838" s="153"/>
      <c r="AF838" s="153"/>
      <c r="AG838" s="153"/>
      <c r="AH838" s="153"/>
      <c r="AI838" s="153"/>
      <c r="AJ838" s="153"/>
      <c r="AK838" s="153"/>
      <c r="AL838" s="153"/>
      <c r="AM838" s="153"/>
      <c r="AN838" s="153"/>
      <c r="AO838" s="153"/>
      <c r="AP838" s="153"/>
    </row>
    <row r="839" spans="4:42" ht="15.75" customHeight="1">
      <c r="D839" s="152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  <c r="AC839" s="153"/>
      <c r="AD839" s="153"/>
      <c r="AE839" s="153"/>
      <c r="AF839" s="153"/>
      <c r="AG839" s="153"/>
      <c r="AH839" s="153"/>
      <c r="AI839" s="153"/>
      <c r="AJ839" s="153"/>
      <c r="AK839" s="153"/>
      <c r="AL839" s="153"/>
      <c r="AM839" s="153"/>
      <c r="AN839" s="153"/>
      <c r="AO839" s="153"/>
      <c r="AP839" s="153"/>
    </row>
    <row r="840" spans="4:42" ht="15.75" customHeight="1">
      <c r="D840" s="152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  <c r="AC840" s="153"/>
      <c r="AD840" s="153"/>
      <c r="AE840" s="153"/>
      <c r="AF840" s="153"/>
      <c r="AG840" s="153"/>
      <c r="AH840" s="153"/>
      <c r="AI840" s="153"/>
      <c r="AJ840" s="153"/>
      <c r="AK840" s="153"/>
      <c r="AL840" s="153"/>
      <c r="AM840" s="153"/>
      <c r="AN840" s="153"/>
      <c r="AO840" s="153"/>
      <c r="AP840" s="153"/>
    </row>
    <row r="841" spans="4:42" ht="15.75" customHeight="1">
      <c r="D841" s="152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  <c r="AC841" s="153"/>
      <c r="AD841" s="153"/>
      <c r="AE841" s="153"/>
      <c r="AF841" s="153"/>
      <c r="AG841" s="153"/>
      <c r="AH841" s="153"/>
      <c r="AI841" s="153"/>
      <c r="AJ841" s="153"/>
      <c r="AK841" s="153"/>
      <c r="AL841" s="153"/>
      <c r="AM841" s="153"/>
      <c r="AN841" s="153"/>
      <c r="AO841" s="153"/>
      <c r="AP841" s="153"/>
    </row>
    <row r="842" spans="4:42" ht="15.75" customHeight="1">
      <c r="D842" s="152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  <c r="AC842" s="153"/>
      <c r="AD842" s="153"/>
      <c r="AE842" s="153"/>
      <c r="AF842" s="153"/>
      <c r="AG842" s="153"/>
      <c r="AH842" s="153"/>
      <c r="AI842" s="153"/>
      <c r="AJ842" s="153"/>
      <c r="AK842" s="153"/>
      <c r="AL842" s="153"/>
      <c r="AM842" s="153"/>
      <c r="AN842" s="153"/>
      <c r="AO842" s="153"/>
      <c r="AP842" s="153"/>
    </row>
    <row r="843" spans="4:42" ht="15.75" customHeight="1">
      <c r="D843" s="152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  <c r="AC843" s="153"/>
      <c r="AD843" s="153"/>
      <c r="AE843" s="153"/>
      <c r="AF843" s="153"/>
      <c r="AG843" s="153"/>
      <c r="AH843" s="153"/>
      <c r="AI843" s="153"/>
      <c r="AJ843" s="153"/>
      <c r="AK843" s="153"/>
      <c r="AL843" s="153"/>
      <c r="AM843" s="153"/>
      <c r="AN843" s="153"/>
      <c r="AO843" s="153"/>
      <c r="AP843" s="153"/>
    </row>
    <row r="844" spans="4:42" ht="15.75" customHeight="1">
      <c r="D844" s="152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  <c r="AC844" s="153"/>
      <c r="AD844" s="153"/>
      <c r="AE844" s="153"/>
      <c r="AF844" s="153"/>
      <c r="AG844" s="153"/>
      <c r="AH844" s="153"/>
      <c r="AI844" s="153"/>
      <c r="AJ844" s="153"/>
      <c r="AK844" s="153"/>
      <c r="AL844" s="153"/>
      <c r="AM844" s="153"/>
      <c r="AN844" s="153"/>
      <c r="AO844" s="153"/>
      <c r="AP844" s="153"/>
    </row>
    <row r="845" spans="4:42" ht="15.75" customHeight="1">
      <c r="D845" s="152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  <c r="AC845" s="153"/>
      <c r="AD845" s="153"/>
      <c r="AE845" s="153"/>
      <c r="AF845" s="153"/>
      <c r="AG845" s="153"/>
      <c r="AH845" s="153"/>
      <c r="AI845" s="153"/>
      <c r="AJ845" s="153"/>
      <c r="AK845" s="153"/>
      <c r="AL845" s="153"/>
      <c r="AM845" s="153"/>
      <c r="AN845" s="153"/>
      <c r="AO845" s="153"/>
      <c r="AP845" s="153"/>
    </row>
    <row r="846" spans="4:42" ht="15.75" customHeight="1">
      <c r="D846" s="152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  <c r="AC846" s="153"/>
      <c r="AD846" s="153"/>
      <c r="AE846" s="153"/>
      <c r="AF846" s="153"/>
      <c r="AG846" s="153"/>
      <c r="AH846" s="153"/>
      <c r="AI846" s="153"/>
      <c r="AJ846" s="153"/>
      <c r="AK846" s="153"/>
      <c r="AL846" s="153"/>
      <c r="AM846" s="153"/>
      <c r="AN846" s="153"/>
      <c r="AO846" s="153"/>
      <c r="AP846" s="153"/>
    </row>
    <row r="847" spans="4:42" ht="15.75" customHeight="1">
      <c r="D847" s="152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  <c r="AC847" s="153"/>
      <c r="AD847" s="153"/>
      <c r="AE847" s="153"/>
      <c r="AF847" s="153"/>
      <c r="AG847" s="153"/>
      <c r="AH847" s="153"/>
      <c r="AI847" s="153"/>
      <c r="AJ847" s="153"/>
      <c r="AK847" s="153"/>
      <c r="AL847" s="153"/>
      <c r="AM847" s="153"/>
      <c r="AN847" s="153"/>
      <c r="AO847" s="153"/>
      <c r="AP847" s="153"/>
    </row>
    <row r="848" spans="4:42" ht="15.75" customHeight="1">
      <c r="D848" s="152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  <c r="AC848" s="153"/>
      <c r="AD848" s="153"/>
      <c r="AE848" s="153"/>
      <c r="AF848" s="153"/>
      <c r="AG848" s="153"/>
      <c r="AH848" s="153"/>
      <c r="AI848" s="153"/>
      <c r="AJ848" s="153"/>
      <c r="AK848" s="153"/>
      <c r="AL848" s="153"/>
      <c r="AM848" s="153"/>
      <c r="AN848" s="153"/>
      <c r="AO848" s="153"/>
      <c r="AP848" s="153"/>
    </row>
    <row r="849" spans="4:42" ht="15.75" customHeight="1">
      <c r="D849" s="152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  <c r="AC849" s="153"/>
      <c r="AD849" s="153"/>
      <c r="AE849" s="153"/>
      <c r="AF849" s="153"/>
      <c r="AG849" s="153"/>
      <c r="AH849" s="153"/>
      <c r="AI849" s="153"/>
      <c r="AJ849" s="153"/>
      <c r="AK849" s="153"/>
      <c r="AL849" s="153"/>
      <c r="AM849" s="153"/>
      <c r="AN849" s="153"/>
      <c r="AO849" s="153"/>
      <c r="AP849" s="153"/>
    </row>
    <row r="850" spans="4:42" ht="15.75" customHeight="1">
      <c r="D850" s="152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  <c r="AC850" s="153"/>
      <c r="AD850" s="153"/>
      <c r="AE850" s="153"/>
      <c r="AF850" s="153"/>
      <c r="AG850" s="153"/>
      <c r="AH850" s="153"/>
      <c r="AI850" s="153"/>
      <c r="AJ850" s="153"/>
      <c r="AK850" s="153"/>
      <c r="AL850" s="153"/>
      <c r="AM850" s="153"/>
      <c r="AN850" s="153"/>
      <c r="AO850" s="153"/>
      <c r="AP850" s="153"/>
    </row>
    <row r="851" spans="4:42" ht="15.75" customHeight="1">
      <c r="D851" s="152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  <c r="AC851" s="153"/>
      <c r="AD851" s="153"/>
      <c r="AE851" s="153"/>
      <c r="AF851" s="153"/>
      <c r="AG851" s="153"/>
      <c r="AH851" s="153"/>
      <c r="AI851" s="153"/>
      <c r="AJ851" s="153"/>
      <c r="AK851" s="153"/>
      <c r="AL851" s="153"/>
      <c r="AM851" s="153"/>
      <c r="AN851" s="153"/>
      <c r="AO851" s="153"/>
      <c r="AP851" s="153"/>
    </row>
    <row r="852" spans="4:42" ht="15.75" customHeight="1">
      <c r="D852" s="152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  <c r="AC852" s="153"/>
      <c r="AD852" s="153"/>
      <c r="AE852" s="153"/>
      <c r="AF852" s="153"/>
      <c r="AG852" s="153"/>
      <c r="AH852" s="153"/>
      <c r="AI852" s="153"/>
      <c r="AJ852" s="153"/>
      <c r="AK852" s="153"/>
      <c r="AL852" s="153"/>
      <c r="AM852" s="153"/>
      <c r="AN852" s="153"/>
      <c r="AO852" s="153"/>
      <c r="AP852" s="153"/>
    </row>
    <row r="853" spans="4:42" ht="15.75" customHeight="1">
      <c r="D853" s="152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  <c r="AC853" s="153"/>
      <c r="AD853" s="153"/>
      <c r="AE853" s="153"/>
      <c r="AF853" s="153"/>
      <c r="AG853" s="153"/>
      <c r="AH853" s="153"/>
      <c r="AI853" s="153"/>
      <c r="AJ853" s="153"/>
      <c r="AK853" s="153"/>
      <c r="AL853" s="153"/>
      <c r="AM853" s="153"/>
      <c r="AN853" s="153"/>
      <c r="AO853" s="153"/>
      <c r="AP853" s="153"/>
    </row>
    <row r="854" spans="4:42" ht="15.75" customHeight="1">
      <c r="D854" s="152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  <c r="AC854" s="153"/>
      <c r="AD854" s="153"/>
      <c r="AE854" s="153"/>
      <c r="AF854" s="153"/>
      <c r="AG854" s="153"/>
      <c r="AH854" s="153"/>
      <c r="AI854" s="153"/>
      <c r="AJ854" s="153"/>
      <c r="AK854" s="153"/>
      <c r="AL854" s="153"/>
      <c r="AM854" s="153"/>
      <c r="AN854" s="153"/>
      <c r="AO854" s="153"/>
      <c r="AP854" s="153"/>
    </row>
    <row r="855" spans="4:42" ht="15.75" customHeight="1">
      <c r="D855" s="152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  <c r="AC855" s="153"/>
      <c r="AD855" s="153"/>
      <c r="AE855" s="153"/>
      <c r="AF855" s="153"/>
      <c r="AG855" s="153"/>
      <c r="AH855" s="153"/>
      <c r="AI855" s="153"/>
      <c r="AJ855" s="153"/>
      <c r="AK855" s="153"/>
      <c r="AL855" s="153"/>
      <c r="AM855" s="153"/>
      <c r="AN855" s="153"/>
      <c r="AO855" s="153"/>
      <c r="AP855" s="153"/>
    </row>
    <row r="856" spans="4:42" ht="15.75" customHeight="1">
      <c r="D856" s="152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  <c r="AC856" s="153"/>
      <c r="AD856" s="153"/>
      <c r="AE856" s="153"/>
      <c r="AF856" s="153"/>
      <c r="AG856" s="153"/>
      <c r="AH856" s="153"/>
      <c r="AI856" s="153"/>
      <c r="AJ856" s="153"/>
      <c r="AK856" s="153"/>
      <c r="AL856" s="153"/>
      <c r="AM856" s="153"/>
      <c r="AN856" s="153"/>
      <c r="AO856" s="153"/>
      <c r="AP856" s="153"/>
    </row>
    <row r="857" spans="4:42" ht="15.75" customHeight="1">
      <c r="D857" s="152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  <c r="AC857" s="153"/>
      <c r="AD857" s="153"/>
      <c r="AE857" s="153"/>
      <c r="AF857" s="153"/>
      <c r="AG857" s="153"/>
      <c r="AH857" s="153"/>
      <c r="AI857" s="153"/>
      <c r="AJ857" s="153"/>
      <c r="AK857" s="153"/>
      <c r="AL857" s="153"/>
      <c r="AM857" s="153"/>
      <c r="AN857" s="153"/>
      <c r="AO857" s="153"/>
      <c r="AP857" s="153"/>
    </row>
    <row r="858" spans="4:42" ht="15.75" customHeight="1">
      <c r="D858" s="152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  <c r="AC858" s="153"/>
      <c r="AD858" s="153"/>
      <c r="AE858" s="153"/>
      <c r="AF858" s="153"/>
      <c r="AG858" s="153"/>
      <c r="AH858" s="153"/>
      <c r="AI858" s="153"/>
      <c r="AJ858" s="153"/>
      <c r="AK858" s="153"/>
      <c r="AL858" s="153"/>
      <c r="AM858" s="153"/>
      <c r="AN858" s="153"/>
      <c r="AO858" s="153"/>
      <c r="AP858" s="153"/>
    </row>
    <row r="859" spans="4:42" ht="15.75" customHeight="1">
      <c r="D859" s="152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  <c r="AC859" s="153"/>
      <c r="AD859" s="153"/>
      <c r="AE859" s="153"/>
      <c r="AF859" s="153"/>
      <c r="AG859" s="153"/>
      <c r="AH859" s="153"/>
      <c r="AI859" s="153"/>
      <c r="AJ859" s="153"/>
      <c r="AK859" s="153"/>
      <c r="AL859" s="153"/>
      <c r="AM859" s="153"/>
      <c r="AN859" s="153"/>
      <c r="AO859" s="153"/>
      <c r="AP859" s="153"/>
    </row>
    <row r="860" spans="4:42" ht="15.75" customHeight="1">
      <c r="D860" s="152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  <c r="AC860" s="153"/>
      <c r="AD860" s="153"/>
      <c r="AE860" s="153"/>
      <c r="AF860" s="153"/>
      <c r="AG860" s="153"/>
      <c r="AH860" s="153"/>
      <c r="AI860" s="153"/>
      <c r="AJ860" s="153"/>
      <c r="AK860" s="153"/>
      <c r="AL860" s="153"/>
      <c r="AM860" s="153"/>
      <c r="AN860" s="153"/>
      <c r="AO860" s="153"/>
      <c r="AP860" s="153"/>
    </row>
    <row r="861" spans="4:42" ht="15.75" customHeight="1">
      <c r="D861" s="152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  <c r="AC861" s="153"/>
      <c r="AD861" s="153"/>
      <c r="AE861" s="153"/>
      <c r="AF861" s="153"/>
      <c r="AG861" s="153"/>
      <c r="AH861" s="153"/>
      <c r="AI861" s="153"/>
      <c r="AJ861" s="153"/>
      <c r="AK861" s="153"/>
      <c r="AL861" s="153"/>
      <c r="AM861" s="153"/>
      <c r="AN861" s="153"/>
      <c r="AO861" s="153"/>
      <c r="AP861" s="153"/>
    </row>
    <row r="862" spans="4:42" ht="15.75" customHeight="1">
      <c r="D862" s="152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  <c r="AC862" s="153"/>
      <c r="AD862" s="153"/>
      <c r="AE862" s="153"/>
      <c r="AF862" s="153"/>
      <c r="AG862" s="153"/>
      <c r="AH862" s="153"/>
      <c r="AI862" s="153"/>
      <c r="AJ862" s="153"/>
      <c r="AK862" s="153"/>
      <c r="AL862" s="153"/>
      <c r="AM862" s="153"/>
      <c r="AN862" s="153"/>
      <c r="AO862" s="153"/>
      <c r="AP862" s="153"/>
    </row>
    <row r="863" spans="4:42" ht="15.75" customHeight="1">
      <c r="D863" s="152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  <c r="AC863" s="153"/>
      <c r="AD863" s="153"/>
      <c r="AE863" s="153"/>
      <c r="AF863" s="153"/>
      <c r="AG863" s="153"/>
      <c r="AH863" s="153"/>
      <c r="AI863" s="153"/>
      <c r="AJ863" s="153"/>
      <c r="AK863" s="153"/>
      <c r="AL863" s="153"/>
      <c r="AM863" s="153"/>
      <c r="AN863" s="153"/>
      <c r="AO863" s="153"/>
      <c r="AP863" s="153"/>
    </row>
    <row r="864" spans="4:42" ht="15.75" customHeight="1">
      <c r="D864" s="152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  <c r="AC864" s="153"/>
      <c r="AD864" s="153"/>
      <c r="AE864" s="153"/>
      <c r="AF864" s="153"/>
      <c r="AG864" s="153"/>
      <c r="AH864" s="153"/>
      <c r="AI864" s="153"/>
      <c r="AJ864" s="153"/>
      <c r="AK864" s="153"/>
      <c r="AL864" s="153"/>
      <c r="AM864" s="153"/>
      <c r="AN864" s="153"/>
      <c r="AO864" s="153"/>
      <c r="AP864" s="153"/>
    </row>
    <row r="865" spans="4:42" ht="15.75" customHeight="1">
      <c r="D865" s="152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  <c r="AC865" s="153"/>
      <c r="AD865" s="153"/>
      <c r="AE865" s="153"/>
      <c r="AF865" s="153"/>
      <c r="AG865" s="153"/>
      <c r="AH865" s="153"/>
      <c r="AI865" s="153"/>
      <c r="AJ865" s="153"/>
      <c r="AK865" s="153"/>
      <c r="AL865" s="153"/>
      <c r="AM865" s="153"/>
      <c r="AN865" s="153"/>
      <c r="AO865" s="153"/>
      <c r="AP865" s="153"/>
    </row>
    <row r="866" spans="4:42" ht="15.75" customHeight="1">
      <c r="D866" s="152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  <c r="AC866" s="153"/>
      <c r="AD866" s="153"/>
      <c r="AE866" s="153"/>
      <c r="AF866" s="153"/>
      <c r="AG866" s="153"/>
      <c r="AH866" s="153"/>
      <c r="AI866" s="153"/>
      <c r="AJ866" s="153"/>
      <c r="AK866" s="153"/>
      <c r="AL866" s="153"/>
      <c r="AM866" s="153"/>
      <c r="AN866" s="153"/>
      <c r="AO866" s="153"/>
      <c r="AP866" s="153"/>
    </row>
    <row r="867" spans="4:42" ht="15.75" customHeight="1">
      <c r="D867" s="152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  <c r="AC867" s="153"/>
      <c r="AD867" s="153"/>
      <c r="AE867" s="153"/>
      <c r="AF867" s="153"/>
      <c r="AG867" s="153"/>
      <c r="AH867" s="153"/>
      <c r="AI867" s="153"/>
      <c r="AJ867" s="153"/>
      <c r="AK867" s="153"/>
      <c r="AL867" s="153"/>
      <c r="AM867" s="153"/>
      <c r="AN867" s="153"/>
      <c r="AO867" s="153"/>
      <c r="AP867" s="153"/>
    </row>
    <row r="868" spans="4:42" ht="15.75" customHeight="1">
      <c r="D868" s="152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  <c r="AC868" s="153"/>
      <c r="AD868" s="153"/>
      <c r="AE868" s="153"/>
      <c r="AF868" s="153"/>
      <c r="AG868" s="153"/>
      <c r="AH868" s="153"/>
      <c r="AI868" s="153"/>
      <c r="AJ868" s="153"/>
      <c r="AK868" s="153"/>
      <c r="AL868" s="153"/>
      <c r="AM868" s="153"/>
      <c r="AN868" s="153"/>
      <c r="AO868" s="153"/>
      <c r="AP868" s="153"/>
    </row>
    <row r="869" spans="4:42" ht="15.75" customHeight="1">
      <c r="D869" s="152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  <c r="AC869" s="153"/>
      <c r="AD869" s="153"/>
      <c r="AE869" s="153"/>
      <c r="AF869" s="153"/>
      <c r="AG869" s="153"/>
      <c r="AH869" s="153"/>
      <c r="AI869" s="153"/>
      <c r="AJ869" s="153"/>
      <c r="AK869" s="153"/>
      <c r="AL869" s="153"/>
      <c r="AM869" s="153"/>
      <c r="AN869" s="153"/>
      <c r="AO869" s="153"/>
      <c r="AP869" s="153"/>
    </row>
    <row r="870" spans="4:42" ht="15.75" customHeight="1">
      <c r="D870" s="152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  <c r="AC870" s="153"/>
      <c r="AD870" s="153"/>
      <c r="AE870" s="153"/>
      <c r="AF870" s="153"/>
      <c r="AG870" s="153"/>
      <c r="AH870" s="153"/>
      <c r="AI870" s="153"/>
      <c r="AJ870" s="153"/>
      <c r="AK870" s="153"/>
      <c r="AL870" s="153"/>
      <c r="AM870" s="153"/>
      <c r="AN870" s="153"/>
      <c r="AO870" s="153"/>
      <c r="AP870" s="153"/>
    </row>
    <row r="871" spans="4:42" ht="15.75" customHeight="1">
      <c r="D871" s="152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  <c r="AC871" s="153"/>
      <c r="AD871" s="153"/>
      <c r="AE871" s="153"/>
      <c r="AF871" s="153"/>
      <c r="AG871" s="153"/>
      <c r="AH871" s="153"/>
      <c r="AI871" s="153"/>
      <c r="AJ871" s="153"/>
      <c r="AK871" s="153"/>
      <c r="AL871" s="153"/>
      <c r="AM871" s="153"/>
      <c r="AN871" s="153"/>
      <c r="AO871" s="153"/>
      <c r="AP871" s="153"/>
    </row>
    <row r="872" spans="4:42" ht="15.75" customHeight="1">
      <c r="D872" s="152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  <c r="AC872" s="153"/>
      <c r="AD872" s="153"/>
      <c r="AE872" s="153"/>
      <c r="AF872" s="153"/>
      <c r="AG872" s="153"/>
      <c r="AH872" s="153"/>
      <c r="AI872" s="153"/>
      <c r="AJ872" s="153"/>
      <c r="AK872" s="153"/>
      <c r="AL872" s="153"/>
      <c r="AM872" s="153"/>
      <c r="AN872" s="153"/>
      <c r="AO872" s="153"/>
      <c r="AP872" s="153"/>
    </row>
    <row r="873" spans="4:42" ht="15.75" customHeight="1">
      <c r="D873" s="152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  <c r="AC873" s="153"/>
      <c r="AD873" s="153"/>
      <c r="AE873" s="153"/>
      <c r="AF873" s="153"/>
      <c r="AG873" s="153"/>
      <c r="AH873" s="153"/>
      <c r="AI873" s="153"/>
      <c r="AJ873" s="153"/>
      <c r="AK873" s="153"/>
      <c r="AL873" s="153"/>
      <c r="AM873" s="153"/>
      <c r="AN873" s="153"/>
      <c r="AO873" s="153"/>
      <c r="AP873" s="153"/>
    </row>
    <row r="874" spans="4:42" ht="15.75" customHeight="1">
      <c r="D874" s="152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  <c r="AC874" s="153"/>
      <c r="AD874" s="153"/>
      <c r="AE874" s="153"/>
      <c r="AF874" s="153"/>
      <c r="AG874" s="153"/>
      <c r="AH874" s="153"/>
      <c r="AI874" s="153"/>
      <c r="AJ874" s="153"/>
      <c r="AK874" s="153"/>
      <c r="AL874" s="153"/>
      <c r="AM874" s="153"/>
      <c r="AN874" s="153"/>
      <c r="AO874" s="153"/>
      <c r="AP874" s="153"/>
    </row>
    <row r="875" spans="4:42" ht="15.75" customHeight="1">
      <c r="D875" s="152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  <c r="AD875" s="153"/>
      <c r="AE875" s="153"/>
      <c r="AF875" s="153"/>
      <c r="AG875" s="153"/>
      <c r="AH875" s="153"/>
      <c r="AI875" s="153"/>
      <c r="AJ875" s="153"/>
      <c r="AK875" s="153"/>
      <c r="AL875" s="153"/>
      <c r="AM875" s="153"/>
      <c r="AN875" s="153"/>
      <c r="AO875" s="153"/>
      <c r="AP875" s="153"/>
    </row>
    <row r="876" spans="4:42" ht="15.75" customHeight="1">
      <c r="D876" s="152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  <c r="AC876" s="153"/>
      <c r="AD876" s="153"/>
      <c r="AE876" s="153"/>
      <c r="AF876" s="153"/>
      <c r="AG876" s="153"/>
      <c r="AH876" s="153"/>
      <c r="AI876" s="153"/>
      <c r="AJ876" s="153"/>
      <c r="AK876" s="153"/>
      <c r="AL876" s="153"/>
      <c r="AM876" s="153"/>
      <c r="AN876" s="153"/>
      <c r="AO876" s="153"/>
      <c r="AP876" s="153"/>
    </row>
    <row r="877" spans="4:42" ht="15.75" customHeight="1">
      <c r="D877" s="152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  <c r="AC877" s="153"/>
      <c r="AD877" s="153"/>
      <c r="AE877" s="153"/>
      <c r="AF877" s="153"/>
      <c r="AG877" s="153"/>
      <c r="AH877" s="153"/>
      <c r="AI877" s="153"/>
      <c r="AJ877" s="153"/>
      <c r="AK877" s="153"/>
      <c r="AL877" s="153"/>
      <c r="AM877" s="153"/>
      <c r="AN877" s="153"/>
      <c r="AO877" s="153"/>
      <c r="AP877" s="153"/>
    </row>
    <row r="878" spans="4:42" ht="15.75" customHeight="1">
      <c r="D878" s="152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  <c r="AC878" s="153"/>
      <c r="AD878" s="153"/>
      <c r="AE878" s="153"/>
      <c r="AF878" s="153"/>
      <c r="AG878" s="153"/>
      <c r="AH878" s="153"/>
      <c r="AI878" s="153"/>
      <c r="AJ878" s="153"/>
      <c r="AK878" s="153"/>
      <c r="AL878" s="153"/>
      <c r="AM878" s="153"/>
      <c r="AN878" s="153"/>
      <c r="AO878" s="153"/>
      <c r="AP878" s="153"/>
    </row>
    <row r="879" spans="4:42" ht="15.75" customHeight="1">
      <c r="D879" s="152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  <c r="AC879" s="153"/>
      <c r="AD879" s="153"/>
      <c r="AE879" s="153"/>
      <c r="AF879" s="153"/>
      <c r="AG879" s="153"/>
      <c r="AH879" s="153"/>
      <c r="AI879" s="153"/>
      <c r="AJ879" s="153"/>
      <c r="AK879" s="153"/>
      <c r="AL879" s="153"/>
      <c r="AM879" s="153"/>
      <c r="AN879" s="153"/>
      <c r="AO879" s="153"/>
      <c r="AP879" s="153"/>
    </row>
    <row r="880" spans="4:42" ht="15.75" customHeight="1">
      <c r="D880" s="152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  <c r="AC880" s="153"/>
      <c r="AD880" s="153"/>
      <c r="AE880" s="153"/>
      <c r="AF880" s="153"/>
      <c r="AG880" s="153"/>
      <c r="AH880" s="153"/>
      <c r="AI880" s="153"/>
      <c r="AJ880" s="153"/>
      <c r="AK880" s="153"/>
      <c r="AL880" s="153"/>
      <c r="AM880" s="153"/>
      <c r="AN880" s="153"/>
      <c r="AO880" s="153"/>
      <c r="AP880" s="153"/>
    </row>
    <row r="881" spans="4:42" ht="15.75" customHeight="1">
      <c r="D881" s="152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  <c r="AC881" s="153"/>
      <c r="AD881" s="153"/>
      <c r="AE881" s="153"/>
      <c r="AF881" s="153"/>
      <c r="AG881" s="153"/>
      <c r="AH881" s="153"/>
      <c r="AI881" s="153"/>
      <c r="AJ881" s="153"/>
      <c r="AK881" s="153"/>
      <c r="AL881" s="153"/>
      <c r="AM881" s="153"/>
      <c r="AN881" s="153"/>
      <c r="AO881" s="153"/>
      <c r="AP881" s="153"/>
    </row>
    <row r="882" spans="4:42" ht="15.75" customHeight="1">
      <c r="D882" s="152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  <c r="AC882" s="153"/>
      <c r="AD882" s="153"/>
      <c r="AE882" s="153"/>
      <c r="AF882" s="153"/>
      <c r="AG882" s="153"/>
      <c r="AH882" s="153"/>
      <c r="AI882" s="153"/>
      <c r="AJ882" s="153"/>
      <c r="AK882" s="153"/>
      <c r="AL882" s="153"/>
      <c r="AM882" s="153"/>
      <c r="AN882" s="153"/>
      <c r="AO882" s="153"/>
      <c r="AP882" s="153"/>
    </row>
    <row r="883" spans="4:42" ht="15.75" customHeight="1">
      <c r="D883" s="152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  <c r="AC883" s="153"/>
      <c r="AD883" s="153"/>
      <c r="AE883" s="153"/>
      <c r="AF883" s="153"/>
      <c r="AG883" s="153"/>
      <c r="AH883" s="153"/>
      <c r="AI883" s="153"/>
      <c r="AJ883" s="153"/>
      <c r="AK883" s="153"/>
      <c r="AL883" s="153"/>
      <c r="AM883" s="153"/>
      <c r="AN883" s="153"/>
      <c r="AO883" s="153"/>
      <c r="AP883" s="153"/>
    </row>
    <row r="884" spans="4:42" ht="15.75" customHeight="1">
      <c r="D884" s="152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  <c r="AC884" s="153"/>
      <c r="AD884" s="153"/>
      <c r="AE884" s="153"/>
      <c r="AF884" s="153"/>
      <c r="AG884" s="153"/>
      <c r="AH884" s="153"/>
      <c r="AI884" s="153"/>
      <c r="AJ884" s="153"/>
      <c r="AK884" s="153"/>
      <c r="AL884" s="153"/>
      <c r="AM884" s="153"/>
      <c r="AN884" s="153"/>
      <c r="AO884" s="153"/>
      <c r="AP884" s="153"/>
    </row>
    <row r="885" spans="4:42" ht="15.75" customHeight="1">
      <c r="D885" s="152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  <c r="AC885" s="153"/>
      <c r="AD885" s="153"/>
      <c r="AE885" s="153"/>
      <c r="AF885" s="153"/>
      <c r="AG885" s="153"/>
      <c r="AH885" s="153"/>
      <c r="AI885" s="153"/>
      <c r="AJ885" s="153"/>
      <c r="AK885" s="153"/>
      <c r="AL885" s="153"/>
      <c r="AM885" s="153"/>
      <c r="AN885" s="153"/>
      <c r="AO885" s="153"/>
      <c r="AP885" s="153"/>
    </row>
    <row r="886" spans="4:42" ht="15.75" customHeight="1">
      <c r="D886" s="152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  <c r="AC886" s="153"/>
      <c r="AD886" s="153"/>
      <c r="AE886" s="153"/>
      <c r="AF886" s="153"/>
      <c r="AG886" s="153"/>
      <c r="AH886" s="153"/>
      <c r="AI886" s="153"/>
      <c r="AJ886" s="153"/>
      <c r="AK886" s="153"/>
      <c r="AL886" s="153"/>
      <c r="AM886" s="153"/>
      <c r="AN886" s="153"/>
      <c r="AO886" s="153"/>
      <c r="AP886" s="153"/>
    </row>
    <row r="887" spans="4:42" ht="15.75" customHeight="1">
      <c r="D887" s="152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  <c r="AC887" s="153"/>
      <c r="AD887" s="153"/>
      <c r="AE887" s="153"/>
      <c r="AF887" s="153"/>
      <c r="AG887" s="153"/>
      <c r="AH887" s="153"/>
      <c r="AI887" s="153"/>
      <c r="AJ887" s="153"/>
      <c r="AK887" s="153"/>
      <c r="AL887" s="153"/>
      <c r="AM887" s="153"/>
      <c r="AN887" s="153"/>
      <c r="AO887" s="153"/>
      <c r="AP887" s="153"/>
    </row>
    <row r="888" spans="4:42" ht="15.75" customHeight="1">
      <c r="D888" s="152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  <c r="AC888" s="153"/>
      <c r="AD888" s="153"/>
      <c r="AE888" s="153"/>
      <c r="AF888" s="153"/>
      <c r="AG888" s="153"/>
      <c r="AH888" s="153"/>
      <c r="AI888" s="153"/>
      <c r="AJ888" s="153"/>
      <c r="AK888" s="153"/>
      <c r="AL888" s="153"/>
      <c r="AM888" s="153"/>
      <c r="AN888" s="153"/>
      <c r="AO888" s="153"/>
      <c r="AP888" s="153"/>
    </row>
    <row r="889" spans="4:42" ht="15.75" customHeight="1">
      <c r="D889" s="152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  <c r="AC889" s="153"/>
      <c r="AD889" s="153"/>
      <c r="AE889" s="153"/>
      <c r="AF889" s="153"/>
      <c r="AG889" s="153"/>
      <c r="AH889" s="153"/>
      <c r="AI889" s="153"/>
      <c r="AJ889" s="153"/>
      <c r="AK889" s="153"/>
      <c r="AL889" s="153"/>
      <c r="AM889" s="153"/>
      <c r="AN889" s="153"/>
      <c r="AO889" s="153"/>
      <c r="AP889" s="153"/>
    </row>
    <row r="890" spans="4:42" ht="15.75" customHeight="1">
      <c r="D890" s="152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  <c r="AC890" s="153"/>
      <c r="AD890" s="153"/>
      <c r="AE890" s="153"/>
      <c r="AF890" s="153"/>
      <c r="AG890" s="153"/>
      <c r="AH890" s="153"/>
      <c r="AI890" s="153"/>
      <c r="AJ890" s="153"/>
      <c r="AK890" s="153"/>
      <c r="AL890" s="153"/>
      <c r="AM890" s="153"/>
      <c r="AN890" s="153"/>
      <c r="AO890" s="153"/>
      <c r="AP890" s="153"/>
    </row>
    <row r="891" spans="4:42" ht="15.75" customHeight="1">
      <c r="D891" s="152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  <c r="AC891" s="153"/>
      <c r="AD891" s="153"/>
      <c r="AE891" s="153"/>
      <c r="AF891" s="153"/>
      <c r="AG891" s="153"/>
      <c r="AH891" s="153"/>
      <c r="AI891" s="153"/>
      <c r="AJ891" s="153"/>
      <c r="AK891" s="153"/>
      <c r="AL891" s="153"/>
      <c r="AM891" s="153"/>
      <c r="AN891" s="153"/>
      <c r="AO891" s="153"/>
      <c r="AP891" s="153"/>
    </row>
    <row r="892" spans="4:42" ht="15.75" customHeight="1">
      <c r="D892" s="152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  <c r="AC892" s="153"/>
      <c r="AD892" s="153"/>
      <c r="AE892" s="153"/>
      <c r="AF892" s="153"/>
      <c r="AG892" s="153"/>
      <c r="AH892" s="153"/>
      <c r="AI892" s="153"/>
      <c r="AJ892" s="153"/>
      <c r="AK892" s="153"/>
      <c r="AL892" s="153"/>
      <c r="AM892" s="153"/>
      <c r="AN892" s="153"/>
      <c r="AO892" s="153"/>
      <c r="AP892" s="153"/>
    </row>
    <row r="893" spans="4:42" ht="15.75" customHeight="1">
      <c r="D893" s="152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  <c r="AC893" s="153"/>
      <c r="AD893" s="153"/>
      <c r="AE893" s="153"/>
      <c r="AF893" s="153"/>
      <c r="AG893" s="153"/>
      <c r="AH893" s="153"/>
      <c r="AI893" s="153"/>
      <c r="AJ893" s="153"/>
      <c r="AK893" s="153"/>
      <c r="AL893" s="153"/>
      <c r="AM893" s="153"/>
      <c r="AN893" s="153"/>
      <c r="AO893" s="153"/>
      <c r="AP893" s="153"/>
    </row>
    <row r="894" spans="4:42" ht="15.75" customHeight="1">
      <c r="D894" s="152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  <c r="AC894" s="153"/>
      <c r="AD894" s="153"/>
      <c r="AE894" s="153"/>
      <c r="AF894" s="153"/>
      <c r="AG894" s="153"/>
      <c r="AH894" s="153"/>
      <c r="AI894" s="153"/>
      <c r="AJ894" s="153"/>
      <c r="AK894" s="153"/>
      <c r="AL894" s="153"/>
      <c r="AM894" s="153"/>
      <c r="AN894" s="153"/>
      <c r="AO894" s="153"/>
      <c r="AP894" s="153"/>
    </row>
    <row r="895" spans="4:42" ht="15.75" customHeight="1">
      <c r="D895" s="152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  <c r="AC895" s="153"/>
      <c r="AD895" s="153"/>
      <c r="AE895" s="153"/>
      <c r="AF895" s="153"/>
      <c r="AG895" s="153"/>
      <c r="AH895" s="153"/>
      <c r="AI895" s="153"/>
      <c r="AJ895" s="153"/>
      <c r="AK895" s="153"/>
      <c r="AL895" s="153"/>
      <c r="AM895" s="153"/>
      <c r="AN895" s="153"/>
      <c r="AO895" s="153"/>
      <c r="AP895" s="153"/>
    </row>
    <row r="896" spans="4:42" ht="15.75" customHeight="1">
      <c r="D896" s="152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  <c r="AC896" s="153"/>
      <c r="AD896" s="153"/>
      <c r="AE896" s="153"/>
      <c r="AF896" s="153"/>
      <c r="AG896" s="153"/>
      <c r="AH896" s="153"/>
      <c r="AI896" s="153"/>
      <c r="AJ896" s="153"/>
      <c r="AK896" s="153"/>
      <c r="AL896" s="153"/>
      <c r="AM896" s="153"/>
      <c r="AN896" s="153"/>
      <c r="AO896" s="153"/>
      <c r="AP896" s="153"/>
    </row>
    <row r="897" spans="4:42" ht="15.75" customHeight="1">
      <c r="D897" s="152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  <c r="AC897" s="153"/>
      <c r="AD897" s="153"/>
      <c r="AE897" s="153"/>
      <c r="AF897" s="153"/>
      <c r="AG897" s="153"/>
      <c r="AH897" s="153"/>
      <c r="AI897" s="153"/>
      <c r="AJ897" s="153"/>
      <c r="AK897" s="153"/>
      <c r="AL897" s="153"/>
      <c r="AM897" s="153"/>
      <c r="AN897" s="153"/>
      <c r="AO897" s="153"/>
      <c r="AP897" s="153"/>
    </row>
    <row r="898" spans="4:42" ht="15.75" customHeight="1">
      <c r="D898" s="152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  <c r="AC898" s="153"/>
      <c r="AD898" s="153"/>
      <c r="AE898" s="153"/>
      <c r="AF898" s="153"/>
      <c r="AG898" s="153"/>
      <c r="AH898" s="153"/>
      <c r="AI898" s="153"/>
      <c r="AJ898" s="153"/>
      <c r="AK898" s="153"/>
      <c r="AL898" s="153"/>
      <c r="AM898" s="153"/>
      <c r="AN898" s="153"/>
      <c r="AO898" s="153"/>
      <c r="AP898" s="153"/>
    </row>
    <row r="899" spans="4:42" ht="15.75" customHeight="1">
      <c r="D899" s="152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  <c r="AC899" s="153"/>
      <c r="AD899" s="153"/>
      <c r="AE899" s="153"/>
      <c r="AF899" s="153"/>
      <c r="AG899" s="153"/>
      <c r="AH899" s="153"/>
      <c r="AI899" s="153"/>
      <c r="AJ899" s="153"/>
      <c r="AK899" s="153"/>
      <c r="AL899" s="153"/>
      <c r="AM899" s="153"/>
      <c r="AN899" s="153"/>
      <c r="AO899" s="153"/>
      <c r="AP899" s="153"/>
    </row>
    <row r="900" spans="4:42" ht="15.75" customHeight="1">
      <c r="D900" s="152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  <c r="AC900" s="153"/>
      <c r="AD900" s="153"/>
      <c r="AE900" s="153"/>
      <c r="AF900" s="153"/>
      <c r="AG900" s="153"/>
      <c r="AH900" s="153"/>
      <c r="AI900" s="153"/>
      <c r="AJ900" s="153"/>
      <c r="AK900" s="153"/>
      <c r="AL900" s="153"/>
      <c r="AM900" s="153"/>
      <c r="AN900" s="153"/>
      <c r="AO900" s="153"/>
      <c r="AP900" s="153"/>
    </row>
    <row r="901" spans="4:42" ht="15.75" customHeight="1">
      <c r="D901" s="152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  <c r="AC901" s="153"/>
      <c r="AD901" s="153"/>
      <c r="AE901" s="153"/>
      <c r="AF901" s="153"/>
      <c r="AG901" s="153"/>
      <c r="AH901" s="153"/>
      <c r="AI901" s="153"/>
      <c r="AJ901" s="153"/>
      <c r="AK901" s="153"/>
      <c r="AL901" s="153"/>
      <c r="AM901" s="153"/>
      <c r="AN901" s="153"/>
      <c r="AO901" s="153"/>
      <c r="AP901" s="153"/>
    </row>
    <row r="902" spans="4:42" ht="15.75" customHeight="1">
      <c r="D902" s="152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  <c r="AC902" s="153"/>
      <c r="AD902" s="153"/>
      <c r="AE902" s="153"/>
      <c r="AF902" s="153"/>
      <c r="AG902" s="153"/>
      <c r="AH902" s="153"/>
      <c r="AI902" s="153"/>
      <c r="AJ902" s="153"/>
      <c r="AK902" s="153"/>
      <c r="AL902" s="153"/>
      <c r="AM902" s="153"/>
      <c r="AN902" s="153"/>
      <c r="AO902" s="153"/>
      <c r="AP902" s="153"/>
    </row>
    <row r="903" spans="4:42" ht="15.75" customHeight="1">
      <c r="D903" s="152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  <c r="AC903" s="153"/>
      <c r="AD903" s="153"/>
      <c r="AE903" s="153"/>
      <c r="AF903" s="153"/>
      <c r="AG903" s="153"/>
      <c r="AH903" s="153"/>
      <c r="AI903" s="153"/>
      <c r="AJ903" s="153"/>
      <c r="AK903" s="153"/>
      <c r="AL903" s="153"/>
      <c r="AM903" s="153"/>
      <c r="AN903" s="153"/>
      <c r="AO903" s="153"/>
      <c r="AP903" s="153"/>
    </row>
    <row r="904" spans="4:42" ht="15.75" customHeight="1">
      <c r="D904" s="152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  <c r="AC904" s="153"/>
      <c r="AD904" s="153"/>
      <c r="AE904" s="153"/>
      <c r="AF904" s="153"/>
      <c r="AG904" s="153"/>
      <c r="AH904" s="153"/>
      <c r="AI904" s="153"/>
      <c r="AJ904" s="153"/>
      <c r="AK904" s="153"/>
      <c r="AL904" s="153"/>
      <c r="AM904" s="153"/>
      <c r="AN904" s="153"/>
      <c r="AO904" s="153"/>
      <c r="AP904" s="153"/>
    </row>
    <row r="905" spans="4:42" ht="15.75" customHeight="1">
      <c r="D905" s="152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  <c r="AC905" s="153"/>
      <c r="AD905" s="153"/>
      <c r="AE905" s="153"/>
      <c r="AF905" s="153"/>
      <c r="AG905" s="153"/>
      <c r="AH905" s="153"/>
      <c r="AI905" s="153"/>
      <c r="AJ905" s="153"/>
      <c r="AK905" s="153"/>
      <c r="AL905" s="153"/>
      <c r="AM905" s="153"/>
      <c r="AN905" s="153"/>
      <c r="AO905" s="153"/>
      <c r="AP905" s="153"/>
    </row>
    <row r="906" spans="4:42" ht="15.75" customHeight="1">
      <c r="D906" s="152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  <c r="AC906" s="153"/>
      <c r="AD906" s="153"/>
      <c r="AE906" s="153"/>
      <c r="AF906" s="153"/>
      <c r="AG906" s="153"/>
      <c r="AH906" s="153"/>
      <c r="AI906" s="153"/>
      <c r="AJ906" s="153"/>
      <c r="AK906" s="153"/>
      <c r="AL906" s="153"/>
      <c r="AM906" s="153"/>
      <c r="AN906" s="153"/>
      <c r="AO906" s="153"/>
      <c r="AP906" s="153"/>
    </row>
    <row r="907" spans="4:42" ht="15.75" customHeight="1">
      <c r="D907" s="152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  <c r="AC907" s="153"/>
      <c r="AD907" s="153"/>
      <c r="AE907" s="153"/>
      <c r="AF907" s="153"/>
      <c r="AG907" s="153"/>
      <c r="AH907" s="153"/>
      <c r="AI907" s="153"/>
      <c r="AJ907" s="153"/>
      <c r="AK907" s="153"/>
      <c r="AL907" s="153"/>
      <c r="AM907" s="153"/>
      <c r="AN907" s="153"/>
      <c r="AO907" s="153"/>
      <c r="AP907" s="153"/>
    </row>
    <row r="908" spans="4:42" ht="15.75" customHeight="1">
      <c r="D908" s="152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  <c r="AC908" s="153"/>
      <c r="AD908" s="153"/>
      <c r="AE908" s="153"/>
      <c r="AF908" s="153"/>
      <c r="AG908" s="153"/>
      <c r="AH908" s="153"/>
      <c r="AI908" s="153"/>
      <c r="AJ908" s="153"/>
      <c r="AK908" s="153"/>
      <c r="AL908" s="153"/>
      <c r="AM908" s="153"/>
      <c r="AN908" s="153"/>
      <c r="AO908" s="153"/>
      <c r="AP908" s="153"/>
    </row>
    <row r="909" spans="4:42" ht="15.75" customHeight="1">
      <c r="D909" s="152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  <c r="AC909" s="153"/>
      <c r="AD909" s="153"/>
      <c r="AE909" s="153"/>
      <c r="AF909" s="153"/>
      <c r="AG909" s="153"/>
      <c r="AH909" s="153"/>
      <c r="AI909" s="153"/>
      <c r="AJ909" s="153"/>
      <c r="AK909" s="153"/>
      <c r="AL909" s="153"/>
      <c r="AM909" s="153"/>
      <c r="AN909" s="153"/>
      <c r="AO909" s="153"/>
      <c r="AP909" s="153"/>
    </row>
    <row r="910" spans="4:42" ht="15.75" customHeight="1">
      <c r="D910" s="152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  <c r="AC910" s="153"/>
      <c r="AD910" s="153"/>
      <c r="AE910" s="153"/>
      <c r="AF910" s="153"/>
      <c r="AG910" s="153"/>
      <c r="AH910" s="153"/>
      <c r="AI910" s="153"/>
      <c r="AJ910" s="153"/>
      <c r="AK910" s="153"/>
      <c r="AL910" s="153"/>
      <c r="AM910" s="153"/>
      <c r="AN910" s="153"/>
      <c r="AO910" s="153"/>
      <c r="AP910" s="153"/>
    </row>
    <row r="911" spans="4:42" ht="15.75" customHeight="1">
      <c r="D911" s="152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  <c r="AC911" s="153"/>
      <c r="AD911" s="153"/>
      <c r="AE911" s="153"/>
      <c r="AF911" s="153"/>
      <c r="AG911" s="153"/>
      <c r="AH911" s="153"/>
      <c r="AI911" s="153"/>
      <c r="AJ911" s="153"/>
      <c r="AK911" s="153"/>
      <c r="AL911" s="153"/>
      <c r="AM911" s="153"/>
      <c r="AN911" s="153"/>
      <c r="AO911" s="153"/>
      <c r="AP911" s="153"/>
    </row>
    <row r="912" spans="4:42" ht="15.75" customHeight="1">
      <c r="D912" s="152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  <c r="AC912" s="153"/>
      <c r="AD912" s="153"/>
      <c r="AE912" s="153"/>
      <c r="AF912" s="153"/>
      <c r="AG912" s="153"/>
      <c r="AH912" s="153"/>
      <c r="AI912" s="153"/>
      <c r="AJ912" s="153"/>
      <c r="AK912" s="153"/>
      <c r="AL912" s="153"/>
      <c r="AM912" s="153"/>
      <c r="AN912" s="153"/>
      <c r="AO912" s="153"/>
      <c r="AP912" s="153"/>
    </row>
    <row r="913" spans="4:42" ht="15.75" customHeight="1">
      <c r="D913" s="152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  <c r="AC913" s="153"/>
      <c r="AD913" s="153"/>
      <c r="AE913" s="153"/>
      <c r="AF913" s="153"/>
      <c r="AG913" s="153"/>
      <c r="AH913" s="153"/>
      <c r="AI913" s="153"/>
      <c r="AJ913" s="153"/>
      <c r="AK913" s="153"/>
      <c r="AL913" s="153"/>
      <c r="AM913" s="153"/>
      <c r="AN913" s="153"/>
      <c r="AO913" s="153"/>
      <c r="AP913" s="153"/>
    </row>
    <row r="914" spans="4:42" ht="15.75" customHeight="1">
      <c r="D914" s="152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  <c r="AC914" s="153"/>
      <c r="AD914" s="153"/>
      <c r="AE914" s="153"/>
      <c r="AF914" s="153"/>
      <c r="AG914" s="153"/>
      <c r="AH914" s="153"/>
      <c r="AI914" s="153"/>
      <c r="AJ914" s="153"/>
      <c r="AK914" s="153"/>
      <c r="AL914" s="153"/>
      <c r="AM914" s="153"/>
      <c r="AN914" s="153"/>
      <c r="AO914" s="153"/>
      <c r="AP914" s="153"/>
    </row>
    <row r="915" spans="4:42" ht="15.75" customHeight="1">
      <c r="D915" s="152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  <c r="AA915" s="153"/>
      <c r="AB915" s="153"/>
      <c r="AC915" s="153"/>
      <c r="AD915" s="153"/>
      <c r="AE915" s="153"/>
      <c r="AF915" s="153"/>
      <c r="AG915" s="153"/>
      <c r="AH915" s="153"/>
      <c r="AI915" s="153"/>
      <c r="AJ915" s="153"/>
      <c r="AK915" s="153"/>
      <c r="AL915" s="153"/>
      <c r="AM915" s="153"/>
      <c r="AN915" s="153"/>
      <c r="AO915" s="153"/>
      <c r="AP915" s="153"/>
    </row>
    <row r="916" spans="4:42" ht="15.75" customHeight="1">
      <c r="D916" s="152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  <c r="AA916" s="153"/>
      <c r="AB916" s="153"/>
      <c r="AC916" s="153"/>
      <c r="AD916" s="153"/>
      <c r="AE916" s="153"/>
      <c r="AF916" s="153"/>
      <c r="AG916" s="153"/>
      <c r="AH916" s="153"/>
      <c r="AI916" s="153"/>
      <c r="AJ916" s="153"/>
      <c r="AK916" s="153"/>
      <c r="AL916" s="153"/>
      <c r="AM916" s="153"/>
      <c r="AN916" s="153"/>
      <c r="AO916" s="153"/>
      <c r="AP916" s="153"/>
    </row>
    <row r="917" spans="4:42" ht="15.75" customHeight="1">
      <c r="D917" s="152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  <c r="AB917" s="153"/>
      <c r="AC917" s="153"/>
      <c r="AD917" s="153"/>
      <c r="AE917" s="153"/>
      <c r="AF917" s="153"/>
      <c r="AG917" s="153"/>
      <c r="AH917" s="153"/>
      <c r="AI917" s="153"/>
      <c r="AJ917" s="153"/>
      <c r="AK917" s="153"/>
      <c r="AL917" s="153"/>
      <c r="AM917" s="153"/>
      <c r="AN917" s="153"/>
      <c r="AO917" s="153"/>
      <c r="AP917" s="153"/>
    </row>
    <row r="918" spans="4:42" ht="15.75" customHeight="1">
      <c r="D918" s="152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  <c r="AA918" s="153"/>
      <c r="AB918" s="153"/>
      <c r="AC918" s="153"/>
      <c r="AD918" s="153"/>
      <c r="AE918" s="153"/>
      <c r="AF918" s="153"/>
      <c r="AG918" s="153"/>
      <c r="AH918" s="153"/>
      <c r="AI918" s="153"/>
      <c r="AJ918" s="153"/>
      <c r="AK918" s="153"/>
      <c r="AL918" s="153"/>
      <c r="AM918" s="153"/>
      <c r="AN918" s="153"/>
      <c r="AO918" s="153"/>
      <c r="AP918" s="153"/>
    </row>
    <row r="919" spans="4:42" ht="15.75" customHeight="1">
      <c r="D919" s="152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  <c r="AA919" s="153"/>
      <c r="AB919" s="153"/>
      <c r="AC919" s="153"/>
      <c r="AD919" s="153"/>
      <c r="AE919" s="153"/>
      <c r="AF919" s="153"/>
      <c r="AG919" s="153"/>
      <c r="AH919" s="153"/>
      <c r="AI919" s="153"/>
      <c r="AJ919" s="153"/>
      <c r="AK919" s="153"/>
      <c r="AL919" s="153"/>
      <c r="AM919" s="153"/>
      <c r="AN919" s="153"/>
      <c r="AO919" s="153"/>
      <c r="AP919" s="153"/>
    </row>
    <row r="920" spans="4:42" ht="15.75" customHeight="1">
      <c r="D920" s="152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  <c r="AA920" s="153"/>
      <c r="AB920" s="153"/>
      <c r="AC920" s="153"/>
      <c r="AD920" s="153"/>
      <c r="AE920" s="153"/>
      <c r="AF920" s="153"/>
      <c r="AG920" s="153"/>
      <c r="AH920" s="153"/>
      <c r="AI920" s="153"/>
      <c r="AJ920" s="153"/>
      <c r="AK920" s="153"/>
      <c r="AL920" s="153"/>
      <c r="AM920" s="153"/>
      <c r="AN920" s="153"/>
      <c r="AO920" s="153"/>
      <c r="AP920" s="153"/>
    </row>
    <row r="921" spans="4:42" ht="15.75" customHeight="1">
      <c r="D921" s="152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  <c r="AA921" s="153"/>
      <c r="AB921" s="153"/>
      <c r="AC921" s="153"/>
      <c r="AD921" s="153"/>
      <c r="AE921" s="153"/>
      <c r="AF921" s="153"/>
      <c r="AG921" s="153"/>
      <c r="AH921" s="153"/>
      <c r="AI921" s="153"/>
      <c r="AJ921" s="153"/>
      <c r="AK921" s="153"/>
      <c r="AL921" s="153"/>
      <c r="AM921" s="153"/>
      <c r="AN921" s="153"/>
      <c r="AO921" s="153"/>
      <c r="AP921" s="153"/>
    </row>
    <row r="922" spans="4:42" ht="15.75" customHeight="1">
      <c r="D922" s="152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  <c r="AA922" s="153"/>
      <c r="AB922" s="153"/>
      <c r="AC922" s="153"/>
      <c r="AD922" s="153"/>
      <c r="AE922" s="153"/>
      <c r="AF922" s="153"/>
      <c r="AG922" s="153"/>
      <c r="AH922" s="153"/>
      <c r="AI922" s="153"/>
      <c r="AJ922" s="153"/>
      <c r="AK922" s="153"/>
      <c r="AL922" s="153"/>
      <c r="AM922" s="153"/>
      <c r="AN922" s="153"/>
      <c r="AO922" s="153"/>
      <c r="AP922" s="153"/>
    </row>
    <row r="923" spans="4:42" ht="15.75" customHeight="1">
      <c r="D923" s="152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  <c r="AA923" s="153"/>
      <c r="AB923" s="153"/>
      <c r="AC923" s="153"/>
      <c r="AD923" s="153"/>
      <c r="AE923" s="153"/>
      <c r="AF923" s="153"/>
      <c r="AG923" s="153"/>
      <c r="AH923" s="153"/>
      <c r="AI923" s="153"/>
      <c r="AJ923" s="153"/>
      <c r="AK923" s="153"/>
      <c r="AL923" s="153"/>
      <c r="AM923" s="153"/>
      <c r="AN923" s="153"/>
      <c r="AO923" s="153"/>
      <c r="AP923" s="153"/>
    </row>
    <row r="924" spans="4:42" ht="15.75" customHeight="1">
      <c r="D924" s="152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  <c r="AA924" s="153"/>
      <c r="AB924" s="153"/>
      <c r="AC924" s="153"/>
      <c r="AD924" s="153"/>
      <c r="AE924" s="153"/>
      <c r="AF924" s="153"/>
      <c r="AG924" s="153"/>
      <c r="AH924" s="153"/>
      <c r="AI924" s="153"/>
      <c r="AJ924" s="153"/>
      <c r="AK924" s="153"/>
      <c r="AL924" s="153"/>
      <c r="AM924" s="153"/>
      <c r="AN924" s="153"/>
      <c r="AO924" s="153"/>
      <c r="AP924" s="153"/>
    </row>
    <row r="925" spans="4:42" ht="15.75" customHeight="1">
      <c r="D925" s="152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  <c r="AA925" s="153"/>
      <c r="AB925" s="153"/>
      <c r="AC925" s="153"/>
      <c r="AD925" s="153"/>
      <c r="AE925" s="153"/>
      <c r="AF925" s="153"/>
      <c r="AG925" s="153"/>
      <c r="AH925" s="153"/>
      <c r="AI925" s="153"/>
      <c r="AJ925" s="153"/>
      <c r="AK925" s="153"/>
      <c r="AL925" s="153"/>
      <c r="AM925" s="153"/>
      <c r="AN925" s="153"/>
      <c r="AO925" s="153"/>
      <c r="AP925" s="153"/>
    </row>
    <row r="926" spans="4:42" ht="15.75" customHeight="1">
      <c r="D926" s="152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  <c r="AA926" s="153"/>
      <c r="AB926" s="153"/>
      <c r="AC926" s="153"/>
      <c r="AD926" s="153"/>
      <c r="AE926" s="153"/>
      <c r="AF926" s="153"/>
      <c r="AG926" s="153"/>
      <c r="AH926" s="153"/>
      <c r="AI926" s="153"/>
      <c r="AJ926" s="153"/>
      <c r="AK926" s="153"/>
      <c r="AL926" s="153"/>
      <c r="AM926" s="153"/>
      <c r="AN926" s="153"/>
      <c r="AO926" s="153"/>
      <c r="AP926" s="153"/>
    </row>
    <row r="927" spans="4:42" ht="15.75" customHeight="1">
      <c r="D927" s="152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  <c r="AA927" s="153"/>
      <c r="AB927" s="153"/>
      <c r="AC927" s="153"/>
      <c r="AD927" s="153"/>
      <c r="AE927" s="153"/>
      <c r="AF927" s="153"/>
      <c r="AG927" s="153"/>
      <c r="AH927" s="153"/>
      <c r="AI927" s="153"/>
      <c r="AJ927" s="153"/>
      <c r="AK927" s="153"/>
      <c r="AL927" s="153"/>
      <c r="AM927" s="153"/>
      <c r="AN927" s="153"/>
      <c r="AO927" s="153"/>
      <c r="AP927" s="153"/>
    </row>
    <row r="928" spans="4:42" ht="15.75" customHeight="1">
      <c r="D928" s="152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  <c r="AA928" s="153"/>
      <c r="AB928" s="153"/>
      <c r="AC928" s="153"/>
      <c r="AD928" s="153"/>
      <c r="AE928" s="153"/>
      <c r="AF928" s="153"/>
      <c r="AG928" s="153"/>
      <c r="AH928" s="153"/>
      <c r="AI928" s="153"/>
      <c r="AJ928" s="153"/>
      <c r="AK928" s="153"/>
      <c r="AL928" s="153"/>
      <c r="AM928" s="153"/>
      <c r="AN928" s="153"/>
      <c r="AO928" s="153"/>
      <c r="AP928" s="153"/>
    </row>
    <row r="929" spans="4:42" ht="15.75" customHeight="1">
      <c r="D929" s="152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  <c r="AA929" s="153"/>
      <c r="AB929" s="153"/>
      <c r="AC929" s="153"/>
      <c r="AD929" s="153"/>
      <c r="AE929" s="153"/>
      <c r="AF929" s="153"/>
      <c r="AG929" s="153"/>
      <c r="AH929" s="153"/>
      <c r="AI929" s="153"/>
      <c r="AJ929" s="153"/>
      <c r="AK929" s="153"/>
      <c r="AL929" s="153"/>
      <c r="AM929" s="153"/>
      <c r="AN929" s="153"/>
      <c r="AO929" s="153"/>
      <c r="AP929" s="153"/>
    </row>
    <row r="930" spans="4:42" ht="15.75" customHeight="1">
      <c r="D930" s="152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  <c r="AA930" s="153"/>
      <c r="AB930" s="153"/>
      <c r="AC930" s="153"/>
      <c r="AD930" s="153"/>
      <c r="AE930" s="153"/>
      <c r="AF930" s="153"/>
      <c r="AG930" s="153"/>
      <c r="AH930" s="153"/>
      <c r="AI930" s="153"/>
      <c r="AJ930" s="153"/>
      <c r="AK930" s="153"/>
      <c r="AL930" s="153"/>
      <c r="AM930" s="153"/>
      <c r="AN930" s="153"/>
      <c r="AO930" s="153"/>
      <c r="AP930" s="153"/>
    </row>
    <row r="931" spans="4:42" ht="15.75" customHeight="1">
      <c r="D931" s="152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  <c r="AA931" s="153"/>
      <c r="AB931" s="153"/>
      <c r="AC931" s="153"/>
      <c r="AD931" s="153"/>
      <c r="AE931" s="153"/>
      <c r="AF931" s="153"/>
      <c r="AG931" s="153"/>
      <c r="AH931" s="153"/>
      <c r="AI931" s="153"/>
      <c r="AJ931" s="153"/>
      <c r="AK931" s="153"/>
      <c r="AL931" s="153"/>
      <c r="AM931" s="153"/>
      <c r="AN931" s="153"/>
      <c r="AO931" s="153"/>
      <c r="AP931" s="153"/>
    </row>
    <row r="932" spans="4:42" ht="15.75" customHeight="1">
      <c r="D932" s="152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  <c r="AA932" s="153"/>
      <c r="AB932" s="153"/>
      <c r="AC932" s="153"/>
      <c r="AD932" s="153"/>
      <c r="AE932" s="153"/>
      <c r="AF932" s="153"/>
      <c r="AG932" s="153"/>
      <c r="AH932" s="153"/>
      <c r="AI932" s="153"/>
      <c r="AJ932" s="153"/>
      <c r="AK932" s="153"/>
      <c r="AL932" s="153"/>
      <c r="AM932" s="153"/>
      <c r="AN932" s="153"/>
      <c r="AO932" s="153"/>
      <c r="AP932" s="153"/>
    </row>
    <row r="933" spans="4:42" ht="15.75" customHeight="1">
      <c r="D933" s="152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  <c r="AA933" s="153"/>
      <c r="AB933" s="153"/>
      <c r="AC933" s="153"/>
      <c r="AD933" s="153"/>
      <c r="AE933" s="153"/>
      <c r="AF933" s="153"/>
      <c r="AG933" s="153"/>
      <c r="AH933" s="153"/>
      <c r="AI933" s="153"/>
      <c r="AJ933" s="153"/>
      <c r="AK933" s="153"/>
      <c r="AL933" s="153"/>
      <c r="AM933" s="153"/>
      <c r="AN933" s="153"/>
      <c r="AO933" s="153"/>
      <c r="AP933" s="153"/>
    </row>
    <row r="934" spans="4:42" ht="15.75" customHeight="1">
      <c r="D934" s="152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  <c r="AA934" s="153"/>
      <c r="AB934" s="153"/>
      <c r="AC934" s="153"/>
      <c r="AD934" s="153"/>
      <c r="AE934" s="153"/>
      <c r="AF934" s="153"/>
      <c r="AG934" s="153"/>
      <c r="AH934" s="153"/>
      <c r="AI934" s="153"/>
      <c r="AJ934" s="153"/>
      <c r="AK934" s="153"/>
      <c r="AL934" s="153"/>
      <c r="AM934" s="153"/>
      <c r="AN934" s="153"/>
      <c r="AO934" s="153"/>
      <c r="AP934" s="153"/>
    </row>
    <row r="935" spans="4:42" ht="15.75" customHeight="1">
      <c r="D935" s="152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  <c r="AA935" s="153"/>
      <c r="AB935" s="153"/>
      <c r="AC935" s="153"/>
      <c r="AD935" s="153"/>
      <c r="AE935" s="153"/>
      <c r="AF935" s="153"/>
      <c r="AG935" s="153"/>
      <c r="AH935" s="153"/>
      <c r="AI935" s="153"/>
      <c r="AJ935" s="153"/>
      <c r="AK935" s="153"/>
      <c r="AL935" s="153"/>
      <c r="AM935" s="153"/>
      <c r="AN935" s="153"/>
      <c r="AO935" s="153"/>
      <c r="AP935" s="153"/>
    </row>
    <row r="936" spans="4:42" ht="15.75" customHeight="1">
      <c r="D936" s="152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  <c r="AA936" s="153"/>
      <c r="AB936" s="153"/>
      <c r="AC936" s="153"/>
      <c r="AD936" s="153"/>
      <c r="AE936" s="153"/>
      <c r="AF936" s="153"/>
      <c r="AG936" s="153"/>
      <c r="AH936" s="153"/>
      <c r="AI936" s="153"/>
      <c r="AJ936" s="153"/>
      <c r="AK936" s="153"/>
      <c r="AL936" s="153"/>
      <c r="AM936" s="153"/>
      <c r="AN936" s="153"/>
      <c r="AO936" s="153"/>
      <c r="AP936" s="153"/>
    </row>
    <row r="937" spans="4:42" ht="15.75" customHeight="1">
      <c r="D937" s="152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  <c r="AD937" s="153"/>
      <c r="AE937" s="153"/>
      <c r="AF937" s="153"/>
      <c r="AG937" s="153"/>
      <c r="AH937" s="153"/>
      <c r="AI937" s="153"/>
      <c r="AJ937" s="153"/>
      <c r="AK937" s="153"/>
      <c r="AL937" s="153"/>
      <c r="AM937" s="153"/>
      <c r="AN937" s="153"/>
      <c r="AO937" s="153"/>
      <c r="AP937" s="153"/>
    </row>
    <row r="938" spans="4:42" ht="15.75" customHeight="1">
      <c r="D938" s="152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  <c r="AA938" s="153"/>
      <c r="AB938" s="153"/>
      <c r="AC938" s="153"/>
      <c r="AD938" s="153"/>
      <c r="AE938" s="153"/>
      <c r="AF938" s="153"/>
      <c r="AG938" s="153"/>
      <c r="AH938" s="153"/>
      <c r="AI938" s="153"/>
      <c r="AJ938" s="153"/>
      <c r="AK938" s="153"/>
      <c r="AL938" s="153"/>
      <c r="AM938" s="153"/>
      <c r="AN938" s="153"/>
      <c r="AO938" s="153"/>
      <c r="AP938" s="153"/>
    </row>
    <row r="939" spans="4:42" ht="15.75" customHeight="1">
      <c r="D939" s="152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  <c r="AA939" s="153"/>
      <c r="AB939" s="153"/>
      <c r="AC939" s="153"/>
      <c r="AD939" s="153"/>
      <c r="AE939" s="153"/>
      <c r="AF939" s="153"/>
      <c r="AG939" s="153"/>
      <c r="AH939" s="153"/>
      <c r="AI939" s="153"/>
      <c r="AJ939" s="153"/>
      <c r="AK939" s="153"/>
      <c r="AL939" s="153"/>
      <c r="AM939" s="153"/>
      <c r="AN939" s="153"/>
      <c r="AO939" s="153"/>
      <c r="AP939" s="153"/>
    </row>
    <row r="940" spans="4:42" ht="15.75" customHeight="1">
      <c r="D940" s="152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  <c r="AA940" s="153"/>
      <c r="AB940" s="153"/>
      <c r="AC940" s="153"/>
      <c r="AD940" s="153"/>
      <c r="AE940" s="153"/>
      <c r="AF940" s="153"/>
      <c r="AG940" s="153"/>
      <c r="AH940" s="153"/>
      <c r="AI940" s="153"/>
      <c r="AJ940" s="153"/>
      <c r="AK940" s="153"/>
      <c r="AL940" s="153"/>
      <c r="AM940" s="153"/>
      <c r="AN940" s="153"/>
      <c r="AO940" s="153"/>
      <c r="AP940" s="153"/>
    </row>
    <row r="941" spans="4:42" ht="15.75" customHeight="1">
      <c r="D941" s="152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  <c r="AA941" s="153"/>
      <c r="AB941" s="153"/>
      <c r="AC941" s="153"/>
      <c r="AD941" s="153"/>
      <c r="AE941" s="153"/>
      <c r="AF941" s="153"/>
      <c r="AG941" s="153"/>
      <c r="AH941" s="153"/>
      <c r="AI941" s="153"/>
      <c r="AJ941" s="153"/>
      <c r="AK941" s="153"/>
      <c r="AL941" s="153"/>
      <c r="AM941" s="153"/>
      <c r="AN941" s="153"/>
      <c r="AO941" s="153"/>
      <c r="AP941" s="153"/>
    </row>
    <row r="942" spans="4:42" ht="15.75" customHeight="1">
      <c r="D942" s="152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  <c r="AA942" s="153"/>
      <c r="AB942" s="153"/>
      <c r="AC942" s="153"/>
      <c r="AD942" s="153"/>
      <c r="AE942" s="153"/>
      <c r="AF942" s="153"/>
      <c r="AG942" s="153"/>
      <c r="AH942" s="153"/>
      <c r="AI942" s="153"/>
      <c r="AJ942" s="153"/>
      <c r="AK942" s="153"/>
      <c r="AL942" s="153"/>
      <c r="AM942" s="153"/>
      <c r="AN942" s="153"/>
      <c r="AO942" s="153"/>
      <c r="AP942" s="153"/>
    </row>
    <row r="943" spans="4:42" ht="15.75" customHeight="1">
      <c r="D943" s="152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  <c r="AA943" s="153"/>
      <c r="AB943" s="153"/>
      <c r="AC943" s="153"/>
      <c r="AD943" s="153"/>
      <c r="AE943" s="153"/>
      <c r="AF943" s="153"/>
      <c r="AG943" s="153"/>
      <c r="AH943" s="153"/>
      <c r="AI943" s="153"/>
      <c r="AJ943" s="153"/>
      <c r="AK943" s="153"/>
      <c r="AL943" s="153"/>
      <c r="AM943" s="153"/>
      <c r="AN943" s="153"/>
      <c r="AO943" s="153"/>
      <c r="AP943" s="153"/>
    </row>
    <row r="944" spans="4:42" ht="15.75" customHeight="1">
      <c r="D944" s="152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  <c r="AA944" s="153"/>
      <c r="AB944" s="153"/>
      <c r="AC944" s="153"/>
      <c r="AD944" s="153"/>
      <c r="AE944" s="153"/>
      <c r="AF944" s="153"/>
      <c r="AG944" s="153"/>
      <c r="AH944" s="153"/>
      <c r="AI944" s="153"/>
      <c r="AJ944" s="153"/>
      <c r="AK944" s="153"/>
      <c r="AL944" s="153"/>
      <c r="AM944" s="153"/>
      <c r="AN944" s="153"/>
      <c r="AO944" s="153"/>
      <c r="AP944" s="153"/>
    </row>
    <row r="945" spans="4:42" ht="15.75" customHeight="1">
      <c r="D945" s="152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  <c r="AA945" s="153"/>
      <c r="AB945" s="153"/>
      <c r="AC945" s="153"/>
      <c r="AD945" s="153"/>
      <c r="AE945" s="153"/>
      <c r="AF945" s="153"/>
      <c r="AG945" s="153"/>
      <c r="AH945" s="153"/>
      <c r="AI945" s="153"/>
      <c r="AJ945" s="153"/>
      <c r="AK945" s="153"/>
      <c r="AL945" s="153"/>
      <c r="AM945" s="153"/>
      <c r="AN945" s="153"/>
      <c r="AO945" s="153"/>
      <c r="AP945" s="153"/>
    </row>
    <row r="946" spans="4:42" ht="15.75" customHeight="1">
      <c r="D946" s="152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  <c r="AA946" s="153"/>
      <c r="AB946" s="153"/>
      <c r="AC946" s="153"/>
      <c r="AD946" s="153"/>
      <c r="AE946" s="153"/>
      <c r="AF946" s="153"/>
      <c r="AG946" s="153"/>
      <c r="AH946" s="153"/>
      <c r="AI946" s="153"/>
      <c r="AJ946" s="153"/>
      <c r="AK946" s="153"/>
      <c r="AL946" s="153"/>
      <c r="AM946" s="153"/>
      <c r="AN946" s="153"/>
      <c r="AO946" s="153"/>
      <c r="AP946" s="153"/>
    </row>
    <row r="947" spans="4:42" ht="15.75" customHeight="1">
      <c r="D947" s="152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  <c r="AA947" s="153"/>
      <c r="AB947" s="153"/>
      <c r="AC947" s="153"/>
      <c r="AD947" s="153"/>
      <c r="AE947" s="153"/>
      <c r="AF947" s="153"/>
      <c r="AG947" s="153"/>
      <c r="AH947" s="153"/>
      <c r="AI947" s="153"/>
      <c r="AJ947" s="153"/>
      <c r="AK947" s="153"/>
      <c r="AL947" s="153"/>
      <c r="AM947" s="153"/>
      <c r="AN947" s="153"/>
      <c r="AO947" s="153"/>
      <c r="AP947" s="153"/>
    </row>
    <row r="948" spans="4:42" ht="15.75" customHeight="1">
      <c r="D948" s="152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  <c r="AA948" s="153"/>
      <c r="AB948" s="153"/>
      <c r="AC948" s="153"/>
      <c r="AD948" s="153"/>
      <c r="AE948" s="153"/>
      <c r="AF948" s="153"/>
      <c r="AG948" s="153"/>
      <c r="AH948" s="153"/>
      <c r="AI948" s="153"/>
      <c r="AJ948" s="153"/>
      <c r="AK948" s="153"/>
      <c r="AL948" s="153"/>
      <c r="AM948" s="153"/>
      <c r="AN948" s="153"/>
      <c r="AO948" s="153"/>
      <c r="AP948" s="153"/>
    </row>
    <row r="949" spans="4:42" ht="15.75" customHeight="1">
      <c r="D949" s="152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  <c r="AA949" s="153"/>
      <c r="AB949" s="153"/>
      <c r="AC949" s="153"/>
      <c r="AD949" s="153"/>
      <c r="AE949" s="153"/>
      <c r="AF949" s="153"/>
      <c r="AG949" s="153"/>
      <c r="AH949" s="153"/>
      <c r="AI949" s="153"/>
      <c r="AJ949" s="153"/>
      <c r="AK949" s="153"/>
      <c r="AL949" s="153"/>
      <c r="AM949" s="153"/>
      <c r="AN949" s="153"/>
      <c r="AO949" s="153"/>
      <c r="AP949" s="153"/>
    </row>
    <row r="950" spans="4:42" ht="15.75" customHeight="1">
      <c r="D950" s="152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  <c r="AA950" s="153"/>
      <c r="AB950" s="153"/>
      <c r="AC950" s="153"/>
      <c r="AD950" s="153"/>
      <c r="AE950" s="153"/>
      <c r="AF950" s="153"/>
      <c r="AG950" s="153"/>
      <c r="AH950" s="153"/>
      <c r="AI950" s="153"/>
      <c r="AJ950" s="153"/>
      <c r="AK950" s="153"/>
      <c r="AL950" s="153"/>
      <c r="AM950" s="153"/>
      <c r="AN950" s="153"/>
      <c r="AO950" s="153"/>
      <c r="AP950" s="153"/>
    </row>
    <row r="951" spans="4:42" ht="15.75" customHeight="1">
      <c r="D951" s="152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  <c r="AA951" s="153"/>
      <c r="AB951" s="153"/>
      <c r="AC951" s="153"/>
      <c r="AD951" s="153"/>
      <c r="AE951" s="153"/>
      <c r="AF951" s="153"/>
      <c r="AG951" s="153"/>
      <c r="AH951" s="153"/>
      <c r="AI951" s="153"/>
      <c r="AJ951" s="153"/>
      <c r="AK951" s="153"/>
      <c r="AL951" s="153"/>
      <c r="AM951" s="153"/>
      <c r="AN951" s="153"/>
      <c r="AO951" s="153"/>
      <c r="AP951" s="153"/>
    </row>
    <row r="952" spans="4:42" ht="15.75" customHeight="1">
      <c r="D952" s="152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  <c r="AA952" s="153"/>
      <c r="AB952" s="153"/>
      <c r="AC952" s="153"/>
      <c r="AD952" s="153"/>
      <c r="AE952" s="153"/>
      <c r="AF952" s="153"/>
      <c r="AG952" s="153"/>
      <c r="AH952" s="153"/>
      <c r="AI952" s="153"/>
      <c r="AJ952" s="153"/>
      <c r="AK952" s="153"/>
      <c r="AL952" s="153"/>
      <c r="AM952" s="153"/>
      <c r="AN952" s="153"/>
      <c r="AO952" s="153"/>
      <c r="AP952" s="153"/>
    </row>
    <row r="953" spans="4:42" ht="15.75" customHeight="1">
      <c r="D953" s="152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  <c r="AA953" s="153"/>
      <c r="AB953" s="153"/>
      <c r="AC953" s="153"/>
      <c r="AD953" s="153"/>
      <c r="AE953" s="153"/>
      <c r="AF953" s="153"/>
      <c r="AG953" s="153"/>
      <c r="AH953" s="153"/>
      <c r="AI953" s="153"/>
      <c r="AJ953" s="153"/>
      <c r="AK953" s="153"/>
      <c r="AL953" s="153"/>
      <c r="AM953" s="153"/>
      <c r="AN953" s="153"/>
      <c r="AO953" s="153"/>
      <c r="AP953" s="153"/>
    </row>
    <row r="954" spans="4:42" ht="15.75" customHeight="1">
      <c r="D954" s="152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  <c r="AA954" s="153"/>
      <c r="AB954" s="153"/>
      <c r="AC954" s="153"/>
      <c r="AD954" s="153"/>
      <c r="AE954" s="153"/>
      <c r="AF954" s="153"/>
      <c r="AG954" s="153"/>
      <c r="AH954" s="153"/>
      <c r="AI954" s="153"/>
      <c r="AJ954" s="153"/>
      <c r="AK954" s="153"/>
      <c r="AL954" s="153"/>
      <c r="AM954" s="153"/>
      <c r="AN954" s="153"/>
      <c r="AO954" s="153"/>
      <c r="AP954" s="153"/>
    </row>
    <row r="955" spans="4:42" ht="15.75" customHeight="1">
      <c r="D955" s="152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  <c r="AA955" s="153"/>
      <c r="AB955" s="153"/>
      <c r="AC955" s="153"/>
      <c r="AD955" s="153"/>
      <c r="AE955" s="153"/>
      <c r="AF955" s="153"/>
      <c r="AG955" s="153"/>
      <c r="AH955" s="153"/>
      <c r="AI955" s="153"/>
      <c r="AJ955" s="153"/>
      <c r="AK955" s="153"/>
      <c r="AL955" s="153"/>
      <c r="AM955" s="153"/>
      <c r="AN955" s="153"/>
      <c r="AO955" s="153"/>
      <c r="AP955" s="153"/>
    </row>
    <row r="956" spans="4:42" ht="15.75" customHeight="1">
      <c r="D956" s="152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  <c r="AA956" s="153"/>
      <c r="AB956" s="153"/>
      <c r="AC956" s="153"/>
      <c r="AD956" s="153"/>
      <c r="AE956" s="153"/>
      <c r="AF956" s="153"/>
      <c r="AG956" s="153"/>
      <c r="AH956" s="153"/>
      <c r="AI956" s="153"/>
      <c r="AJ956" s="153"/>
      <c r="AK956" s="153"/>
      <c r="AL956" s="153"/>
      <c r="AM956" s="153"/>
      <c r="AN956" s="153"/>
      <c r="AO956" s="153"/>
      <c r="AP956" s="153"/>
    </row>
    <row r="957" spans="4:42" ht="15.75" customHeight="1">
      <c r="D957" s="152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  <c r="AA957" s="153"/>
      <c r="AB957" s="153"/>
      <c r="AC957" s="153"/>
      <c r="AD957" s="153"/>
      <c r="AE957" s="153"/>
      <c r="AF957" s="153"/>
      <c r="AG957" s="153"/>
      <c r="AH957" s="153"/>
      <c r="AI957" s="153"/>
      <c r="AJ957" s="153"/>
      <c r="AK957" s="153"/>
      <c r="AL957" s="153"/>
      <c r="AM957" s="153"/>
      <c r="AN957" s="153"/>
      <c r="AO957" s="153"/>
      <c r="AP957" s="153"/>
    </row>
    <row r="958" spans="4:42" ht="15.75" customHeight="1">
      <c r="D958" s="152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  <c r="AA958" s="153"/>
      <c r="AB958" s="153"/>
      <c r="AC958" s="153"/>
      <c r="AD958" s="153"/>
      <c r="AE958" s="153"/>
      <c r="AF958" s="153"/>
      <c r="AG958" s="153"/>
      <c r="AH958" s="153"/>
      <c r="AI958" s="153"/>
      <c r="AJ958" s="153"/>
      <c r="AK958" s="153"/>
      <c r="AL958" s="153"/>
      <c r="AM958" s="153"/>
      <c r="AN958" s="153"/>
      <c r="AO958" s="153"/>
      <c r="AP958" s="153"/>
    </row>
    <row r="959" spans="4:42" ht="15.75" customHeight="1">
      <c r="D959" s="152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  <c r="AB959" s="153"/>
      <c r="AC959" s="153"/>
      <c r="AD959" s="153"/>
      <c r="AE959" s="153"/>
      <c r="AF959" s="153"/>
      <c r="AG959" s="153"/>
      <c r="AH959" s="153"/>
      <c r="AI959" s="153"/>
      <c r="AJ959" s="153"/>
      <c r="AK959" s="153"/>
      <c r="AL959" s="153"/>
      <c r="AM959" s="153"/>
      <c r="AN959" s="153"/>
      <c r="AO959" s="153"/>
      <c r="AP959" s="153"/>
    </row>
    <row r="960" spans="4:42" ht="15.75" customHeight="1">
      <c r="D960" s="152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  <c r="AA960" s="153"/>
      <c r="AB960" s="153"/>
      <c r="AC960" s="153"/>
      <c r="AD960" s="153"/>
      <c r="AE960" s="153"/>
      <c r="AF960" s="153"/>
      <c r="AG960" s="153"/>
      <c r="AH960" s="153"/>
      <c r="AI960" s="153"/>
      <c r="AJ960" s="153"/>
      <c r="AK960" s="153"/>
      <c r="AL960" s="153"/>
      <c r="AM960" s="153"/>
      <c r="AN960" s="153"/>
      <c r="AO960" s="153"/>
      <c r="AP960" s="153"/>
    </row>
    <row r="961" spans="4:42" ht="15.75" customHeight="1">
      <c r="D961" s="152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  <c r="AA961" s="153"/>
      <c r="AB961" s="153"/>
      <c r="AC961" s="153"/>
      <c r="AD961" s="153"/>
      <c r="AE961" s="153"/>
      <c r="AF961" s="153"/>
      <c r="AG961" s="153"/>
      <c r="AH961" s="153"/>
      <c r="AI961" s="153"/>
      <c r="AJ961" s="153"/>
      <c r="AK961" s="153"/>
      <c r="AL961" s="153"/>
      <c r="AM961" s="153"/>
      <c r="AN961" s="153"/>
      <c r="AO961" s="153"/>
      <c r="AP961" s="153"/>
    </row>
    <row r="962" spans="4:42" ht="15.75" customHeight="1">
      <c r="D962" s="152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  <c r="AA962" s="153"/>
      <c r="AB962" s="153"/>
      <c r="AC962" s="153"/>
      <c r="AD962" s="153"/>
      <c r="AE962" s="153"/>
      <c r="AF962" s="153"/>
      <c r="AG962" s="153"/>
      <c r="AH962" s="153"/>
      <c r="AI962" s="153"/>
      <c r="AJ962" s="153"/>
      <c r="AK962" s="153"/>
      <c r="AL962" s="153"/>
      <c r="AM962" s="153"/>
      <c r="AN962" s="153"/>
      <c r="AO962" s="153"/>
      <c r="AP962" s="153"/>
    </row>
    <row r="963" spans="4:42" ht="15.75" customHeight="1">
      <c r="D963" s="152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  <c r="AA963" s="153"/>
      <c r="AB963" s="153"/>
      <c r="AC963" s="153"/>
      <c r="AD963" s="153"/>
      <c r="AE963" s="153"/>
      <c r="AF963" s="153"/>
      <c r="AG963" s="153"/>
      <c r="AH963" s="153"/>
      <c r="AI963" s="153"/>
      <c r="AJ963" s="153"/>
      <c r="AK963" s="153"/>
      <c r="AL963" s="153"/>
      <c r="AM963" s="153"/>
      <c r="AN963" s="153"/>
      <c r="AO963" s="153"/>
      <c r="AP963" s="153"/>
    </row>
    <row r="964" spans="4:42" ht="15.75" customHeight="1">
      <c r="D964" s="152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  <c r="AA964" s="153"/>
      <c r="AB964" s="153"/>
      <c r="AC964" s="153"/>
      <c r="AD964" s="153"/>
      <c r="AE964" s="153"/>
      <c r="AF964" s="153"/>
      <c r="AG964" s="153"/>
      <c r="AH964" s="153"/>
      <c r="AI964" s="153"/>
      <c r="AJ964" s="153"/>
      <c r="AK964" s="153"/>
      <c r="AL964" s="153"/>
      <c r="AM964" s="153"/>
      <c r="AN964" s="153"/>
      <c r="AO964" s="153"/>
      <c r="AP964" s="153"/>
    </row>
    <row r="965" spans="4:42" ht="15.75" customHeight="1">
      <c r="D965" s="152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  <c r="AA965" s="153"/>
      <c r="AB965" s="153"/>
      <c r="AC965" s="153"/>
      <c r="AD965" s="153"/>
      <c r="AE965" s="153"/>
      <c r="AF965" s="153"/>
      <c r="AG965" s="153"/>
      <c r="AH965" s="153"/>
      <c r="AI965" s="153"/>
      <c r="AJ965" s="153"/>
      <c r="AK965" s="153"/>
      <c r="AL965" s="153"/>
      <c r="AM965" s="153"/>
      <c r="AN965" s="153"/>
      <c r="AO965" s="153"/>
      <c r="AP965" s="153"/>
    </row>
    <row r="966" spans="4:42" ht="15.75" customHeight="1">
      <c r="D966" s="152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  <c r="AA966" s="153"/>
      <c r="AB966" s="153"/>
      <c r="AC966" s="153"/>
      <c r="AD966" s="153"/>
      <c r="AE966" s="153"/>
      <c r="AF966" s="153"/>
      <c r="AG966" s="153"/>
      <c r="AH966" s="153"/>
      <c r="AI966" s="153"/>
      <c r="AJ966" s="153"/>
      <c r="AK966" s="153"/>
      <c r="AL966" s="153"/>
      <c r="AM966" s="153"/>
      <c r="AN966" s="153"/>
      <c r="AO966" s="153"/>
      <c r="AP966" s="153"/>
    </row>
    <row r="967" spans="4:42" ht="15.75" customHeight="1">
      <c r="D967" s="152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  <c r="AA967" s="153"/>
      <c r="AB967" s="153"/>
      <c r="AC967" s="153"/>
      <c r="AD967" s="153"/>
      <c r="AE967" s="153"/>
      <c r="AF967" s="153"/>
      <c r="AG967" s="153"/>
      <c r="AH967" s="153"/>
      <c r="AI967" s="153"/>
      <c r="AJ967" s="153"/>
      <c r="AK967" s="153"/>
      <c r="AL967" s="153"/>
      <c r="AM967" s="153"/>
      <c r="AN967" s="153"/>
      <c r="AO967" s="153"/>
      <c r="AP967" s="153"/>
    </row>
    <row r="968" spans="4:42" ht="15.75" customHeight="1">
      <c r="D968" s="152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  <c r="AA968" s="153"/>
      <c r="AB968" s="153"/>
      <c r="AC968" s="153"/>
      <c r="AD968" s="153"/>
      <c r="AE968" s="153"/>
      <c r="AF968" s="153"/>
      <c r="AG968" s="153"/>
      <c r="AH968" s="153"/>
      <c r="AI968" s="153"/>
      <c r="AJ968" s="153"/>
      <c r="AK968" s="153"/>
      <c r="AL968" s="153"/>
      <c r="AM968" s="153"/>
      <c r="AN968" s="153"/>
      <c r="AO968" s="153"/>
      <c r="AP968" s="153"/>
    </row>
    <row r="969" spans="4:42" ht="15.75" customHeight="1">
      <c r="D969" s="152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  <c r="AA969" s="153"/>
      <c r="AB969" s="153"/>
      <c r="AC969" s="153"/>
      <c r="AD969" s="153"/>
      <c r="AE969" s="153"/>
      <c r="AF969" s="153"/>
      <c r="AG969" s="153"/>
      <c r="AH969" s="153"/>
      <c r="AI969" s="153"/>
      <c r="AJ969" s="153"/>
      <c r="AK969" s="153"/>
      <c r="AL969" s="153"/>
      <c r="AM969" s="153"/>
      <c r="AN969" s="153"/>
      <c r="AO969" s="153"/>
      <c r="AP969" s="153"/>
    </row>
    <row r="970" spans="4:42" ht="15.75" customHeight="1">
      <c r="D970" s="152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  <c r="AA970" s="153"/>
      <c r="AB970" s="153"/>
      <c r="AC970" s="153"/>
      <c r="AD970" s="153"/>
      <c r="AE970" s="153"/>
      <c r="AF970" s="153"/>
      <c r="AG970" s="153"/>
      <c r="AH970" s="153"/>
      <c r="AI970" s="153"/>
      <c r="AJ970" s="153"/>
      <c r="AK970" s="153"/>
      <c r="AL970" s="153"/>
      <c r="AM970" s="153"/>
      <c r="AN970" s="153"/>
      <c r="AO970" s="153"/>
      <c r="AP970" s="153"/>
    </row>
    <row r="971" spans="4:42" ht="15.75" customHeight="1">
      <c r="D971" s="152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  <c r="AA971" s="153"/>
      <c r="AB971" s="153"/>
      <c r="AC971" s="153"/>
      <c r="AD971" s="153"/>
      <c r="AE971" s="153"/>
      <c r="AF971" s="153"/>
      <c r="AG971" s="153"/>
      <c r="AH971" s="153"/>
      <c r="AI971" s="153"/>
      <c r="AJ971" s="153"/>
      <c r="AK971" s="153"/>
      <c r="AL971" s="153"/>
      <c r="AM971" s="153"/>
      <c r="AN971" s="153"/>
      <c r="AO971" s="153"/>
      <c r="AP971" s="153"/>
    </row>
    <row r="972" spans="4:42" ht="15.75" customHeight="1">
      <c r="D972" s="152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  <c r="AA972" s="153"/>
      <c r="AB972" s="153"/>
      <c r="AC972" s="153"/>
      <c r="AD972" s="153"/>
      <c r="AE972" s="153"/>
      <c r="AF972" s="153"/>
      <c r="AG972" s="153"/>
      <c r="AH972" s="153"/>
      <c r="AI972" s="153"/>
      <c r="AJ972" s="153"/>
      <c r="AK972" s="153"/>
      <c r="AL972" s="153"/>
      <c r="AM972" s="153"/>
      <c r="AN972" s="153"/>
      <c r="AO972" s="153"/>
      <c r="AP972" s="153"/>
    </row>
    <row r="973" spans="4:42" ht="15.75" customHeight="1">
      <c r="D973" s="152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  <c r="AA973" s="153"/>
      <c r="AB973" s="153"/>
      <c r="AC973" s="153"/>
      <c r="AD973" s="153"/>
      <c r="AE973" s="153"/>
      <c r="AF973" s="153"/>
      <c r="AG973" s="153"/>
      <c r="AH973" s="153"/>
      <c r="AI973" s="153"/>
      <c r="AJ973" s="153"/>
      <c r="AK973" s="153"/>
      <c r="AL973" s="153"/>
      <c r="AM973" s="153"/>
      <c r="AN973" s="153"/>
      <c r="AO973" s="153"/>
      <c r="AP973" s="153"/>
    </row>
    <row r="974" spans="4:42" ht="15.75" customHeight="1">
      <c r="D974" s="152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  <c r="AA974" s="153"/>
      <c r="AB974" s="153"/>
      <c r="AC974" s="153"/>
      <c r="AD974" s="153"/>
      <c r="AE974" s="153"/>
      <c r="AF974" s="153"/>
      <c r="AG974" s="153"/>
      <c r="AH974" s="153"/>
      <c r="AI974" s="153"/>
      <c r="AJ974" s="153"/>
      <c r="AK974" s="153"/>
      <c r="AL974" s="153"/>
      <c r="AM974" s="153"/>
      <c r="AN974" s="153"/>
      <c r="AO974" s="153"/>
      <c r="AP974" s="153"/>
    </row>
    <row r="975" spans="4:42" ht="15.75" customHeight="1">
      <c r="D975" s="152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  <c r="AA975" s="153"/>
      <c r="AB975" s="153"/>
      <c r="AC975" s="153"/>
      <c r="AD975" s="153"/>
      <c r="AE975" s="153"/>
      <c r="AF975" s="153"/>
      <c r="AG975" s="153"/>
      <c r="AH975" s="153"/>
      <c r="AI975" s="153"/>
      <c r="AJ975" s="153"/>
      <c r="AK975" s="153"/>
      <c r="AL975" s="153"/>
      <c r="AM975" s="153"/>
      <c r="AN975" s="153"/>
      <c r="AO975" s="153"/>
      <c r="AP975" s="153"/>
    </row>
    <row r="976" spans="4:42" ht="15.75" customHeight="1">
      <c r="D976" s="152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  <c r="AA976" s="153"/>
      <c r="AB976" s="153"/>
      <c r="AC976" s="153"/>
      <c r="AD976" s="153"/>
      <c r="AE976" s="153"/>
      <c r="AF976" s="153"/>
      <c r="AG976" s="153"/>
      <c r="AH976" s="153"/>
      <c r="AI976" s="153"/>
      <c r="AJ976" s="153"/>
      <c r="AK976" s="153"/>
      <c r="AL976" s="153"/>
      <c r="AM976" s="153"/>
      <c r="AN976" s="153"/>
      <c r="AO976" s="153"/>
      <c r="AP976" s="153"/>
    </row>
    <row r="977" spans="4:42" ht="15.75" customHeight="1">
      <c r="D977" s="152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  <c r="AA977" s="153"/>
      <c r="AB977" s="153"/>
      <c r="AC977" s="153"/>
      <c r="AD977" s="153"/>
      <c r="AE977" s="153"/>
      <c r="AF977" s="153"/>
      <c r="AG977" s="153"/>
      <c r="AH977" s="153"/>
      <c r="AI977" s="153"/>
      <c r="AJ977" s="153"/>
      <c r="AK977" s="153"/>
      <c r="AL977" s="153"/>
      <c r="AM977" s="153"/>
      <c r="AN977" s="153"/>
      <c r="AO977" s="153"/>
      <c r="AP977" s="153"/>
    </row>
    <row r="978" spans="4:42" ht="15.75" customHeight="1">
      <c r="D978" s="152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  <c r="AA978" s="153"/>
      <c r="AB978" s="153"/>
      <c r="AC978" s="153"/>
      <c r="AD978" s="153"/>
      <c r="AE978" s="153"/>
      <c r="AF978" s="153"/>
      <c r="AG978" s="153"/>
      <c r="AH978" s="153"/>
      <c r="AI978" s="153"/>
      <c r="AJ978" s="153"/>
      <c r="AK978" s="153"/>
      <c r="AL978" s="153"/>
      <c r="AM978" s="153"/>
      <c r="AN978" s="153"/>
      <c r="AO978" s="153"/>
      <c r="AP978" s="153"/>
    </row>
    <row r="979" spans="4:42" ht="15.75" customHeight="1">
      <c r="D979" s="152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  <c r="AA979" s="153"/>
      <c r="AB979" s="153"/>
      <c r="AC979" s="153"/>
      <c r="AD979" s="153"/>
      <c r="AE979" s="153"/>
      <c r="AF979" s="153"/>
      <c r="AG979" s="153"/>
      <c r="AH979" s="153"/>
      <c r="AI979" s="153"/>
      <c r="AJ979" s="153"/>
      <c r="AK979" s="153"/>
      <c r="AL979" s="153"/>
      <c r="AM979" s="153"/>
      <c r="AN979" s="153"/>
      <c r="AO979" s="153"/>
      <c r="AP979" s="153"/>
    </row>
    <row r="980" spans="4:42" ht="15.75" customHeight="1">
      <c r="D980" s="152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  <c r="AA980" s="153"/>
      <c r="AB980" s="153"/>
      <c r="AC980" s="153"/>
      <c r="AD980" s="153"/>
      <c r="AE980" s="153"/>
      <c r="AF980" s="153"/>
      <c r="AG980" s="153"/>
      <c r="AH980" s="153"/>
      <c r="AI980" s="153"/>
      <c r="AJ980" s="153"/>
      <c r="AK980" s="153"/>
      <c r="AL980" s="153"/>
      <c r="AM980" s="153"/>
      <c r="AN980" s="153"/>
      <c r="AO980" s="153"/>
      <c r="AP980" s="153"/>
    </row>
    <row r="981" spans="4:42" ht="15.75" customHeight="1">
      <c r="D981" s="152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  <c r="AA981" s="153"/>
      <c r="AB981" s="153"/>
      <c r="AC981" s="153"/>
      <c r="AD981" s="153"/>
      <c r="AE981" s="153"/>
      <c r="AF981" s="153"/>
      <c r="AG981" s="153"/>
      <c r="AH981" s="153"/>
      <c r="AI981" s="153"/>
      <c r="AJ981" s="153"/>
      <c r="AK981" s="153"/>
      <c r="AL981" s="153"/>
      <c r="AM981" s="153"/>
      <c r="AN981" s="153"/>
      <c r="AO981" s="153"/>
      <c r="AP981" s="153"/>
    </row>
    <row r="982" spans="4:42" ht="15.75" customHeight="1">
      <c r="D982" s="152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  <c r="AA982" s="153"/>
      <c r="AB982" s="153"/>
      <c r="AC982" s="153"/>
      <c r="AD982" s="153"/>
      <c r="AE982" s="153"/>
      <c r="AF982" s="153"/>
      <c r="AG982" s="153"/>
      <c r="AH982" s="153"/>
      <c r="AI982" s="153"/>
      <c r="AJ982" s="153"/>
      <c r="AK982" s="153"/>
      <c r="AL982" s="153"/>
      <c r="AM982" s="153"/>
      <c r="AN982" s="153"/>
      <c r="AO982" s="153"/>
      <c r="AP982" s="153"/>
    </row>
    <row r="983" spans="4:42" ht="15.75" customHeight="1">
      <c r="D983" s="152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  <c r="AA983" s="153"/>
      <c r="AB983" s="153"/>
      <c r="AC983" s="153"/>
      <c r="AD983" s="153"/>
      <c r="AE983" s="153"/>
      <c r="AF983" s="153"/>
      <c r="AG983" s="153"/>
      <c r="AH983" s="153"/>
      <c r="AI983" s="153"/>
      <c r="AJ983" s="153"/>
      <c r="AK983" s="153"/>
      <c r="AL983" s="153"/>
      <c r="AM983" s="153"/>
      <c r="AN983" s="153"/>
      <c r="AO983" s="153"/>
      <c r="AP983" s="153"/>
    </row>
    <row r="984" spans="4:42" ht="15.75" customHeight="1">
      <c r="D984" s="152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  <c r="AA984" s="153"/>
      <c r="AB984" s="153"/>
      <c r="AC984" s="153"/>
      <c r="AD984" s="153"/>
      <c r="AE984" s="153"/>
      <c r="AF984" s="153"/>
      <c r="AG984" s="153"/>
      <c r="AH984" s="153"/>
      <c r="AI984" s="153"/>
      <c r="AJ984" s="153"/>
      <c r="AK984" s="153"/>
      <c r="AL984" s="153"/>
      <c r="AM984" s="153"/>
      <c r="AN984" s="153"/>
      <c r="AO984" s="153"/>
      <c r="AP984" s="153"/>
    </row>
    <row r="985" spans="4:42" ht="15.75" customHeight="1">
      <c r="D985" s="152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  <c r="AA985" s="153"/>
      <c r="AB985" s="153"/>
      <c r="AC985" s="153"/>
      <c r="AD985" s="153"/>
      <c r="AE985" s="153"/>
      <c r="AF985" s="153"/>
      <c r="AG985" s="153"/>
      <c r="AH985" s="153"/>
      <c r="AI985" s="153"/>
      <c r="AJ985" s="153"/>
      <c r="AK985" s="153"/>
      <c r="AL985" s="153"/>
      <c r="AM985" s="153"/>
      <c r="AN985" s="153"/>
      <c r="AO985" s="153"/>
      <c r="AP985" s="153"/>
    </row>
    <row r="986" spans="4:42" ht="15.75" customHeight="1">
      <c r="D986" s="152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  <c r="AA986" s="153"/>
      <c r="AB986" s="153"/>
      <c r="AC986" s="153"/>
      <c r="AD986" s="153"/>
      <c r="AE986" s="153"/>
      <c r="AF986" s="153"/>
      <c r="AG986" s="153"/>
      <c r="AH986" s="153"/>
      <c r="AI986" s="153"/>
      <c r="AJ986" s="153"/>
      <c r="AK986" s="153"/>
      <c r="AL986" s="153"/>
      <c r="AM986" s="153"/>
      <c r="AN986" s="153"/>
      <c r="AO986" s="153"/>
      <c r="AP986" s="153"/>
    </row>
    <row r="987" spans="4:42" ht="15.75" customHeight="1">
      <c r="D987" s="152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  <c r="AA987" s="153"/>
      <c r="AB987" s="153"/>
      <c r="AC987" s="153"/>
      <c r="AD987" s="153"/>
      <c r="AE987" s="153"/>
      <c r="AF987" s="153"/>
      <c r="AG987" s="153"/>
      <c r="AH987" s="153"/>
      <c r="AI987" s="153"/>
      <c r="AJ987" s="153"/>
      <c r="AK987" s="153"/>
      <c r="AL987" s="153"/>
      <c r="AM987" s="153"/>
      <c r="AN987" s="153"/>
      <c r="AO987" s="153"/>
      <c r="AP987" s="153"/>
    </row>
    <row r="988" spans="4:42" ht="15.75" customHeight="1">
      <c r="D988" s="152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  <c r="AA988" s="153"/>
      <c r="AB988" s="153"/>
      <c r="AC988" s="153"/>
      <c r="AD988" s="153"/>
      <c r="AE988" s="153"/>
      <c r="AF988" s="153"/>
      <c r="AG988" s="153"/>
      <c r="AH988" s="153"/>
      <c r="AI988" s="153"/>
      <c r="AJ988" s="153"/>
      <c r="AK988" s="153"/>
      <c r="AL988" s="153"/>
      <c r="AM988" s="153"/>
      <c r="AN988" s="153"/>
      <c r="AO988" s="153"/>
      <c r="AP988" s="153"/>
    </row>
    <row r="989" spans="4:42" ht="15.75" customHeight="1">
      <c r="D989" s="152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  <c r="AA989" s="153"/>
      <c r="AB989" s="153"/>
      <c r="AC989" s="153"/>
      <c r="AD989" s="153"/>
      <c r="AE989" s="153"/>
      <c r="AF989" s="153"/>
      <c r="AG989" s="153"/>
      <c r="AH989" s="153"/>
      <c r="AI989" s="153"/>
      <c r="AJ989" s="153"/>
      <c r="AK989" s="153"/>
      <c r="AL989" s="153"/>
      <c r="AM989" s="153"/>
      <c r="AN989" s="153"/>
      <c r="AO989" s="153"/>
      <c r="AP989" s="153"/>
    </row>
    <row r="990" spans="4:42" ht="15.75" customHeight="1">
      <c r="D990" s="152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  <c r="AA990" s="153"/>
      <c r="AB990" s="153"/>
      <c r="AC990" s="153"/>
      <c r="AD990" s="153"/>
      <c r="AE990" s="153"/>
      <c r="AF990" s="153"/>
      <c r="AG990" s="153"/>
      <c r="AH990" s="153"/>
      <c r="AI990" s="153"/>
      <c r="AJ990" s="153"/>
      <c r="AK990" s="153"/>
      <c r="AL990" s="153"/>
      <c r="AM990" s="153"/>
      <c r="AN990" s="153"/>
      <c r="AO990" s="153"/>
      <c r="AP990" s="153"/>
    </row>
    <row r="991" spans="4:42" ht="15.75" customHeight="1">
      <c r="D991" s="152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  <c r="AA991" s="153"/>
      <c r="AB991" s="153"/>
      <c r="AC991" s="153"/>
      <c r="AD991" s="153"/>
      <c r="AE991" s="153"/>
      <c r="AF991" s="153"/>
      <c r="AG991" s="153"/>
      <c r="AH991" s="153"/>
      <c r="AI991" s="153"/>
      <c r="AJ991" s="153"/>
      <c r="AK991" s="153"/>
      <c r="AL991" s="153"/>
      <c r="AM991" s="153"/>
      <c r="AN991" s="153"/>
      <c r="AO991" s="153"/>
      <c r="AP991" s="153"/>
    </row>
    <row r="992" spans="4:42" ht="15.75" customHeight="1">
      <c r="D992" s="152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  <c r="AA992" s="153"/>
      <c r="AB992" s="153"/>
      <c r="AC992" s="153"/>
      <c r="AD992" s="153"/>
      <c r="AE992" s="153"/>
      <c r="AF992" s="153"/>
      <c r="AG992" s="153"/>
      <c r="AH992" s="153"/>
      <c r="AI992" s="153"/>
      <c r="AJ992" s="153"/>
      <c r="AK992" s="153"/>
      <c r="AL992" s="153"/>
      <c r="AM992" s="153"/>
      <c r="AN992" s="153"/>
      <c r="AO992" s="153"/>
      <c r="AP992" s="153"/>
    </row>
    <row r="993" spans="4:42" ht="15.75" customHeight="1">
      <c r="D993" s="152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  <c r="AA993" s="153"/>
      <c r="AB993" s="153"/>
      <c r="AC993" s="153"/>
      <c r="AD993" s="153"/>
      <c r="AE993" s="153"/>
      <c r="AF993" s="153"/>
      <c r="AG993" s="153"/>
      <c r="AH993" s="153"/>
      <c r="AI993" s="153"/>
      <c r="AJ993" s="153"/>
      <c r="AK993" s="153"/>
      <c r="AL993" s="153"/>
      <c r="AM993" s="153"/>
      <c r="AN993" s="153"/>
      <c r="AO993" s="153"/>
      <c r="AP993" s="153"/>
    </row>
    <row r="994" spans="4:42" ht="15.75" customHeight="1">
      <c r="D994" s="152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  <c r="AA994" s="153"/>
      <c r="AB994" s="153"/>
      <c r="AC994" s="153"/>
      <c r="AD994" s="153"/>
      <c r="AE994" s="153"/>
      <c r="AF994" s="153"/>
      <c r="AG994" s="153"/>
      <c r="AH994" s="153"/>
      <c r="AI994" s="153"/>
      <c r="AJ994" s="153"/>
      <c r="AK994" s="153"/>
      <c r="AL994" s="153"/>
      <c r="AM994" s="153"/>
      <c r="AN994" s="153"/>
      <c r="AO994" s="153"/>
      <c r="AP994" s="153"/>
    </row>
    <row r="995" spans="4:42" ht="15.75" customHeight="1">
      <c r="D995" s="152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  <c r="AA995" s="153"/>
      <c r="AB995" s="153"/>
      <c r="AC995" s="153"/>
      <c r="AD995" s="153"/>
      <c r="AE995" s="153"/>
      <c r="AF995" s="153"/>
      <c r="AG995" s="153"/>
      <c r="AH995" s="153"/>
      <c r="AI995" s="153"/>
      <c r="AJ995" s="153"/>
      <c r="AK995" s="153"/>
      <c r="AL995" s="153"/>
      <c r="AM995" s="153"/>
      <c r="AN995" s="153"/>
      <c r="AO995" s="153"/>
      <c r="AP995" s="153"/>
    </row>
    <row r="996" spans="4:42" ht="15.75" customHeight="1">
      <c r="D996" s="152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  <c r="AA996" s="153"/>
      <c r="AB996" s="153"/>
      <c r="AC996" s="153"/>
      <c r="AD996" s="153"/>
      <c r="AE996" s="153"/>
      <c r="AF996" s="153"/>
      <c r="AG996" s="153"/>
      <c r="AH996" s="153"/>
      <c r="AI996" s="153"/>
      <c r="AJ996" s="153"/>
      <c r="AK996" s="153"/>
      <c r="AL996" s="153"/>
      <c r="AM996" s="153"/>
      <c r="AN996" s="153"/>
      <c r="AO996" s="153"/>
      <c r="AP996" s="153"/>
    </row>
    <row r="997" spans="4:42" ht="15.75" customHeight="1">
      <c r="D997" s="152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  <c r="AA997" s="153"/>
      <c r="AB997" s="153"/>
      <c r="AC997" s="153"/>
      <c r="AD997" s="153"/>
      <c r="AE997" s="153"/>
      <c r="AF997" s="153"/>
      <c r="AG997" s="153"/>
      <c r="AH997" s="153"/>
      <c r="AI997" s="153"/>
      <c r="AJ997" s="153"/>
      <c r="AK997" s="153"/>
      <c r="AL997" s="153"/>
      <c r="AM997" s="153"/>
      <c r="AN997" s="153"/>
      <c r="AO997" s="153"/>
      <c r="AP997" s="153"/>
    </row>
    <row r="998" spans="4:42" ht="15.75" customHeight="1">
      <c r="D998" s="152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  <c r="AA998" s="153"/>
      <c r="AB998" s="153"/>
      <c r="AC998" s="153"/>
      <c r="AD998" s="153"/>
      <c r="AE998" s="153"/>
      <c r="AF998" s="153"/>
      <c r="AG998" s="153"/>
      <c r="AH998" s="153"/>
      <c r="AI998" s="153"/>
      <c r="AJ998" s="153"/>
      <c r="AK998" s="153"/>
      <c r="AL998" s="153"/>
      <c r="AM998" s="153"/>
      <c r="AN998" s="153"/>
      <c r="AO998" s="153"/>
      <c r="AP998" s="153"/>
    </row>
    <row r="999" spans="4:42" ht="15.75" customHeight="1">
      <c r="D999" s="152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  <c r="AA999" s="153"/>
      <c r="AB999" s="153"/>
      <c r="AC999" s="153"/>
      <c r="AD999" s="153"/>
      <c r="AE999" s="153"/>
      <c r="AF999" s="153"/>
      <c r="AG999" s="153"/>
      <c r="AH999" s="153"/>
      <c r="AI999" s="153"/>
      <c r="AJ999" s="153"/>
      <c r="AK999" s="153"/>
      <c r="AL999" s="153"/>
      <c r="AM999" s="153"/>
      <c r="AN999" s="153"/>
      <c r="AO999" s="153"/>
      <c r="AP999" s="153"/>
    </row>
    <row r="1000" spans="4:42" ht="15.75" customHeight="1">
      <c r="D1000" s="152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  <c r="AA1000" s="153"/>
      <c r="AB1000" s="153"/>
      <c r="AC1000" s="153"/>
      <c r="AD1000" s="153"/>
      <c r="AE1000" s="153"/>
      <c r="AF1000" s="153"/>
      <c r="AG1000" s="153"/>
      <c r="AH1000" s="153"/>
      <c r="AI1000" s="153"/>
      <c r="AJ1000" s="153"/>
      <c r="AK1000" s="153"/>
      <c r="AL1000" s="153"/>
      <c r="AM1000" s="153"/>
      <c r="AN1000" s="153"/>
      <c r="AO1000" s="153"/>
      <c r="AP1000" s="153"/>
    </row>
    <row r="1001" spans="4:42" ht="15.75" customHeight="1">
      <c r="D1001" s="152"/>
      <c r="G1001" s="153"/>
      <c r="H1001" s="153"/>
      <c r="I1001" s="153"/>
      <c r="J1001" s="153"/>
      <c r="K1001" s="153"/>
      <c r="L1001" s="153"/>
      <c r="M1001" s="153"/>
      <c r="N1001" s="153"/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  <c r="Z1001" s="153"/>
      <c r="AA1001" s="153"/>
      <c r="AB1001" s="153"/>
      <c r="AC1001" s="153"/>
      <c r="AD1001" s="153"/>
      <c r="AE1001" s="153"/>
      <c r="AF1001" s="153"/>
      <c r="AG1001" s="153"/>
      <c r="AH1001" s="153"/>
      <c r="AI1001" s="153"/>
      <c r="AJ1001" s="153"/>
      <c r="AK1001" s="153"/>
      <c r="AL1001" s="153"/>
      <c r="AM1001" s="153"/>
      <c r="AN1001" s="153"/>
      <c r="AO1001" s="153"/>
      <c r="AP1001" s="153"/>
    </row>
    <row r="1002" spans="4:42" ht="15.75" customHeight="1">
      <c r="D1002" s="152"/>
      <c r="G1002" s="153"/>
      <c r="H1002" s="153"/>
      <c r="I1002" s="153"/>
      <c r="J1002" s="153"/>
      <c r="K1002" s="153"/>
      <c r="L1002" s="153"/>
      <c r="M1002" s="153"/>
      <c r="N1002" s="153"/>
      <c r="O1002" s="153"/>
      <c r="P1002" s="153"/>
      <c r="Q1002" s="153"/>
      <c r="R1002" s="153"/>
      <c r="S1002" s="153"/>
      <c r="T1002" s="153"/>
      <c r="U1002" s="153"/>
      <c r="V1002" s="153"/>
      <c r="W1002" s="153"/>
      <c r="X1002" s="153"/>
      <c r="Y1002" s="153"/>
      <c r="Z1002" s="153"/>
      <c r="AA1002" s="153"/>
      <c r="AB1002" s="153"/>
      <c r="AC1002" s="153"/>
      <c r="AD1002" s="153"/>
      <c r="AE1002" s="153"/>
      <c r="AF1002" s="153"/>
      <c r="AG1002" s="153"/>
      <c r="AH1002" s="153"/>
      <c r="AI1002" s="153"/>
      <c r="AJ1002" s="153"/>
      <c r="AK1002" s="153"/>
      <c r="AL1002" s="153"/>
      <c r="AM1002" s="153"/>
      <c r="AN1002" s="153"/>
      <c r="AO1002" s="153"/>
      <c r="AP1002" s="153"/>
    </row>
    <row r="1003" spans="4:42" ht="15.75" customHeight="1">
      <c r="D1003" s="152"/>
      <c r="G1003" s="153"/>
      <c r="H1003" s="153"/>
      <c r="I1003" s="153"/>
      <c r="J1003" s="153"/>
      <c r="K1003" s="153"/>
      <c r="L1003" s="153"/>
      <c r="M1003" s="153"/>
      <c r="N1003" s="153"/>
      <c r="O1003" s="153"/>
      <c r="P1003" s="153"/>
      <c r="Q1003" s="153"/>
      <c r="R1003" s="153"/>
      <c r="S1003" s="153"/>
      <c r="T1003" s="153"/>
      <c r="U1003" s="153"/>
      <c r="V1003" s="153"/>
      <c r="W1003" s="153"/>
      <c r="X1003" s="153"/>
      <c r="Y1003" s="153"/>
      <c r="Z1003" s="153"/>
      <c r="AA1003" s="153"/>
      <c r="AB1003" s="153"/>
      <c r="AC1003" s="153"/>
      <c r="AD1003" s="153"/>
      <c r="AE1003" s="153"/>
      <c r="AF1003" s="153"/>
      <c r="AG1003" s="153"/>
      <c r="AH1003" s="153"/>
      <c r="AI1003" s="153"/>
      <c r="AJ1003" s="153"/>
      <c r="AK1003" s="153"/>
      <c r="AL1003" s="153"/>
      <c r="AM1003" s="153"/>
      <c r="AN1003" s="153"/>
      <c r="AO1003" s="153"/>
      <c r="AP1003" s="153"/>
    </row>
    <row r="1004" spans="4:42" ht="15.75" customHeight="1">
      <c r="D1004" s="152"/>
      <c r="G1004" s="153"/>
      <c r="H1004" s="153"/>
      <c r="I1004" s="153"/>
      <c r="J1004" s="153"/>
      <c r="K1004" s="153"/>
      <c r="L1004" s="153"/>
      <c r="M1004" s="153"/>
      <c r="N1004" s="153"/>
      <c r="O1004" s="153"/>
      <c r="P1004" s="153"/>
      <c r="Q1004" s="153"/>
      <c r="R1004" s="153"/>
      <c r="S1004" s="153"/>
      <c r="T1004" s="153"/>
      <c r="U1004" s="153"/>
      <c r="V1004" s="153"/>
      <c r="W1004" s="153"/>
      <c r="X1004" s="153"/>
      <c r="Y1004" s="153"/>
      <c r="Z1004" s="153"/>
      <c r="AA1004" s="153"/>
      <c r="AB1004" s="153"/>
      <c r="AC1004" s="153"/>
      <c r="AD1004" s="153"/>
      <c r="AE1004" s="153"/>
      <c r="AF1004" s="153"/>
      <c r="AG1004" s="153"/>
      <c r="AH1004" s="153"/>
      <c r="AI1004" s="153"/>
      <c r="AJ1004" s="153"/>
      <c r="AK1004" s="153"/>
      <c r="AL1004" s="153"/>
      <c r="AM1004" s="153"/>
      <c r="AN1004" s="153"/>
      <c r="AO1004" s="153"/>
      <c r="AP1004" s="153"/>
    </row>
    <row r="1005" spans="4:42" ht="15.75" customHeight="1">
      <c r="D1005" s="152"/>
      <c r="G1005" s="153"/>
      <c r="H1005" s="153"/>
      <c r="I1005" s="153"/>
      <c r="J1005" s="153"/>
      <c r="K1005" s="153"/>
      <c r="L1005" s="153"/>
      <c r="M1005" s="153"/>
      <c r="N1005" s="153"/>
      <c r="O1005" s="153"/>
      <c r="P1005" s="153"/>
      <c r="Q1005" s="153"/>
      <c r="R1005" s="153"/>
      <c r="S1005" s="153"/>
      <c r="T1005" s="153"/>
      <c r="U1005" s="153"/>
      <c r="V1005" s="153"/>
      <c r="W1005" s="153"/>
      <c r="X1005" s="153"/>
      <c r="Y1005" s="153"/>
      <c r="Z1005" s="153"/>
      <c r="AA1005" s="153"/>
      <c r="AB1005" s="153"/>
      <c r="AC1005" s="153"/>
      <c r="AD1005" s="153"/>
      <c r="AE1005" s="153"/>
      <c r="AF1005" s="153"/>
      <c r="AG1005" s="153"/>
      <c r="AH1005" s="153"/>
      <c r="AI1005" s="153"/>
      <c r="AJ1005" s="153"/>
      <c r="AK1005" s="153"/>
      <c r="AL1005" s="153"/>
      <c r="AM1005" s="153"/>
      <c r="AN1005" s="153"/>
      <c r="AO1005" s="153"/>
      <c r="AP1005" s="153"/>
    </row>
    <row r="1006" spans="4:42" ht="15.75" customHeight="1">
      <c r="D1006" s="152"/>
      <c r="G1006" s="153"/>
      <c r="H1006" s="153"/>
      <c r="I1006" s="153"/>
      <c r="J1006" s="153"/>
      <c r="K1006" s="153"/>
      <c r="L1006" s="153"/>
      <c r="M1006" s="153"/>
      <c r="N1006" s="153"/>
      <c r="O1006" s="153"/>
      <c r="P1006" s="153"/>
      <c r="Q1006" s="153"/>
      <c r="R1006" s="153"/>
      <c r="S1006" s="153"/>
      <c r="T1006" s="153"/>
      <c r="U1006" s="153"/>
      <c r="V1006" s="153"/>
      <c r="W1006" s="153"/>
      <c r="X1006" s="153"/>
      <c r="Y1006" s="153"/>
      <c r="Z1006" s="153"/>
      <c r="AA1006" s="153"/>
      <c r="AB1006" s="153"/>
      <c r="AC1006" s="153"/>
      <c r="AD1006" s="153"/>
      <c r="AE1006" s="153"/>
      <c r="AF1006" s="153"/>
      <c r="AG1006" s="153"/>
      <c r="AH1006" s="153"/>
      <c r="AI1006" s="153"/>
      <c r="AJ1006" s="153"/>
      <c r="AK1006" s="153"/>
      <c r="AL1006" s="153"/>
      <c r="AM1006" s="153"/>
      <c r="AN1006" s="153"/>
      <c r="AO1006" s="153"/>
      <c r="AP1006" s="153"/>
    </row>
    <row r="1007" spans="4:42" ht="15.75" customHeight="1">
      <c r="D1007" s="152"/>
      <c r="G1007" s="153"/>
      <c r="H1007" s="153"/>
      <c r="I1007" s="153"/>
      <c r="J1007" s="153"/>
      <c r="K1007" s="153"/>
      <c r="L1007" s="153"/>
      <c r="M1007" s="153"/>
      <c r="N1007" s="153"/>
      <c r="O1007" s="153"/>
      <c r="P1007" s="153"/>
      <c r="Q1007" s="153"/>
      <c r="R1007" s="153"/>
      <c r="S1007" s="153"/>
      <c r="T1007" s="153"/>
      <c r="U1007" s="153"/>
      <c r="V1007" s="153"/>
      <c r="W1007" s="153"/>
      <c r="X1007" s="153"/>
      <c r="Y1007" s="153"/>
      <c r="Z1007" s="153"/>
      <c r="AA1007" s="153"/>
      <c r="AB1007" s="153"/>
      <c r="AC1007" s="153"/>
      <c r="AD1007" s="153"/>
      <c r="AE1007" s="153"/>
      <c r="AF1007" s="153"/>
      <c r="AG1007" s="153"/>
      <c r="AH1007" s="153"/>
      <c r="AI1007" s="153"/>
      <c r="AJ1007" s="153"/>
      <c r="AK1007" s="153"/>
      <c r="AL1007" s="153"/>
      <c r="AM1007" s="153"/>
      <c r="AN1007" s="153"/>
      <c r="AO1007" s="153"/>
      <c r="AP1007" s="153"/>
    </row>
    <row r="1008" spans="4:42" ht="15.75" customHeight="1">
      <c r="D1008" s="152"/>
      <c r="G1008" s="153"/>
      <c r="H1008" s="153"/>
      <c r="I1008" s="153"/>
      <c r="J1008" s="153"/>
      <c r="K1008" s="153"/>
      <c r="L1008" s="153"/>
      <c r="M1008" s="153"/>
      <c r="N1008" s="153"/>
      <c r="O1008" s="153"/>
      <c r="P1008" s="153"/>
      <c r="Q1008" s="153"/>
      <c r="R1008" s="153"/>
      <c r="S1008" s="153"/>
      <c r="T1008" s="153"/>
      <c r="U1008" s="153"/>
      <c r="V1008" s="153"/>
      <c r="W1008" s="153"/>
      <c r="X1008" s="153"/>
      <c r="Y1008" s="153"/>
      <c r="Z1008" s="153"/>
      <c r="AA1008" s="153"/>
      <c r="AB1008" s="153"/>
      <c r="AC1008" s="153"/>
      <c r="AD1008" s="153"/>
      <c r="AE1008" s="153"/>
      <c r="AF1008" s="153"/>
      <c r="AG1008" s="153"/>
      <c r="AH1008" s="153"/>
      <c r="AI1008" s="153"/>
      <c r="AJ1008" s="153"/>
      <c r="AK1008" s="153"/>
      <c r="AL1008" s="153"/>
      <c r="AM1008" s="153"/>
      <c r="AN1008" s="153"/>
      <c r="AO1008" s="153"/>
      <c r="AP1008" s="153"/>
    </row>
    <row r="1009" spans="4:42" ht="15.75" customHeight="1">
      <c r="D1009" s="152"/>
      <c r="G1009" s="153"/>
      <c r="H1009" s="153"/>
      <c r="I1009" s="153"/>
      <c r="J1009" s="153"/>
      <c r="K1009" s="153"/>
      <c r="L1009" s="153"/>
      <c r="M1009" s="153"/>
      <c r="N1009" s="153"/>
      <c r="O1009" s="153"/>
      <c r="P1009" s="153"/>
      <c r="Q1009" s="153"/>
      <c r="R1009" s="153"/>
      <c r="S1009" s="153"/>
      <c r="T1009" s="153"/>
      <c r="U1009" s="153"/>
      <c r="V1009" s="153"/>
      <c r="W1009" s="153"/>
      <c r="X1009" s="153"/>
      <c r="Y1009" s="153"/>
      <c r="Z1009" s="153"/>
      <c r="AA1009" s="153"/>
      <c r="AB1009" s="153"/>
      <c r="AC1009" s="153"/>
      <c r="AD1009" s="153"/>
      <c r="AE1009" s="153"/>
      <c r="AF1009" s="153"/>
      <c r="AG1009" s="153"/>
      <c r="AH1009" s="153"/>
      <c r="AI1009" s="153"/>
      <c r="AJ1009" s="153"/>
      <c r="AK1009" s="153"/>
      <c r="AL1009" s="153"/>
      <c r="AM1009" s="153"/>
      <c r="AN1009" s="153"/>
      <c r="AO1009" s="153"/>
      <c r="AP1009" s="153"/>
    </row>
    <row r="1010" spans="4:42" ht="15.75" customHeight="1">
      <c r="D1010" s="152"/>
      <c r="G1010" s="153"/>
      <c r="H1010" s="153"/>
      <c r="I1010" s="153"/>
      <c r="J1010" s="153"/>
      <c r="K1010" s="153"/>
      <c r="L1010" s="153"/>
      <c r="M1010" s="153"/>
      <c r="N1010" s="153"/>
      <c r="O1010" s="153"/>
      <c r="P1010" s="153"/>
      <c r="Q1010" s="153"/>
      <c r="R1010" s="153"/>
      <c r="S1010" s="153"/>
      <c r="T1010" s="153"/>
      <c r="U1010" s="153"/>
      <c r="V1010" s="153"/>
      <c r="W1010" s="153"/>
      <c r="X1010" s="153"/>
      <c r="Y1010" s="153"/>
      <c r="Z1010" s="153"/>
      <c r="AA1010" s="153"/>
      <c r="AB1010" s="153"/>
      <c r="AC1010" s="153"/>
      <c r="AD1010" s="153"/>
      <c r="AE1010" s="153"/>
      <c r="AF1010" s="153"/>
      <c r="AG1010" s="153"/>
      <c r="AH1010" s="153"/>
      <c r="AI1010" s="153"/>
      <c r="AJ1010" s="153"/>
      <c r="AK1010" s="153"/>
      <c r="AL1010" s="153"/>
      <c r="AM1010" s="153"/>
      <c r="AN1010" s="153"/>
      <c r="AO1010" s="153"/>
      <c r="AP1010" s="153"/>
    </row>
    <row r="1011" spans="4:42" ht="15.75" customHeight="1">
      <c r="D1011" s="152"/>
      <c r="G1011" s="153"/>
      <c r="H1011" s="153"/>
      <c r="I1011" s="153"/>
      <c r="J1011" s="153"/>
      <c r="K1011" s="153"/>
      <c r="L1011" s="153"/>
      <c r="M1011" s="153"/>
      <c r="N1011" s="153"/>
      <c r="O1011" s="153"/>
      <c r="P1011" s="153"/>
      <c r="Q1011" s="153"/>
      <c r="R1011" s="153"/>
      <c r="S1011" s="153"/>
      <c r="T1011" s="153"/>
      <c r="U1011" s="153"/>
      <c r="V1011" s="153"/>
      <c r="W1011" s="153"/>
      <c r="X1011" s="153"/>
      <c r="Y1011" s="153"/>
      <c r="Z1011" s="153"/>
      <c r="AA1011" s="153"/>
      <c r="AB1011" s="153"/>
      <c r="AC1011" s="153"/>
      <c r="AD1011" s="153"/>
      <c r="AE1011" s="153"/>
      <c r="AF1011" s="153"/>
      <c r="AG1011" s="153"/>
      <c r="AH1011" s="153"/>
      <c r="AI1011" s="153"/>
      <c r="AJ1011" s="153"/>
      <c r="AK1011" s="153"/>
      <c r="AL1011" s="153"/>
      <c r="AM1011" s="153"/>
      <c r="AN1011" s="153"/>
      <c r="AO1011" s="153"/>
      <c r="AP1011" s="153"/>
    </row>
    <row r="1012" spans="4:42" ht="15.75" customHeight="1">
      <c r="D1012" s="152"/>
      <c r="G1012" s="153"/>
      <c r="H1012" s="153"/>
      <c r="I1012" s="153"/>
      <c r="J1012" s="153"/>
      <c r="K1012" s="153"/>
      <c r="L1012" s="153"/>
      <c r="M1012" s="153"/>
      <c r="N1012" s="153"/>
      <c r="O1012" s="153"/>
      <c r="P1012" s="153"/>
      <c r="Q1012" s="153"/>
      <c r="R1012" s="153"/>
      <c r="S1012" s="153"/>
      <c r="T1012" s="153"/>
      <c r="U1012" s="153"/>
      <c r="V1012" s="153"/>
      <c r="W1012" s="153"/>
      <c r="X1012" s="153"/>
      <c r="Y1012" s="153"/>
      <c r="Z1012" s="153"/>
      <c r="AA1012" s="153"/>
      <c r="AB1012" s="153"/>
      <c r="AC1012" s="153"/>
      <c r="AD1012" s="153"/>
      <c r="AE1012" s="153"/>
      <c r="AF1012" s="153"/>
      <c r="AG1012" s="153"/>
      <c r="AH1012" s="153"/>
      <c r="AI1012" s="153"/>
      <c r="AJ1012" s="153"/>
      <c r="AK1012" s="153"/>
      <c r="AL1012" s="153"/>
      <c r="AM1012" s="153"/>
      <c r="AN1012" s="153"/>
      <c r="AO1012" s="153"/>
      <c r="AP1012" s="153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E265-1449-4200-A445-A2267BCDD3F0}">
  <sheetPr codeName="Sheet17">
    <tabColor theme="2"/>
  </sheetPr>
  <dimension ref="A2:I224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defaultRowHeight="14.5"/>
  <cols>
    <col min="1" max="2" width="1.7265625" customWidth="1"/>
    <col min="3" max="3" width="45.7265625" bestFit="1" customWidth="1"/>
    <col min="4" max="5" width="30.7265625" bestFit="1" customWidth="1"/>
    <col min="8" max="8" width="37.453125" bestFit="1" customWidth="1"/>
  </cols>
  <sheetData>
    <row r="2" spans="3:8" ht="5.15" customHeight="1"/>
    <row r="3" spans="3:8">
      <c r="C3" s="1" t="s">
        <v>242</v>
      </c>
    </row>
    <row r="4" spans="3:8">
      <c r="C4" t="s">
        <v>241</v>
      </c>
    </row>
    <row r="5" spans="3:8">
      <c r="C5" s="7"/>
      <c r="D5" s="7"/>
      <c r="E5" s="7"/>
    </row>
    <row r="6" spans="3:8" ht="16">
      <c r="C6" s="2" t="s">
        <v>216</v>
      </c>
      <c r="D6" s="2" t="s">
        <v>217</v>
      </c>
      <c r="E6" s="2" t="s">
        <v>218</v>
      </c>
    </row>
    <row r="7" spans="3:8">
      <c r="C7" t="s">
        <v>1</v>
      </c>
      <c r="D7" t="s">
        <v>12</v>
      </c>
      <c r="E7" t="s">
        <v>0</v>
      </c>
      <c r="H7" t="s">
        <v>12</v>
      </c>
    </row>
    <row r="8" spans="3:8">
      <c r="C8" t="s">
        <v>2</v>
      </c>
      <c r="D8" t="s">
        <v>12</v>
      </c>
      <c r="E8" t="s">
        <v>0</v>
      </c>
      <c r="H8" t="s">
        <v>13</v>
      </c>
    </row>
    <row r="9" spans="3:8">
      <c r="C9" t="s">
        <v>3</v>
      </c>
      <c r="D9" t="s">
        <v>12</v>
      </c>
      <c r="E9" t="s">
        <v>0</v>
      </c>
      <c r="H9" t="s">
        <v>16</v>
      </c>
    </row>
    <row r="10" spans="3:8">
      <c r="C10" t="s">
        <v>4</v>
      </c>
      <c r="D10" t="s">
        <v>12</v>
      </c>
      <c r="E10" t="s">
        <v>0</v>
      </c>
      <c r="H10" t="s">
        <v>17</v>
      </c>
    </row>
    <row r="11" spans="3:8">
      <c r="C11" t="s">
        <v>5</v>
      </c>
      <c r="D11" t="s">
        <v>12</v>
      </c>
      <c r="E11" t="s">
        <v>0</v>
      </c>
      <c r="H11" t="s">
        <v>21</v>
      </c>
    </row>
    <row r="12" spans="3:8">
      <c r="C12" t="s">
        <v>6</v>
      </c>
      <c r="D12" t="s">
        <v>12</v>
      </c>
      <c r="E12" t="s">
        <v>0</v>
      </c>
      <c r="H12" t="s">
        <v>22</v>
      </c>
    </row>
    <row r="13" spans="3:8">
      <c r="C13" t="s">
        <v>7</v>
      </c>
      <c r="D13" t="s">
        <v>12</v>
      </c>
      <c r="E13" t="s">
        <v>0</v>
      </c>
      <c r="H13" t="s">
        <v>23</v>
      </c>
    </row>
    <row r="14" spans="3:8">
      <c r="C14" t="s">
        <v>8</v>
      </c>
      <c r="D14" t="s">
        <v>12</v>
      </c>
      <c r="E14" t="s">
        <v>0</v>
      </c>
      <c r="H14" t="s">
        <v>24</v>
      </c>
    </row>
    <row r="15" spans="3:8">
      <c r="C15" t="s">
        <v>9</v>
      </c>
      <c r="D15" t="s">
        <v>12</v>
      </c>
      <c r="E15" t="s">
        <v>0</v>
      </c>
      <c r="H15" t="s">
        <v>32</v>
      </c>
    </row>
    <row r="16" spans="3:8">
      <c r="C16" t="s">
        <v>10</v>
      </c>
      <c r="D16" t="s">
        <v>12</v>
      </c>
      <c r="E16" t="s">
        <v>0</v>
      </c>
      <c r="H16" t="s">
        <v>45</v>
      </c>
    </row>
    <row r="17" spans="3:9">
      <c r="C17" t="s">
        <v>11</v>
      </c>
      <c r="D17" t="s">
        <v>12</v>
      </c>
      <c r="E17" t="s">
        <v>0</v>
      </c>
      <c r="H17" t="s">
        <v>48</v>
      </c>
    </row>
    <row r="18" spans="3:9">
      <c r="C18" t="s">
        <v>13</v>
      </c>
      <c r="D18" t="s">
        <v>13</v>
      </c>
      <c r="E18" t="s">
        <v>0</v>
      </c>
      <c r="H18" t="s">
        <v>221</v>
      </c>
    </row>
    <row r="19" spans="3:9">
      <c r="C19" t="s">
        <v>14</v>
      </c>
      <c r="D19" t="s">
        <v>16</v>
      </c>
      <c r="E19" t="s">
        <v>0</v>
      </c>
      <c r="H19" t="s">
        <v>59</v>
      </c>
    </row>
    <row r="20" spans="3:9">
      <c r="C20" t="s">
        <v>15</v>
      </c>
      <c r="D20" t="s">
        <v>16</v>
      </c>
      <c r="E20" t="s">
        <v>0</v>
      </c>
      <c r="H20" t="s">
        <v>70</v>
      </c>
    </row>
    <row r="21" spans="3:9">
      <c r="C21" t="s">
        <v>17</v>
      </c>
      <c r="D21" t="s">
        <v>17</v>
      </c>
      <c r="E21" t="s">
        <v>0</v>
      </c>
      <c r="H21" t="s">
        <v>67</v>
      </c>
    </row>
    <row r="22" spans="3:9">
      <c r="C22" t="s">
        <v>18</v>
      </c>
      <c r="D22" t="s">
        <v>21</v>
      </c>
      <c r="E22" t="s">
        <v>0</v>
      </c>
      <c r="H22" t="s">
        <v>75</v>
      </c>
      <c r="I22" t="s">
        <v>75</v>
      </c>
    </row>
    <row r="23" spans="3:9">
      <c r="C23" t="s">
        <v>19</v>
      </c>
      <c r="D23" t="s">
        <v>21</v>
      </c>
      <c r="E23" t="s">
        <v>0</v>
      </c>
      <c r="H23" t="s">
        <v>79</v>
      </c>
      <c r="I23" t="s">
        <v>79</v>
      </c>
    </row>
    <row r="24" spans="3:9">
      <c r="C24" t="s">
        <v>20</v>
      </c>
      <c r="D24" t="s">
        <v>21</v>
      </c>
      <c r="E24" t="s">
        <v>0</v>
      </c>
      <c r="H24" t="s">
        <v>85</v>
      </c>
      <c r="I24" t="s">
        <v>85</v>
      </c>
    </row>
    <row r="25" spans="3:9">
      <c r="C25" t="s">
        <v>22</v>
      </c>
      <c r="D25" t="s">
        <v>22</v>
      </c>
      <c r="E25" t="s">
        <v>0</v>
      </c>
      <c r="H25" t="s">
        <v>92</v>
      </c>
      <c r="I25" t="s">
        <v>92</v>
      </c>
    </row>
    <row r="26" spans="3:9">
      <c r="C26" t="s">
        <v>23</v>
      </c>
      <c r="D26" t="s">
        <v>23</v>
      </c>
      <c r="E26" t="s">
        <v>0</v>
      </c>
      <c r="H26" t="s">
        <v>101</v>
      </c>
      <c r="I26" t="s">
        <v>101</v>
      </c>
    </row>
    <row r="27" spans="3:9">
      <c r="C27" t="s">
        <v>24</v>
      </c>
      <c r="D27" t="s">
        <v>24</v>
      </c>
      <c r="E27" t="s">
        <v>0</v>
      </c>
      <c r="H27" t="s">
        <v>111</v>
      </c>
      <c r="I27" t="s">
        <v>111</v>
      </c>
    </row>
    <row r="28" spans="3:9">
      <c r="C28" t="s">
        <v>25</v>
      </c>
      <c r="D28" t="s">
        <v>32</v>
      </c>
      <c r="E28" t="s">
        <v>0</v>
      </c>
      <c r="H28" t="s">
        <v>119</v>
      </c>
      <c r="I28" t="s">
        <v>119</v>
      </c>
    </row>
    <row r="29" spans="3:9">
      <c r="C29" t="s">
        <v>26</v>
      </c>
      <c r="D29" t="s">
        <v>32</v>
      </c>
      <c r="E29" t="s">
        <v>0</v>
      </c>
      <c r="H29" t="s">
        <v>128</v>
      </c>
      <c r="I29" t="s">
        <v>128</v>
      </c>
    </row>
    <row r="30" spans="3:9">
      <c r="C30" t="s">
        <v>27</v>
      </c>
      <c r="D30" t="s">
        <v>32</v>
      </c>
      <c r="E30" t="s">
        <v>0</v>
      </c>
      <c r="H30" t="s">
        <v>133</v>
      </c>
      <c r="I30" t="s">
        <v>133</v>
      </c>
    </row>
    <row r="31" spans="3:9">
      <c r="C31" t="s">
        <v>28</v>
      </c>
      <c r="D31" t="s">
        <v>32</v>
      </c>
      <c r="E31" t="s">
        <v>0</v>
      </c>
      <c r="H31" t="s">
        <v>138</v>
      </c>
      <c r="I31" t="s">
        <v>138</v>
      </c>
    </row>
    <row r="32" spans="3:9">
      <c r="C32" t="s">
        <v>29</v>
      </c>
      <c r="D32" t="s">
        <v>32</v>
      </c>
      <c r="E32" t="s">
        <v>0</v>
      </c>
      <c r="H32" t="s">
        <v>145</v>
      </c>
      <c r="I32" t="s">
        <v>145</v>
      </c>
    </row>
    <row r="33" spans="3:9">
      <c r="C33" t="s">
        <v>30</v>
      </c>
      <c r="D33" t="s">
        <v>32</v>
      </c>
      <c r="E33" t="s">
        <v>0</v>
      </c>
      <c r="H33" t="s">
        <v>151</v>
      </c>
      <c r="I33" t="s">
        <v>151</v>
      </c>
    </row>
    <row r="34" spans="3:9">
      <c r="C34" t="s">
        <v>31</v>
      </c>
      <c r="D34" t="s">
        <v>32</v>
      </c>
      <c r="E34" t="s">
        <v>0</v>
      </c>
      <c r="H34" t="s">
        <v>156</v>
      </c>
      <c r="I34" t="s">
        <v>156</v>
      </c>
    </row>
    <row r="35" spans="3:9">
      <c r="C35" t="s">
        <v>33</v>
      </c>
      <c r="D35" t="s">
        <v>45</v>
      </c>
      <c r="E35" t="s">
        <v>0</v>
      </c>
      <c r="H35" t="s">
        <v>159</v>
      </c>
      <c r="I35" t="s">
        <v>159</v>
      </c>
    </row>
    <row r="36" spans="3:9">
      <c r="C36" t="s">
        <v>34</v>
      </c>
      <c r="D36" t="s">
        <v>45</v>
      </c>
      <c r="E36" t="s">
        <v>0</v>
      </c>
      <c r="H36" t="s">
        <v>164</v>
      </c>
      <c r="I36" t="s">
        <v>164</v>
      </c>
    </row>
    <row r="37" spans="3:9">
      <c r="C37" t="s">
        <v>35</v>
      </c>
      <c r="D37" t="s">
        <v>45</v>
      </c>
      <c r="E37" t="s">
        <v>0</v>
      </c>
      <c r="H37" t="s">
        <v>170</v>
      </c>
      <c r="I37" t="s">
        <v>170</v>
      </c>
    </row>
    <row r="38" spans="3:9">
      <c r="C38" t="s">
        <v>36</v>
      </c>
      <c r="D38" t="s">
        <v>45</v>
      </c>
      <c r="E38" t="s">
        <v>0</v>
      </c>
      <c r="H38" t="s">
        <v>175</v>
      </c>
      <c r="I38" t="s">
        <v>175</v>
      </c>
    </row>
    <row r="39" spans="3:9">
      <c r="C39" t="s">
        <v>37</v>
      </c>
      <c r="D39" t="s">
        <v>45</v>
      </c>
      <c r="E39" t="s">
        <v>0</v>
      </c>
      <c r="H39" t="s">
        <v>178</v>
      </c>
      <c r="I39" t="s">
        <v>178</v>
      </c>
    </row>
    <row r="40" spans="3:9">
      <c r="C40" t="s">
        <v>38</v>
      </c>
      <c r="D40" t="s">
        <v>45</v>
      </c>
      <c r="E40" t="s">
        <v>0</v>
      </c>
      <c r="H40" t="s">
        <v>181</v>
      </c>
      <c r="I40" t="s">
        <v>181</v>
      </c>
    </row>
    <row r="41" spans="3:9">
      <c r="C41" t="s">
        <v>39</v>
      </c>
      <c r="D41" t="s">
        <v>45</v>
      </c>
      <c r="E41" t="s">
        <v>0</v>
      </c>
      <c r="H41" t="s">
        <v>182</v>
      </c>
      <c r="I41" t="s">
        <v>182</v>
      </c>
    </row>
    <row r="42" spans="3:9">
      <c r="C42" t="s">
        <v>40</v>
      </c>
      <c r="D42" t="s">
        <v>45</v>
      </c>
      <c r="E42" t="s">
        <v>0</v>
      </c>
      <c r="H42" t="s">
        <v>183</v>
      </c>
      <c r="I42" t="s">
        <v>183</v>
      </c>
    </row>
    <row r="43" spans="3:9">
      <c r="C43" t="s">
        <v>41</v>
      </c>
      <c r="D43" t="s">
        <v>45</v>
      </c>
      <c r="E43" t="s">
        <v>0</v>
      </c>
      <c r="H43" t="s">
        <v>189</v>
      </c>
      <c r="I43" t="s">
        <v>189</v>
      </c>
    </row>
    <row r="44" spans="3:9">
      <c r="C44" t="s">
        <v>42</v>
      </c>
      <c r="D44" t="s">
        <v>45</v>
      </c>
      <c r="E44" t="s">
        <v>0</v>
      </c>
      <c r="H44" t="s">
        <v>203</v>
      </c>
      <c r="I44" t="s">
        <v>203</v>
      </c>
    </row>
    <row r="45" spans="3:9">
      <c r="C45" t="s">
        <v>43</v>
      </c>
      <c r="D45" t="s">
        <v>45</v>
      </c>
      <c r="E45" t="s">
        <v>0</v>
      </c>
      <c r="H45" t="s">
        <v>256</v>
      </c>
      <c r="I45" t="s">
        <v>256</v>
      </c>
    </row>
    <row r="46" spans="3:9">
      <c r="C46" t="s">
        <v>44</v>
      </c>
      <c r="D46" t="s">
        <v>45</v>
      </c>
      <c r="E46" t="s">
        <v>0</v>
      </c>
      <c r="H46" t="s">
        <v>210</v>
      </c>
      <c r="I46" t="s">
        <v>210</v>
      </c>
    </row>
    <row r="47" spans="3:9">
      <c r="C47" t="s">
        <v>46</v>
      </c>
      <c r="D47" t="s">
        <v>48</v>
      </c>
      <c r="E47" t="s">
        <v>223</v>
      </c>
      <c r="H47" t="s">
        <v>213</v>
      </c>
      <c r="I47" t="s">
        <v>213</v>
      </c>
    </row>
    <row r="48" spans="3:9">
      <c r="C48" t="s">
        <v>47</v>
      </c>
      <c r="D48" t="s">
        <v>48</v>
      </c>
      <c r="E48" t="s">
        <v>223</v>
      </c>
      <c r="H48" t="s">
        <v>215</v>
      </c>
      <c r="I48" t="s">
        <v>215</v>
      </c>
    </row>
    <row r="49" spans="3:5">
      <c r="C49" t="s">
        <v>49</v>
      </c>
      <c r="D49" t="s">
        <v>221</v>
      </c>
      <c r="E49" t="s">
        <v>223</v>
      </c>
    </row>
    <row r="50" spans="3:5">
      <c r="C50" t="s">
        <v>50</v>
      </c>
      <c r="D50" t="s">
        <v>221</v>
      </c>
      <c r="E50" t="s">
        <v>223</v>
      </c>
    </row>
    <row r="51" spans="3:5">
      <c r="C51" t="s">
        <v>51</v>
      </c>
      <c r="D51" t="s">
        <v>221</v>
      </c>
      <c r="E51" t="s">
        <v>223</v>
      </c>
    </row>
    <row r="52" spans="3:5">
      <c r="C52" t="s">
        <v>453</v>
      </c>
      <c r="D52" t="s">
        <v>221</v>
      </c>
      <c r="E52" t="s">
        <v>223</v>
      </c>
    </row>
    <row r="53" spans="3:5">
      <c r="C53" t="s">
        <v>52</v>
      </c>
      <c r="D53" t="s">
        <v>221</v>
      </c>
      <c r="E53" t="s">
        <v>223</v>
      </c>
    </row>
    <row r="54" spans="3:5">
      <c r="C54" t="s">
        <v>53</v>
      </c>
      <c r="D54" t="s">
        <v>221</v>
      </c>
      <c r="E54" t="s">
        <v>223</v>
      </c>
    </row>
    <row r="55" spans="3:5">
      <c r="C55" t="s">
        <v>54</v>
      </c>
      <c r="D55" t="s">
        <v>221</v>
      </c>
      <c r="E55" t="s">
        <v>223</v>
      </c>
    </row>
    <row r="56" spans="3:5">
      <c r="C56" t="s">
        <v>55</v>
      </c>
      <c r="D56" t="s">
        <v>221</v>
      </c>
      <c r="E56" t="s">
        <v>223</v>
      </c>
    </row>
    <row r="57" spans="3:5">
      <c r="C57" t="s">
        <v>56</v>
      </c>
      <c r="D57" t="s">
        <v>221</v>
      </c>
      <c r="E57" t="s">
        <v>223</v>
      </c>
    </row>
    <row r="58" spans="3:5">
      <c r="C58" t="s">
        <v>57</v>
      </c>
      <c r="D58" t="s">
        <v>221</v>
      </c>
      <c r="E58" t="s">
        <v>223</v>
      </c>
    </row>
    <row r="59" spans="3:5">
      <c r="C59" t="s">
        <v>58</v>
      </c>
      <c r="D59" t="s">
        <v>221</v>
      </c>
      <c r="E59" t="s">
        <v>223</v>
      </c>
    </row>
    <row r="60" spans="3:5">
      <c r="C60" t="s">
        <v>59</v>
      </c>
      <c r="D60" t="s">
        <v>59</v>
      </c>
      <c r="E60" t="s">
        <v>223</v>
      </c>
    </row>
    <row r="61" spans="3:5">
      <c r="C61" t="s">
        <v>60</v>
      </c>
      <c r="D61" t="s">
        <v>70</v>
      </c>
      <c r="E61" t="s">
        <v>223</v>
      </c>
    </row>
    <row r="62" spans="3:5">
      <c r="C62" t="s">
        <v>61</v>
      </c>
      <c r="D62" t="s">
        <v>70</v>
      </c>
      <c r="E62" t="s">
        <v>223</v>
      </c>
    </row>
    <row r="63" spans="3:5">
      <c r="C63" t="s">
        <v>62</v>
      </c>
      <c r="D63" t="s">
        <v>67</v>
      </c>
      <c r="E63" t="s">
        <v>223</v>
      </c>
    </row>
    <row r="64" spans="3:5">
      <c r="C64" t="s">
        <v>63</v>
      </c>
      <c r="D64" t="s">
        <v>67</v>
      </c>
      <c r="E64" t="s">
        <v>223</v>
      </c>
    </row>
    <row r="65" spans="3:5">
      <c r="C65" t="s">
        <v>64</v>
      </c>
      <c r="D65" t="s">
        <v>67</v>
      </c>
      <c r="E65" t="s">
        <v>223</v>
      </c>
    </row>
    <row r="66" spans="3:5">
      <c r="C66" t="s">
        <v>65</v>
      </c>
      <c r="D66" t="s">
        <v>67</v>
      </c>
      <c r="E66" t="s">
        <v>223</v>
      </c>
    </row>
    <row r="67" spans="3:5">
      <c r="C67" t="s">
        <v>66</v>
      </c>
      <c r="D67" t="s">
        <v>67</v>
      </c>
      <c r="E67" t="s">
        <v>223</v>
      </c>
    </row>
    <row r="68" spans="3:5">
      <c r="C68" t="s">
        <v>68</v>
      </c>
      <c r="D68" t="s">
        <v>70</v>
      </c>
      <c r="E68" t="s">
        <v>223</v>
      </c>
    </row>
    <row r="69" spans="3:5">
      <c r="C69" t="s">
        <v>69</v>
      </c>
      <c r="D69" t="s">
        <v>70</v>
      </c>
      <c r="E69" t="s">
        <v>223</v>
      </c>
    </row>
    <row r="70" spans="3:5">
      <c r="C70" t="s">
        <v>73</v>
      </c>
      <c r="D70" t="s">
        <v>75</v>
      </c>
      <c r="E70" t="s">
        <v>224</v>
      </c>
    </row>
    <row r="71" spans="3:5">
      <c r="C71" t="s">
        <v>74</v>
      </c>
      <c r="D71" t="s">
        <v>75</v>
      </c>
      <c r="E71" t="s">
        <v>224</v>
      </c>
    </row>
    <row r="72" spans="3:5">
      <c r="C72" t="s">
        <v>76</v>
      </c>
      <c r="D72" t="s">
        <v>79</v>
      </c>
      <c r="E72" t="s">
        <v>224</v>
      </c>
    </row>
    <row r="73" spans="3:5">
      <c r="C73" t="s">
        <v>77</v>
      </c>
      <c r="D73" t="s">
        <v>79</v>
      </c>
      <c r="E73" t="s">
        <v>224</v>
      </c>
    </row>
    <row r="74" spans="3:5">
      <c r="C74" t="s">
        <v>78</v>
      </c>
      <c r="D74" t="s">
        <v>79</v>
      </c>
      <c r="E74" t="s">
        <v>224</v>
      </c>
    </row>
    <row r="75" spans="3:5">
      <c r="C75" t="s">
        <v>80</v>
      </c>
      <c r="D75" t="s">
        <v>85</v>
      </c>
      <c r="E75" t="s">
        <v>224</v>
      </c>
    </row>
    <row r="76" spans="3:5">
      <c r="C76" t="s">
        <v>81</v>
      </c>
      <c r="D76" t="s">
        <v>85</v>
      </c>
      <c r="E76" t="s">
        <v>224</v>
      </c>
    </row>
    <row r="77" spans="3:5">
      <c r="C77" t="s">
        <v>82</v>
      </c>
      <c r="D77" t="s">
        <v>85</v>
      </c>
      <c r="E77" t="s">
        <v>224</v>
      </c>
    </row>
    <row r="78" spans="3:5">
      <c r="C78" t="s">
        <v>83</v>
      </c>
      <c r="D78" t="s">
        <v>85</v>
      </c>
      <c r="E78" t="s">
        <v>224</v>
      </c>
    </row>
    <row r="79" spans="3:5">
      <c r="C79" t="s">
        <v>84</v>
      </c>
      <c r="D79" t="s">
        <v>85</v>
      </c>
      <c r="E79" t="s">
        <v>224</v>
      </c>
    </row>
    <row r="80" spans="3:5">
      <c r="C80" t="s">
        <v>86</v>
      </c>
      <c r="D80" t="s">
        <v>92</v>
      </c>
      <c r="E80" t="s">
        <v>224</v>
      </c>
    </row>
    <row r="81" spans="3:5">
      <c r="C81" t="s">
        <v>87</v>
      </c>
      <c r="D81" t="s">
        <v>92</v>
      </c>
      <c r="E81" t="s">
        <v>224</v>
      </c>
    </row>
    <row r="82" spans="3:5">
      <c r="C82" t="s">
        <v>88</v>
      </c>
      <c r="D82" t="s">
        <v>92</v>
      </c>
      <c r="E82" t="s">
        <v>224</v>
      </c>
    </row>
    <row r="83" spans="3:5">
      <c r="C83" t="s">
        <v>89</v>
      </c>
      <c r="D83" t="s">
        <v>92</v>
      </c>
      <c r="E83" t="s">
        <v>224</v>
      </c>
    </row>
    <row r="84" spans="3:5">
      <c r="C84" t="s">
        <v>90</v>
      </c>
      <c r="D84" t="s">
        <v>92</v>
      </c>
      <c r="E84" t="s">
        <v>224</v>
      </c>
    </row>
    <row r="85" spans="3:5">
      <c r="C85" t="s">
        <v>91</v>
      </c>
      <c r="D85" t="s">
        <v>92</v>
      </c>
      <c r="E85" t="s">
        <v>224</v>
      </c>
    </row>
    <row r="86" spans="3:5">
      <c r="C86" t="s">
        <v>93</v>
      </c>
      <c r="D86" t="s">
        <v>101</v>
      </c>
      <c r="E86" t="s">
        <v>224</v>
      </c>
    </row>
    <row r="87" spans="3:5">
      <c r="C87" t="s">
        <v>94</v>
      </c>
      <c r="D87" t="s">
        <v>101</v>
      </c>
      <c r="E87" t="s">
        <v>224</v>
      </c>
    </row>
    <row r="88" spans="3:5">
      <c r="C88" t="s">
        <v>95</v>
      </c>
      <c r="D88" t="s">
        <v>101</v>
      </c>
      <c r="E88" t="s">
        <v>224</v>
      </c>
    </row>
    <row r="89" spans="3:5">
      <c r="C89" t="s">
        <v>96</v>
      </c>
      <c r="D89" t="s">
        <v>101</v>
      </c>
      <c r="E89" t="s">
        <v>224</v>
      </c>
    </row>
    <row r="90" spans="3:5">
      <c r="C90" t="s">
        <v>97</v>
      </c>
      <c r="D90" t="s">
        <v>101</v>
      </c>
      <c r="E90" t="s">
        <v>224</v>
      </c>
    </row>
    <row r="91" spans="3:5">
      <c r="C91" t="s">
        <v>98</v>
      </c>
      <c r="D91" t="s">
        <v>101</v>
      </c>
      <c r="E91" t="s">
        <v>224</v>
      </c>
    </row>
    <row r="92" spans="3:5">
      <c r="C92" t="s">
        <v>99</v>
      </c>
      <c r="D92" t="s">
        <v>101</v>
      </c>
      <c r="E92" t="s">
        <v>224</v>
      </c>
    </row>
    <row r="93" spans="3:5">
      <c r="C93" t="s">
        <v>100</v>
      </c>
      <c r="D93" t="s">
        <v>101</v>
      </c>
      <c r="E93" t="s">
        <v>224</v>
      </c>
    </row>
    <row r="94" spans="3:5">
      <c r="C94" t="s">
        <v>102</v>
      </c>
      <c r="D94" t="s">
        <v>111</v>
      </c>
      <c r="E94" t="s">
        <v>224</v>
      </c>
    </row>
    <row r="95" spans="3:5">
      <c r="C95" t="s">
        <v>103</v>
      </c>
      <c r="D95" t="s">
        <v>111</v>
      </c>
      <c r="E95" t="s">
        <v>224</v>
      </c>
    </row>
    <row r="96" spans="3:5">
      <c r="C96" t="s">
        <v>104</v>
      </c>
      <c r="D96" t="s">
        <v>111</v>
      </c>
      <c r="E96" t="s">
        <v>224</v>
      </c>
    </row>
    <row r="97" spans="3:5">
      <c r="C97" t="s">
        <v>105</v>
      </c>
      <c r="D97" t="s">
        <v>111</v>
      </c>
      <c r="E97" t="s">
        <v>224</v>
      </c>
    </row>
    <row r="98" spans="3:5">
      <c r="C98" t="s">
        <v>106</v>
      </c>
      <c r="D98" t="s">
        <v>111</v>
      </c>
      <c r="E98" t="s">
        <v>224</v>
      </c>
    </row>
    <row r="99" spans="3:5">
      <c r="C99" t="s">
        <v>107</v>
      </c>
      <c r="D99" t="s">
        <v>111</v>
      </c>
      <c r="E99" t="s">
        <v>224</v>
      </c>
    </row>
    <row r="100" spans="3:5">
      <c r="C100" t="s">
        <v>108</v>
      </c>
      <c r="D100" t="s">
        <v>111</v>
      </c>
      <c r="E100" t="s">
        <v>224</v>
      </c>
    </row>
    <row r="101" spans="3:5">
      <c r="C101" t="s">
        <v>109</v>
      </c>
      <c r="D101" t="s">
        <v>111</v>
      </c>
      <c r="E101" t="s">
        <v>224</v>
      </c>
    </row>
    <row r="102" spans="3:5">
      <c r="C102" t="s">
        <v>110</v>
      </c>
      <c r="D102" t="s">
        <v>111</v>
      </c>
      <c r="E102" t="s">
        <v>224</v>
      </c>
    </row>
    <row r="103" spans="3:5">
      <c r="C103" t="s">
        <v>112</v>
      </c>
      <c r="D103" t="s">
        <v>119</v>
      </c>
      <c r="E103" t="s">
        <v>224</v>
      </c>
    </row>
    <row r="104" spans="3:5">
      <c r="C104" t="s">
        <v>113</v>
      </c>
      <c r="D104" t="s">
        <v>119</v>
      </c>
      <c r="E104" t="s">
        <v>224</v>
      </c>
    </row>
    <row r="105" spans="3:5">
      <c r="C105" t="s">
        <v>114</v>
      </c>
      <c r="D105" t="s">
        <v>119</v>
      </c>
      <c r="E105" t="s">
        <v>224</v>
      </c>
    </row>
    <row r="106" spans="3:5">
      <c r="C106" t="s">
        <v>115</v>
      </c>
      <c r="D106" t="s">
        <v>119</v>
      </c>
      <c r="E106" t="s">
        <v>224</v>
      </c>
    </row>
    <row r="107" spans="3:5">
      <c r="C107" t="s">
        <v>116</v>
      </c>
      <c r="D107" t="s">
        <v>119</v>
      </c>
      <c r="E107" t="s">
        <v>224</v>
      </c>
    </row>
    <row r="108" spans="3:5">
      <c r="C108" t="s">
        <v>117</v>
      </c>
      <c r="D108" t="s">
        <v>119</v>
      </c>
      <c r="E108" t="s">
        <v>224</v>
      </c>
    </row>
    <row r="109" spans="3:5">
      <c r="C109" t="s">
        <v>118</v>
      </c>
      <c r="D109" t="s">
        <v>119</v>
      </c>
      <c r="E109" t="s">
        <v>224</v>
      </c>
    </row>
    <row r="110" spans="3:5">
      <c r="C110" t="s">
        <v>120</v>
      </c>
      <c r="D110" t="s">
        <v>128</v>
      </c>
      <c r="E110" t="s">
        <v>224</v>
      </c>
    </row>
    <row r="111" spans="3:5">
      <c r="C111" t="s">
        <v>121</v>
      </c>
      <c r="D111" t="s">
        <v>128</v>
      </c>
      <c r="E111" t="s">
        <v>224</v>
      </c>
    </row>
    <row r="112" spans="3:5">
      <c r="C112" t="s">
        <v>122</v>
      </c>
      <c r="D112" t="s">
        <v>128</v>
      </c>
      <c r="E112" t="s">
        <v>224</v>
      </c>
    </row>
    <row r="113" spans="3:5">
      <c r="C113" t="s">
        <v>123</v>
      </c>
      <c r="D113" t="s">
        <v>128</v>
      </c>
      <c r="E113" t="s">
        <v>224</v>
      </c>
    </row>
    <row r="114" spans="3:5">
      <c r="C114" t="s">
        <v>124</v>
      </c>
      <c r="D114" t="s">
        <v>128</v>
      </c>
      <c r="E114" t="s">
        <v>224</v>
      </c>
    </row>
    <row r="115" spans="3:5">
      <c r="C115" t="s">
        <v>125</v>
      </c>
      <c r="D115" t="s">
        <v>128</v>
      </c>
      <c r="E115" t="s">
        <v>224</v>
      </c>
    </row>
    <row r="116" spans="3:5">
      <c r="C116" t="s">
        <v>126</v>
      </c>
      <c r="D116" t="s">
        <v>128</v>
      </c>
      <c r="E116" t="s">
        <v>224</v>
      </c>
    </row>
    <row r="117" spans="3:5">
      <c r="C117" t="s">
        <v>127</v>
      </c>
      <c r="D117" t="s">
        <v>128</v>
      </c>
      <c r="E117" t="s">
        <v>224</v>
      </c>
    </row>
    <row r="118" spans="3:5">
      <c r="C118" t="s">
        <v>129</v>
      </c>
      <c r="D118" t="s">
        <v>133</v>
      </c>
      <c r="E118" t="s">
        <v>224</v>
      </c>
    </row>
    <row r="119" spans="3:5">
      <c r="C119" t="s">
        <v>130</v>
      </c>
      <c r="D119" t="s">
        <v>133</v>
      </c>
      <c r="E119" t="s">
        <v>224</v>
      </c>
    </row>
    <row r="120" spans="3:5">
      <c r="C120" t="s">
        <v>131</v>
      </c>
      <c r="D120" t="s">
        <v>133</v>
      </c>
      <c r="E120" t="s">
        <v>224</v>
      </c>
    </row>
    <row r="121" spans="3:5">
      <c r="C121" t="s">
        <v>132</v>
      </c>
      <c r="D121" t="s">
        <v>133</v>
      </c>
      <c r="E121" t="s">
        <v>224</v>
      </c>
    </row>
    <row r="122" spans="3:5">
      <c r="C122" t="s">
        <v>134</v>
      </c>
      <c r="D122" t="s">
        <v>138</v>
      </c>
      <c r="E122" t="s">
        <v>226</v>
      </c>
    </row>
    <row r="123" spans="3:5">
      <c r="C123" t="s">
        <v>135</v>
      </c>
      <c r="D123" t="s">
        <v>138</v>
      </c>
      <c r="E123" t="s">
        <v>226</v>
      </c>
    </row>
    <row r="124" spans="3:5">
      <c r="C124" t="s">
        <v>136</v>
      </c>
      <c r="D124" t="s">
        <v>138</v>
      </c>
      <c r="E124" t="s">
        <v>226</v>
      </c>
    </row>
    <row r="125" spans="3:5">
      <c r="C125" t="s">
        <v>137</v>
      </c>
      <c r="D125" t="s">
        <v>138</v>
      </c>
      <c r="E125" t="s">
        <v>226</v>
      </c>
    </row>
    <row r="126" spans="3:5">
      <c r="C126" t="s">
        <v>139</v>
      </c>
      <c r="D126" t="s">
        <v>145</v>
      </c>
      <c r="E126" t="s">
        <v>225</v>
      </c>
    </row>
    <row r="127" spans="3:5">
      <c r="C127" t="s">
        <v>140</v>
      </c>
      <c r="D127" t="s">
        <v>145</v>
      </c>
      <c r="E127" t="s">
        <v>225</v>
      </c>
    </row>
    <row r="128" spans="3:5">
      <c r="C128" t="s">
        <v>141</v>
      </c>
      <c r="D128" t="s">
        <v>145</v>
      </c>
      <c r="E128" t="s">
        <v>225</v>
      </c>
    </row>
    <row r="129" spans="3:5">
      <c r="C129" t="s">
        <v>142</v>
      </c>
      <c r="D129" t="s">
        <v>145</v>
      </c>
      <c r="E129" t="s">
        <v>225</v>
      </c>
    </row>
    <row r="130" spans="3:5">
      <c r="C130" t="s">
        <v>143</v>
      </c>
      <c r="D130" t="s">
        <v>145</v>
      </c>
      <c r="E130" t="s">
        <v>225</v>
      </c>
    </row>
    <row r="131" spans="3:5">
      <c r="C131" t="s">
        <v>144</v>
      </c>
      <c r="D131" t="s">
        <v>145</v>
      </c>
      <c r="E131" t="s">
        <v>225</v>
      </c>
    </row>
    <row r="132" spans="3:5">
      <c r="C132" t="s">
        <v>146</v>
      </c>
      <c r="D132" t="s">
        <v>151</v>
      </c>
      <c r="E132" t="s">
        <v>227</v>
      </c>
    </row>
    <row r="133" spans="3:5">
      <c r="C133" t="s">
        <v>147</v>
      </c>
      <c r="D133" t="s">
        <v>151</v>
      </c>
      <c r="E133" t="s">
        <v>227</v>
      </c>
    </row>
    <row r="134" spans="3:5">
      <c r="C134" t="s">
        <v>148</v>
      </c>
      <c r="D134" t="s">
        <v>151</v>
      </c>
      <c r="E134" t="s">
        <v>227</v>
      </c>
    </row>
    <row r="135" spans="3:5">
      <c r="C135" t="s">
        <v>149</v>
      </c>
      <c r="D135" t="s">
        <v>151</v>
      </c>
      <c r="E135" t="s">
        <v>227</v>
      </c>
    </row>
    <row r="136" spans="3:5">
      <c r="C136" t="s">
        <v>150</v>
      </c>
      <c r="D136" t="s">
        <v>151</v>
      </c>
      <c r="E136" t="s">
        <v>227</v>
      </c>
    </row>
    <row r="137" spans="3:5">
      <c r="C137" t="s">
        <v>152</v>
      </c>
      <c r="D137" t="s">
        <v>156</v>
      </c>
      <c r="E137" t="s">
        <v>203</v>
      </c>
    </row>
    <row r="138" spans="3:5">
      <c r="C138" t="s">
        <v>153</v>
      </c>
      <c r="D138" t="s">
        <v>156</v>
      </c>
      <c r="E138" t="s">
        <v>203</v>
      </c>
    </row>
    <row r="139" spans="3:5">
      <c r="C139" t="s">
        <v>154</v>
      </c>
      <c r="D139" t="s">
        <v>156</v>
      </c>
      <c r="E139" t="s">
        <v>203</v>
      </c>
    </row>
    <row r="140" spans="3:5">
      <c r="C140" t="s">
        <v>155</v>
      </c>
      <c r="D140" t="s">
        <v>156</v>
      </c>
      <c r="E140" t="s">
        <v>203</v>
      </c>
    </row>
    <row r="141" spans="3:5">
      <c r="C141" t="s">
        <v>157</v>
      </c>
      <c r="D141" t="s">
        <v>159</v>
      </c>
      <c r="E141" t="s">
        <v>203</v>
      </c>
    </row>
    <row r="142" spans="3:5">
      <c r="C142" t="s">
        <v>158</v>
      </c>
      <c r="D142" t="s">
        <v>159</v>
      </c>
      <c r="E142" t="s">
        <v>203</v>
      </c>
    </row>
    <row r="143" spans="3:5">
      <c r="C143" t="s">
        <v>160</v>
      </c>
      <c r="D143" t="s">
        <v>164</v>
      </c>
      <c r="E143" t="s">
        <v>203</v>
      </c>
    </row>
    <row r="144" spans="3:5">
      <c r="C144" t="s">
        <v>161</v>
      </c>
      <c r="D144" t="s">
        <v>164</v>
      </c>
      <c r="E144" t="s">
        <v>203</v>
      </c>
    </row>
    <row r="145" spans="3:5">
      <c r="C145" t="s">
        <v>162</v>
      </c>
      <c r="D145" t="s">
        <v>164</v>
      </c>
      <c r="E145" t="s">
        <v>203</v>
      </c>
    </row>
    <row r="146" spans="3:5">
      <c r="C146" t="s">
        <v>163</v>
      </c>
      <c r="D146" t="s">
        <v>164</v>
      </c>
      <c r="E146" t="s">
        <v>203</v>
      </c>
    </row>
    <row r="147" spans="3:5">
      <c r="C147" t="s">
        <v>165</v>
      </c>
      <c r="D147" t="s">
        <v>170</v>
      </c>
      <c r="E147" t="s">
        <v>203</v>
      </c>
    </row>
    <row r="148" spans="3:5">
      <c r="C148" t="s">
        <v>166</v>
      </c>
      <c r="D148" t="s">
        <v>170</v>
      </c>
      <c r="E148" t="s">
        <v>203</v>
      </c>
    </row>
    <row r="149" spans="3:5">
      <c r="C149" t="s">
        <v>167</v>
      </c>
      <c r="D149" t="s">
        <v>170</v>
      </c>
      <c r="E149" t="s">
        <v>203</v>
      </c>
    </row>
    <row r="150" spans="3:5">
      <c r="C150" t="s">
        <v>168</v>
      </c>
      <c r="D150" t="s">
        <v>170</v>
      </c>
      <c r="E150" t="s">
        <v>203</v>
      </c>
    </row>
    <row r="151" spans="3:5">
      <c r="C151" t="s">
        <v>169</v>
      </c>
      <c r="D151" t="s">
        <v>170</v>
      </c>
      <c r="E151" t="s">
        <v>203</v>
      </c>
    </row>
    <row r="152" spans="3:5">
      <c r="C152" t="s">
        <v>171</v>
      </c>
      <c r="D152" t="s">
        <v>175</v>
      </c>
      <c r="E152" t="s">
        <v>228</v>
      </c>
    </row>
    <row r="153" spans="3:5">
      <c r="C153" t="s">
        <v>172</v>
      </c>
      <c r="D153" t="s">
        <v>175</v>
      </c>
      <c r="E153" t="s">
        <v>228</v>
      </c>
    </row>
    <row r="154" spans="3:5">
      <c r="C154" t="s">
        <v>173</v>
      </c>
      <c r="D154" t="s">
        <v>175</v>
      </c>
      <c r="E154" t="s">
        <v>228</v>
      </c>
    </row>
    <row r="155" spans="3:5">
      <c r="C155" t="s">
        <v>174</v>
      </c>
      <c r="D155" t="s">
        <v>175</v>
      </c>
      <c r="E155" t="s">
        <v>228</v>
      </c>
    </row>
    <row r="156" spans="3:5">
      <c r="C156" t="s">
        <v>176</v>
      </c>
      <c r="D156" t="s">
        <v>178</v>
      </c>
      <c r="E156" t="s">
        <v>203</v>
      </c>
    </row>
    <row r="157" spans="3:5">
      <c r="C157" t="s">
        <v>177</v>
      </c>
      <c r="D157" t="s">
        <v>178</v>
      </c>
      <c r="E157" t="s">
        <v>203</v>
      </c>
    </row>
    <row r="158" spans="3:5">
      <c r="C158" t="s">
        <v>179</v>
      </c>
      <c r="D158" t="s">
        <v>181</v>
      </c>
      <c r="E158" t="s">
        <v>203</v>
      </c>
    </row>
    <row r="159" spans="3:5">
      <c r="C159" t="s">
        <v>180</v>
      </c>
      <c r="D159" t="s">
        <v>181</v>
      </c>
      <c r="E159" t="s">
        <v>203</v>
      </c>
    </row>
    <row r="160" spans="3:5">
      <c r="C160" t="s">
        <v>181</v>
      </c>
      <c r="D160" t="s">
        <v>181</v>
      </c>
      <c r="E160" t="s">
        <v>203</v>
      </c>
    </row>
    <row r="161" spans="3:5">
      <c r="C161" t="s">
        <v>182</v>
      </c>
      <c r="D161" t="s">
        <v>182</v>
      </c>
      <c r="E161" t="s">
        <v>229</v>
      </c>
    </row>
    <row r="162" spans="3:5">
      <c r="C162" t="s">
        <v>183</v>
      </c>
      <c r="D162" t="s">
        <v>183</v>
      </c>
      <c r="E162" t="s">
        <v>203</v>
      </c>
    </row>
    <row r="163" spans="3:5">
      <c r="C163" t="s">
        <v>184</v>
      </c>
      <c r="D163" t="s">
        <v>189</v>
      </c>
      <c r="E163" t="s">
        <v>203</v>
      </c>
    </row>
    <row r="164" spans="3:5">
      <c r="C164" t="s">
        <v>185</v>
      </c>
      <c r="D164" t="s">
        <v>189</v>
      </c>
      <c r="E164" t="s">
        <v>203</v>
      </c>
    </row>
    <row r="165" spans="3:5">
      <c r="C165" t="s">
        <v>186</v>
      </c>
      <c r="D165" t="s">
        <v>189</v>
      </c>
      <c r="E165" t="s">
        <v>203</v>
      </c>
    </row>
    <row r="166" spans="3:5">
      <c r="C166" t="s">
        <v>187</v>
      </c>
      <c r="D166" t="s">
        <v>189</v>
      </c>
      <c r="E166" t="s">
        <v>203</v>
      </c>
    </row>
    <row r="167" spans="3:5">
      <c r="C167" t="s">
        <v>188</v>
      </c>
      <c r="D167" t="s">
        <v>189</v>
      </c>
      <c r="E167" t="s">
        <v>203</v>
      </c>
    </row>
    <row r="168" spans="3:5">
      <c r="C168" t="s">
        <v>190</v>
      </c>
      <c r="D168" t="s">
        <v>203</v>
      </c>
      <c r="E168" t="s">
        <v>203</v>
      </c>
    </row>
    <row r="169" spans="3:5">
      <c r="C169" t="s">
        <v>191</v>
      </c>
      <c r="D169" t="s">
        <v>203</v>
      </c>
      <c r="E169" t="s">
        <v>203</v>
      </c>
    </row>
    <row r="170" spans="3:5">
      <c r="C170" t="s">
        <v>192</v>
      </c>
      <c r="D170" t="s">
        <v>203</v>
      </c>
      <c r="E170" t="s">
        <v>203</v>
      </c>
    </row>
    <row r="171" spans="3:5">
      <c r="C171" t="s">
        <v>193</v>
      </c>
      <c r="D171" t="s">
        <v>203</v>
      </c>
      <c r="E171" t="s">
        <v>203</v>
      </c>
    </row>
    <row r="172" spans="3:5">
      <c r="C172" t="s">
        <v>194</v>
      </c>
      <c r="D172" t="s">
        <v>203</v>
      </c>
      <c r="E172" t="s">
        <v>203</v>
      </c>
    </row>
    <row r="173" spans="3:5">
      <c r="C173" t="s">
        <v>195</v>
      </c>
      <c r="D173" t="s">
        <v>203</v>
      </c>
      <c r="E173" t="s">
        <v>203</v>
      </c>
    </row>
    <row r="174" spans="3:5">
      <c r="C174" t="s">
        <v>196</v>
      </c>
      <c r="D174" t="s">
        <v>203</v>
      </c>
      <c r="E174" t="s">
        <v>203</v>
      </c>
    </row>
    <row r="175" spans="3:5">
      <c r="C175" t="s">
        <v>197</v>
      </c>
      <c r="D175" t="s">
        <v>203</v>
      </c>
      <c r="E175" t="s">
        <v>203</v>
      </c>
    </row>
    <row r="176" spans="3:5">
      <c r="C176" t="s">
        <v>198</v>
      </c>
      <c r="D176" t="s">
        <v>203</v>
      </c>
      <c r="E176" t="s">
        <v>203</v>
      </c>
    </row>
    <row r="177" spans="3:5">
      <c r="C177" t="s">
        <v>199</v>
      </c>
      <c r="D177" t="s">
        <v>203</v>
      </c>
      <c r="E177" t="s">
        <v>203</v>
      </c>
    </row>
    <row r="178" spans="3:5">
      <c r="C178" t="s">
        <v>200</v>
      </c>
      <c r="D178" t="s">
        <v>203</v>
      </c>
      <c r="E178" t="s">
        <v>203</v>
      </c>
    </row>
    <row r="179" spans="3:5">
      <c r="C179" t="s">
        <v>201</v>
      </c>
      <c r="D179" t="s">
        <v>203</v>
      </c>
      <c r="E179" t="s">
        <v>203</v>
      </c>
    </row>
    <row r="180" spans="3:5">
      <c r="C180" t="s">
        <v>202</v>
      </c>
      <c r="D180" t="s">
        <v>203</v>
      </c>
      <c r="E180" t="s">
        <v>203</v>
      </c>
    </row>
    <row r="181" spans="3:5">
      <c r="C181" t="s">
        <v>205</v>
      </c>
      <c r="D181" t="s">
        <v>256</v>
      </c>
      <c r="E181" t="s">
        <v>230</v>
      </c>
    </row>
    <row r="182" spans="3:5">
      <c r="C182" t="s">
        <v>206</v>
      </c>
      <c r="D182" t="s">
        <v>256</v>
      </c>
      <c r="E182" t="s">
        <v>230</v>
      </c>
    </row>
    <row r="183" spans="3:5">
      <c r="C183" t="s">
        <v>207</v>
      </c>
      <c r="D183" t="s">
        <v>256</v>
      </c>
      <c r="E183" t="s">
        <v>230</v>
      </c>
    </row>
    <row r="184" spans="3:5">
      <c r="C184" t="s">
        <v>208</v>
      </c>
      <c r="D184" t="s">
        <v>210</v>
      </c>
      <c r="E184" t="s">
        <v>231</v>
      </c>
    </row>
    <row r="185" spans="3:5">
      <c r="C185" t="s">
        <v>209</v>
      </c>
      <c r="D185" t="s">
        <v>210</v>
      </c>
      <c r="E185" t="s">
        <v>231</v>
      </c>
    </row>
    <row r="186" spans="3:5">
      <c r="C186" t="s">
        <v>211</v>
      </c>
      <c r="D186" t="s">
        <v>213</v>
      </c>
      <c r="E186" t="s">
        <v>232</v>
      </c>
    </row>
    <row r="187" spans="3:5">
      <c r="C187" t="s">
        <v>212</v>
      </c>
      <c r="D187" t="s">
        <v>213</v>
      </c>
      <c r="E187" t="s">
        <v>232</v>
      </c>
    </row>
    <row r="188" spans="3:5">
      <c r="C188" t="s">
        <v>214</v>
      </c>
      <c r="D188" t="s">
        <v>215</v>
      </c>
      <c r="E188" t="s">
        <v>233</v>
      </c>
    </row>
    <row r="224" spans="1:1">
      <c r="A224" t="s">
        <v>219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7524-49D7-422E-A5B6-B72D97ABC56E}">
  <dimension ref="A2:I71"/>
  <sheetViews>
    <sheetView showGridLines="0" workbookViewId="0"/>
  </sheetViews>
  <sheetFormatPr defaultRowHeight="14.5"/>
  <cols>
    <col min="1" max="2" width="1.7265625" customWidth="1"/>
    <col min="3" max="3" width="20" bestFit="1" customWidth="1"/>
    <col min="4" max="9" width="12.7265625" customWidth="1"/>
  </cols>
  <sheetData>
    <row r="2" spans="1:6" ht="5.15" customHeight="1"/>
    <row r="3" spans="1:6">
      <c r="A3" s="57"/>
      <c r="B3" s="57"/>
      <c r="C3" s="58" t="s">
        <v>746</v>
      </c>
      <c r="D3" s="57"/>
      <c r="E3" s="57"/>
      <c r="F3" s="57"/>
    </row>
    <row r="4" spans="1:6">
      <c r="A4" s="57"/>
      <c r="B4" s="57"/>
      <c r="C4" s="57" t="s">
        <v>305</v>
      </c>
      <c r="D4" s="57"/>
      <c r="E4" s="57"/>
      <c r="F4" s="57"/>
    </row>
    <row r="5" spans="1:6">
      <c r="C5" s="7"/>
      <c r="D5" s="7"/>
      <c r="E5" s="7"/>
      <c r="F5" s="7"/>
    </row>
    <row r="6" spans="1:6" ht="16">
      <c r="C6" s="59" t="s">
        <v>305</v>
      </c>
      <c r="D6" s="148"/>
      <c r="E6" s="148"/>
      <c r="F6" s="148"/>
    </row>
    <row r="7" spans="1:6" ht="5.15" customHeight="1">
      <c r="D7" s="265"/>
      <c r="E7" s="265"/>
      <c r="F7" s="265"/>
    </row>
    <row r="8" spans="1:6" ht="16">
      <c r="C8" s="236" t="s">
        <v>483</v>
      </c>
      <c r="D8" s="237"/>
      <c r="E8" s="237"/>
      <c r="F8" s="237"/>
    </row>
    <row r="9" spans="1:6" ht="5.15" customHeight="1">
      <c r="D9" s="265"/>
    </row>
    <row r="10" spans="1:6">
      <c r="C10" t="s">
        <v>482</v>
      </c>
      <c r="D10" s="266">
        <v>46247</v>
      </c>
    </row>
    <row r="11" spans="1:6">
      <c r="C11" t="s">
        <v>478</v>
      </c>
      <c r="D11" s="264">
        <v>2024</v>
      </c>
    </row>
    <row r="12" spans="1:6">
      <c r="C12" t="s">
        <v>479</v>
      </c>
      <c r="D12" s="264">
        <v>2025</v>
      </c>
    </row>
    <row r="13" spans="1:6">
      <c r="C13" t="s">
        <v>480</v>
      </c>
      <c r="D13" s="264" t="s">
        <v>490</v>
      </c>
    </row>
    <row r="14" spans="1:6">
      <c r="C14" t="s">
        <v>238</v>
      </c>
      <c r="D14" s="264" t="s">
        <v>491</v>
      </c>
    </row>
    <row r="15" spans="1:6">
      <c r="C15" t="s">
        <v>239</v>
      </c>
      <c r="D15" s="264" t="s">
        <v>492</v>
      </c>
    </row>
    <row r="16" spans="1:6">
      <c r="C16" t="s">
        <v>240</v>
      </c>
      <c r="D16" s="264" t="s">
        <v>493</v>
      </c>
    </row>
    <row r="17" spans="3:9">
      <c r="D17" s="22"/>
    </row>
    <row r="18" spans="3:9" ht="22">
      <c r="C18" t="s">
        <v>481</v>
      </c>
      <c r="D18" s="268" t="s">
        <v>495</v>
      </c>
      <c r="E18" s="269"/>
      <c r="F18" s="269"/>
    </row>
    <row r="21" spans="3:9" ht="16">
      <c r="C21" s="260" t="s">
        <v>324</v>
      </c>
      <c r="D21" s="260"/>
      <c r="E21" s="260"/>
      <c r="F21" s="260"/>
    </row>
    <row r="22" spans="3:9" ht="4" customHeight="1">
      <c r="C22" s="261"/>
      <c r="D22" s="261"/>
      <c r="E22" s="261"/>
      <c r="F22" s="261"/>
    </row>
    <row r="23" spans="3:9" ht="16">
      <c r="C23" s="262" t="s">
        <v>1187</v>
      </c>
      <c r="D23" s="263"/>
      <c r="E23" s="263"/>
      <c r="F23" s="263"/>
      <c r="G23" s="263"/>
      <c r="H23" s="263"/>
      <c r="I23" s="263"/>
    </row>
    <row r="24" spans="3:9" ht="16">
      <c r="C24" s="262"/>
      <c r="D24" s="263">
        <f>$D$11</f>
        <v>2024</v>
      </c>
      <c r="E24" s="263">
        <f>$D$12</f>
        <v>2025</v>
      </c>
      <c r="F24" s="263" t="s">
        <v>292</v>
      </c>
      <c r="G24" s="274">
        <v>1</v>
      </c>
      <c r="H24" s="274">
        <v>2</v>
      </c>
      <c r="I24" s="274">
        <v>3</v>
      </c>
    </row>
    <row r="25" spans="3:9" ht="4" customHeight="1">
      <c r="C25" s="261"/>
      <c r="D25" s="261"/>
      <c r="E25" s="261"/>
      <c r="F25" s="261"/>
      <c r="G25" s="261"/>
      <c r="H25" s="261"/>
      <c r="I25" s="261"/>
    </row>
    <row r="26" spans="3:9">
      <c r="C26" t="s">
        <v>488</v>
      </c>
      <c r="D26" s="9">
        <f>SUMIFS('Detailed P&amp;L'!$11:$11,'Detailed P&amp;L'!$3:$3,D$45)</f>
        <v>0</v>
      </c>
      <c r="E26" s="9">
        <f>SUMIFS('Detailed P&amp;L'!$11:$11,'Detailed P&amp;L'!$3:$3,E$45)</f>
        <v>0</v>
      </c>
      <c r="F26" s="9">
        <f>SUMIFS('Detailed P&amp;L'!$11:$11,'Detailed P&amp;L'!$3:$3,F$45)</f>
        <v>305</v>
      </c>
      <c r="G26" s="9">
        <f>SUMIFS('Detailed P&amp;L'!$11:$11,'Detailed P&amp;L'!$3:$3,G$45)</f>
        <v>1499.9999999999998</v>
      </c>
      <c r="H26" s="9">
        <f>SUMIFS('Detailed P&amp;L'!$11:$11,'Detailed P&amp;L'!$3:$3,H$45)</f>
        <v>1750</v>
      </c>
      <c r="I26" s="9">
        <f>SUMIFS('Detailed P&amp;L'!$11:$11,'Detailed P&amp;L'!$3:$3,I$45)</f>
        <v>2000</v>
      </c>
    </row>
    <row r="27" spans="3:9">
      <c r="C27" t="s">
        <v>477</v>
      </c>
      <c r="D27" s="9">
        <f>'Detailed P&amp;L'!BZ11</f>
        <v>0</v>
      </c>
      <c r="E27" s="9">
        <f>'Detailed P&amp;L'!CA11</f>
        <v>0</v>
      </c>
      <c r="F27" s="9">
        <f>'Detailed P&amp;L'!CB11</f>
        <v>0</v>
      </c>
      <c r="G27" s="9">
        <f>'Detailed P&amp;L'!CC11</f>
        <v>1500</v>
      </c>
      <c r="H27" s="9">
        <f>'Detailed P&amp;L'!CD11</f>
        <v>1750</v>
      </c>
      <c r="I27" s="9">
        <f>'Detailed P&amp;L'!CE11</f>
        <v>2000</v>
      </c>
    </row>
    <row r="28" spans="3:9" s="267" customFormat="1" ht="10.5">
      <c r="C28" s="267" t="s">
        <v>489</v>
      </c>
      <c r="D28" s="267" t="b">
        <f>AVERAGE(D26:D27)=D26</f>
        <v>1</v>
      </c>
      <c r="E28" s="267" t="b">
        <f t="shared" ref="E28:I28" si="0">AVERAGE(E26:E27)=E26</f>
        <v>1</v>
      </c>
      <c r="F28" s="382" t="s">
        <v>1190</v>
      </c>
      <c r="G28" s="267" t="b">
        <f t="shared" si="0"/>
        <v>1</v>
      </c>
      <c r="H28" s="267" t="b">
        <f t="shared" si="0"/>
        <v>1</v>
      </c>
      <c r="I28" s="267" t="b">
        <f t="shared" si="0"/>
        <v>1</v>
      </c>
    </row>
    <row r="30" spans="3:9" ht="16">
      <c r="C30" s="262" t="s">
        <v>1188</v>
      </c>
      <c r="D30" s="263"/>
      <c r="E30" s="263"/>
      <c r="F30" s="263"/>
      <c r="G30" s="263"/>
      <c r="H30" s="263"/>
      <c r="I30" s="263"/>
    </row>
    <row r="31" spans="3:9" ht="16">
      <c r="C31" s="262"/>
      <c r="D31" s="263">
        <f>$D$11</f>
        <v>2024</v>
      </c>
      <c r="E31" s="263">
        <f>$D$12</f>
        <v>2025</v>
      </c>
      <c r="F31" s="263" t="s">
        <v>292</v>
      </c>
      <c r="G31" s="274">
        <v>1</v>
      </c>
      <c r="H31" s="274">
        <v>2</v>
      </c>
      <c r="I31" s="274">
        <v>3</v>
      </c>
    </row>
    <row r="32" spans="3:9" ht="4" customHeight="1">
      <c r="C32" s="261"/>
      <c r="D32" s="261"/>
      <c r="E32" s="261"/>
      <c r="F32" s="261"/>
      <c r="G32" s="261"/>
      <c r="H32" s="261"/>
      <c r="I32" s="261"/>
    </row>
    <row r="33" spans="3:9">
      <c r="C33" t="s">
        <v>488</v>
      </c>
      <c r="D33" s="9">
        <f>SUMIFS('Detailed P&amp;L'!$15:$15,'Detailed P&amp;L'!$3:$3,D$45)</f>
        <v>0</v>
      </c>
      <c r="E33" s="9">
        <f>SUMIFS('Detailed P&amp;L'!$15:$15,'Detailed P&amp;L'!$3:$3,E$45)</f>
        <v>0</v>
      </c>
      <c r="F33" s="9">
        <f>SUMIFS('Detailed P&amp;L'!$15:$15,'Detailed P&amp;L'!$3:$3,F$45)</f>
        <v>41</v>
      </c>
      <c r="G33" s="9">
        <f>SUMIFS('Detailed P&amp;L'!$15:$15,'Detailed P&amp;L'!$3:$3,G$45)</f>
        <v>300</v>
      </c>
      <c r="H33" s="9">
        <f>SUMIFS('Detailed P&amp;L'!$15:$15,'Detailed P&amp;L'!$3:$3,H$45)</f>
        <v>350</v>
      </c>
      <c r="I33" s="9">
        <f>SUMIFS('Detailed P&amp;L'!$15:$15,'Detailed P&amp;L'!$3:$3,I$45)</f>
        <v>400</v>
      </c>
    </row>
    <row r="34" spans="3:9">
      <c r="C34" t="s">
        <v>477</v>
      </c>
      <c r="D34" s="9">
        <f>'Detailed P&amp;L'!BZ15</f>
        <v>0</v>
      </c>
      <c r="E34" s="9">
        <f>'Detailed P&amp;L'!CA15</f>
        <v>0</v>
      </c>
      <c r="F34" s="9">
        <f>'Detailed P&amp;L'!CB15</f>
        <v>0</v>
      </c>
      <c r="G34" s="9">
        <f>'Detailed P&amp;L'!CC15</f>
        <v>300</v>
      </c>
      <c r="H34" s="9">
        <f>'Detailed P&amp;L'!CD15</f>
        <v>350</v>
      </c>
      <c r="I34" s="9">
        <f>'Detailed P&amp;L'!CE15</f>
        <v>400</v>
      </c>
    </row>
    <row r="35" spans="3:9" s="267" customFormat="1" ht="10.5">
      <c r="C35" s="267" t="s">
        <v>489</v>
      </c>
      <c r="D35" s="267" t="b">
        <f>AVERAGE(D33:D34)=D33</f>
        <v>1</v>
      </c>
      <c r="E35" s="267" t="b">
        <f t="shared" ref="E35" si="1">AVERAGE(E33:E34)=E33</f>
        <v>1</v>
      </c>
      <c r="F35" s="382" t="s">
        <v>1190</v>
      </c>
      <c r="G35" s="267" t="b">
        <f t="shared" ref="G35" si="2">AVERAGE(G33:G34)=G33</f>
        <v>1</v>
      </c>
      <c r="H35" s="267" t="b">
        <f t="shared" ref="H35" si="3">AVERAGE(H33:H34)=H33</f>
        <v>1</v>
      </c>
      <c r="I35" s="267" t="b">
        <f t="shared" ref="I35" si="4">AVERAGE(I33:I34)=I33</f>
        <v>1</v>
      </c>
    </row>
    <row r="37" spans="3:9" ht="16">
      <c r="C37" s="262" t="s">
        <v>1189</v>
      </c>
      <c r="D37" s="263"/>
      <c r="E37" s="263"/>
      <c r="F37" s="263"/>
      <c r="G37" s="263"/>
      <c r="H37" s="263"/>
      <c r="I37" s="263"/>
    </row>
    <row r="38" spans="3:9" ht="16">
      <c r="C38" s="262"/>
      <c r="D38" s="263">
        <f>$D$11</f>
        <v>2024</v>
      </c>
      <c r="E38" s="263">
        <f>$D$12</f>
        <v>2025</v>
      </c>
      <c r="F38" s="263" t="s">
        <v>292</v>
      </c>
      <c r="G38" s="274">
        <v>1</v>
      </c>
      <c r="H38" s="274">
        <v>2</v>
      </c>
      <c r="I38" s="274">
        <v>3</v>
      </c>
    </row>
    <row r="39" spans="3:9" ht="4" customHeight="1">
      <c r="C39" s="261"/>
      <c r="D39" s="261"/>
      <c r="E39" s="261"/>
      <c r="F39" s="261"/>
      <c r="G39" s="261"/>
      <c r="H39" s="261"/>
      <c r="I39" s="261"/>
    </row>
    <row r="40" spans="3:9">
      <c r="C40" t="s">
        <v>488</v>
      </c>
      <c r="D40" s="9">
        <f>SUMIFS('Detailed P&amp;L'!$19:$19,'Detailed P&amp;L'!$3:$3,D$45)</f>
        <v>0</v>
      </c>
      <c r="E40" s="9">
        <f>SUMIFS('Detailed P&amp;L'!$19:$19,'Detailed P&amp;L'!$3:$3,E$45)</f>
        <v>0</v>
      </c>
      <c r="F40" s="9">
        <f>SUMIFS('Detailed P&amp;L'!$19:$19,'Detailed P&amp;L'!$3:$3,F$45)</f>
        <v>0</v>
      </c>
      <c r="G40" s="9">
        <f>SUMIFS('Detailed P&amp;L'!$19:$19,'Detailed P&amp;L'!$3:$3,G$45)</f>
        <v>80</v>
      </c>
      <c r="H40" s="9">
        <f>SUMIFS('Detailed P&amp;L'!$19:$19,'Detailed P&amp;L'!$3:$3,H$45)</f>
        <v>90</v>
      </c>
      <c r="I40" s="9">
        <f>SUMIFS('Detailed P&amp;L'!$19:$19,'Detailed P&amp;L'!$3:$3,I$45)</f>
        <v>100</v>
      </c>
    </row>
    <row r="41" spans="3:9">
      <c r="C41" t="s">
        <v>477</v>
      </c>
      <c r="D41" s="9">
        <f>'Detailed P&amp;L'!BZ19</f>
        <v>0</v>
      </c>
      <c r="E41" s="9">
        <f>'Detailed P&amp;L'!CA19</f>
        <v>0</v>
      </c>
      <c r="F41" s="9">
        <f>'Detailed P&amp;L'!CB19</f>
        <v>0</v>
      </c>
      <c r="G41" s="9">
        <f>'Detailed P&amp;L'!CC19</f>
        <v>80</v>
      </c>
      <c r="H41" s="9">
        <f>'Detailed P&amp;L'!CD19</f>
        <v>90</v>
      </c>
      <c r="I41" s="9">
        <f>'Detailed P&amp;L'!CE19</f>
        <v>100</v>
      </c>
    </row>
    <row r="42" spans="3:9" s="267" customFormat="1" ht="10.5">
      <c r="C42" s="267" t="s">
        <v>489</v>
      </c>
      <c r="D42" s="267" t="b">
        <f>AVERAGE(D40:D41)=D40</f>
        <v>1</v>
      </c>
      <c r="E42" s="267" t="b">
        <f t="shared" ref="E42" si="5">AVERAGE(E40:E41)=E40</f>
        <v>1</v>
      </c>
      <c r="F42" s="267" t="b">
        <f t="shared" ref="F42" si="6">AVERAGE(F40:F41)=F40</f>
        <v>1</v>
      </c>
      <c r="G42" s="267" t="b">
        <f t="shared" ref="G42" si="7">AVERAGE(G40:G41)=G40</f>
        <v>1</v>
      </c>
      <c r="H42" s="267" t="b">
        <f t="shared" ref="H42" si="8">AVERAGE(H40:H41)=H40</f>
        <v>1</v>
      </c>
      <c r="I42" s="267" t="b">
        <f t="shared" ref="I42" si="9">AVERAGE(I40:I41)=I40</f>
        <v>1</v>
      </c>
    </row>
    <row r="44" spans="3:9" ht="16">
      <c r="C44" s="262" t="s">
        <v>475</v>
      </c>
      <c r="D44" s="263"/>
      <c r="E44" s="263"/>
      <c r="F44" s="263"/>
      <c r="G44" s="263"/>
      <c r="H44" s="263"/>
      <c r="I44" s="263"/>
    </row>
    <row r="45" spans="3:9" ht="16">
      <c r="C45" s="262"/>
      <c r="D45" s="263">
        <f>$D$11</f>
        <v>2024</v>
      </c>
      <c r="E45" s="263">
        <f>$D$12</f>
        <v>2025</v>
      </c>
      <c r="F45" s="263" t="s">
        <v>292</v>
      </c>
      <c r="G45" s="274">
        <v>1</v>
      </c>
      <c r="H45" s="274">
        <v>2</v>
      </c>
      <c r="I45" s="274">
        <v>3</v>
      </c>
    </row>
    <row r="46" spans="3:9" ht="4" customHeight="1">
      <c r="C46" s="261"/>
      <c r="D46" s="261"/>
      <c r="E46" s="261"/>
      <c r="F46" s="261"/>
      <c r="G46" s="261"/>
      <c r="H46" s="261"/>
      <c r="I46" s="261"/>
    </row>
    <row r="47" spans="3:9">
      <c r="C47" t="s">
        <v>476</v>
      </c>
      <c r="D47" s="9">
        <f>'Revenue Analysis'!D13</f>
        <v>42</v>
      </c>
      <c r="E47" s="9">
        <f>'Revenue Analysis'!E13</f>
        <v>43</v>
      </c>
      <c r="F47" s="9">
        <f>'Revenue Analysis'!F13</f>
        <v>39</v>
      </c>
      <c r="G47" s="9">
        <f>'Revenue Analysis'!G13</f>
        <v>40</v>
      </c>
      <c r="H47" s="9">
        <f>'Revenue Analysis'!H13</f>
        <v>65</v>
      </c>
      <c r="I47" s="9">
        <f>'Revenue Analysis'!I13</f>
        <v>80</v>
      </c>
    </row>
    <row r="48" spans="3:9">
      <c r="C48" t="s">
        <v>488</v>
      </c>
      <c r="D48" s="9">
        <f>SUMIFS('Detailed P&amp;L'!$23:$23,'Detailed P&amp;L'!$1:$1,D$45)</f>
        <v>42</v>
      </c>
      <c r="E48" s="9">
        <f>SUMIFS('Detailed P&amp;L'!$23:$23,'Detailed P&amp;L'!$1:$1,E$45)</f>
        <v>43</v>
      </c>
      <c r="F48" s="9">
        <f>SUMIFS('Detailed P&amp;L'!$23:$23,'Detailed P&amp;L'!$3:$3,F$45)</f>
        <v>39</v>
      </c>
      <c r="G48" s="9">
        <f>SUMIFS('Detailed P&amp;L'!$23:$23,'Detailed P&amp;L'!$3:$3,G$45)</f>
        <v>40</v>
      </c>
      <c r="H48" s="9">
        <f>SUMIFS('Detailed P&amp;L'!$23:$23,'Detailed P&amp;L'!$3:$3,H$45)</f>
        <v>65</v>
      </c>
      <c r="I48" s="9">
        <f>SUMIFS('Detailed P&amp;L'!$23:$23,'Detailed P&amp;L'!$3:$3,I$45)</f>
        <v>80</v>
      </c>
    </row>
    <row r="49" spans="3:9">
      <c r="C49" t="s">
        <v>477</v>
      </c>
      <c r="D49" s="9">
        <f>'Detailed P&amp;L'!BZ23</f>
        <v>42</v>
      </c>
      <c r="E49" s="9">
        <f>'Detailed P&amp;L'!CA23</f>
        <v>43</v>
      </c>
      <c r="F49" s="9">
        <f>'Detailed P&amp;L'!CB23</f>
        <v>39</v>
      </c>
      <c r="G49" s="9">
        <f>'Detailed P&amp;L'!CC23</f>
        <v>40</v>
      </c>
      <c r="H49" s="9">
        <f>'Detailed P&amp;L'!CD23</f>
        <v>65</v>
      </c>
      <c r="I49" s="9">
        <f>'Detailed P&amp;L'!CE23</f>
        <v>80</v>
      </c>
    </row>
    <row r="50" spans="3:9" s="267" customFormat="1" ht="10.5">
      <c r="C50" s="267" t="s">
        <v>489</v>
      </c>
      <c r="D50" s="267" t="b">
        <f t="shared" ref="D50:F50" si="10">AVERAGE(D47:D49)=D$47</f>
        <v>1</v>
      </c>
      <c r="E50" s="267" t="b">
        <f t="shared" si="10"/>
        <v>1</v>
      </c>
      <c r="F50" s="267" t="b">
        <f t="shared" si="10"/>
        <v>1</v>
      </c>
      <c r="G50" s="267" t="b">
        <f>AVERAGE(G47:G49)=G$47</f>
        <v>1</v>
      </c>
      <c r="H50" s="267" t="b">
        <f>AVERAGE(H47:H49)=H$47</f>
        <v>1</v>
      </c>
      <c r="I50" s="267" t="b">
        <f>AVERAGE(I47:I49)=I$47</f>
        <v>1</v>
      </c>
    </row>
    <row r="52" spans="3:9" ht="16">
      <c r="C52" s="262" t="s">
        <v>220</v>
      </c>
      <c r="D52" s="263"/>
      <c r="E52" s="263"/>
      <c r="F52" s="263"/>
      <c r="G52" s="263"/>
      <c r="H52" s="263"/>
      <c r="I52" s="263"/>
    </row>
    <row r="53" spans="3:9" ht="16">
      <c r="C53" s="262"/>
      <c r="D53" s="263">
        <f>$D$11</f>
        <v>2024</v>
      </c>
      <c r="E53" s="263">
        <f>$D$12</f>
        <v>2025</v>
      </c>
      <c r="F53" s="263" t="str">
        <f>$D$13</f>
        <v>LTM Jul-26</v>
      </c>
      <c r="G53" s="274">
        <v>1</v>
      </c>
      <c r="H53" s="274">
        <v>2</v>
      </c>
      <c r="I53" s="274">
        <v>3</v>
      </c>
    </row>
    <row r="54" spans="3:9" ht="4" customHeight="1">
      <c r="C54" s="261"/>
      <c r="D54" s="261"/>
      <c r="E54" s="261"/>
      <c r="F54" s="261"/>
      <c r="G54" s="261"/>
      <c r="H54" s="261"/>
      <c r="I54" s="261"/>
    </row>
    <row r="55" spans="3:9">
      <c r="C55" t="s">
        <v>476</v>
      </c>
      <c r="D55" s="9">
        <f>'Revenue Analysis'!D19+SUM('Detailed P&amp;L'!BZ33:BZ36)</f>
        <v>466.46436</v>
      </c>
      <c r="E55" s="9">
        <f>'Revenue Analysis'!E19+SUM('Detailed P&amp;L'!CA33:CA36)</f>
        <v>437.68522000000007</v>
      </c>
      <c r="F55" s="9">
        <f>'Revenue Analysis'!F19+SUM('Detailed P&amp;L'!CB33:CB36)</f>
        <v>560.84978000000001</v>
      </c>
      <c r="G55" s="9">
        <f>'Revenue Analysis'!G19+SUM('Detailed P&amp;L'!CC33:CC36)</f>
        <v>906.3779828774592</v>
      </c>
      <c r="H55" s="9">
        <f>'Revenue Analysis'!H19+SUM('Detailed P&amp;L'!CD33:CD36)</f>
        <v>1749.6477786977921</v>
      </c>
      <c r="I55" s="9">
        <f>'Revenue Analysis'!I19+SUM('Detailed P&amp;L'!CE33:CE36)</f>
        <v>2602.0762647623264</v>
      </c>
    </row>
    <row r="56" spans="3:9">
      <c r="C56" t="s">
        <v>488</v>
      </c>
      <c r="D56" s="9">
        <f>SUMIFS('Detailed P&amp;L'!$38:$38,'Detailed P&amp;L'!$3:$3,D$45)</f>
        <v>0</v>
      </c>
      <c r="E56" s="9">
        <f>SUMIFS('Detailed P&amp;L'!$38:$38,'Detailed P&amp;L'!$3:$3,E$45)</f>
        <v>0</v>
      </c>
      <c r="F56" s="9">
        <f>SUMIFS('Detailed P&amp;L'!$38:$38,'Detailed P&amp;L'!$3:$3,F$45)</f>
        <v>560.84978000000001</v>
      </c>
      <c r="G56" s="9">
        <f>SUMIFS('Detailed P&amp;L'!$38:$38,'Detailed P&amp;L'!$3:$3,G$45)</f>
        <v>906.37798287745909</v>
      </c>
      <c r="H56" s="9">
        <f>SUMIFS('Detailed P&amp;L'!$38:$38,'Detailed P&amp;L'!$3:$3,H$45)</f>
        <v>1749.6477786977921</v>
      </c>
      <c r="I56" s="9">
        <f>SUMIFS('Detailed P&amp;L'!$38:$38,'Detailed P&amp;L'!$3:$3,I$45)</f>
        <v>2602.0762647623264</v>
      </c>
    </row>
    <row r="57" spans="3:9">
      <c r="C57" t="s">
        <v>477</v>
      </c>
      <c r="D57" s="9">
        <f>'Detailed P&amp;L'!BZ38</f>
        <v>466.46435999999994</v>
      </c>
      <c r="E57" s="9">
        <f>'Detailed P&amp;L'!CA38</f>
        <v>437.68522000000007</v>
      </c>
      <c r="F57" s="9">
        <f>'Detailed P&amp;L'!CB38</f>
        <v>560.84978000000001</v>
      </c>
      <c r="G57" s="9">
        <f>'Detailed P&amp;L'!CC38</f>
        <v>906.3779828774592</v>
      </c>
      <c r="H57" s="9">
        <f>'Detailed P&amp;L'!CD38</f>
        <v>1749.6477786977923</v>
      </c>
      <c r="I57" s="9">
        <f>'Detailed P&amp;L'!CE38</f>
        <v>2602.0762647623269</v>
      </c>
    </row>
    <row r="58" spans="3:9" s="267" customFormat="1" ht="10.5">
      <c r="C58" s="267" t="s">
        <v>489</v>
      </c>
      <c r="D58" s="382" t="s">
        <v>1190</v>
      </c>
      <c r="E58" s="382" t="s">
        <v>1190</v>
      </c>
      <c r="F58" s="267" t="b">
        <f t="shared" ref="F58" si="11">AVERAGE(F55:F57)=F$55</f>
        <v>1</v>
      </c>
      <c r="G58" s="267" t="b">
        <f>AVERAGE(G55:G57)=G$55</f>
        <v>1</v>
      </c>
      <c r="H58" s="267" t="b">
        <f>AVERAGE(H55:H57)=H$55</f>
        <v>1</v>
      </c>
      <c r="I58" s="267" t="b">
        <f>AVERAGE(I55:I57)=I$55</f>
        <v>1</v>
      </c>
    </row>
    <row r="60" spans="3:9" ht="16">
      <c r="C60" s="262" t="s">
        <v>257</v>
      </c>
      <c r="D60" s="263"/>
      <c r="E60" s="263"/>
      <c r="F60" s="263"/>
      <c r="G60" s="263"/>
      <c r="H60" s="263"/>
      <c r="I60" s="263"/>
    </row>
    <row r="61" spans="3:9" ht="16">
      <c r="C61" s="262"/>
      <c r="D61" s="263">
        <f>$D$11</f>
        <v>2024</v>
      </c>
      <c r="E61" s="263">
        <f>$D$12</f>
        <v>2025</v>
      </c>
      <c r="F61" s="263" t="str">
        <f>$D$13</f>
        <v>LTM Jul-26</v>
      </c>
      <c r="G61" s="274">
        <v>1</v>
      </c>
      <c r="H61" s="274">
        <v>2</v>
      </c>
      <c r="I61" s="274">
        <v>3</v>
      </c>
    </row>
    <row r="62" spans="3:9" ht="4" customHeight="1">
      <c r="C62" s="261"/>
      <c r="D62" s="261"/>
      <c r="E62" s="261"/>
      <c r="F62" s="261"/>
      <c r="G62" s="261"/>
      <c r="H62" s="261"/>
      <c r="I62" s="261"/>
    </row>
    <row r="63" spans="3:9">
      <c r="C63" t="s">
        <v>488</v>
      </c>
      <c r="D63" s="9">
        <f>SUMIFS('Detailed P&amp;L'!$86:$86,'Detailed P&amp;L'!$3:$3,D$45)</f>
        <v>0</v>
      </c>
      <c r="E63" s="9">
        <f>SUMIFS('Detailed P&amp;L'!$86:$86,'Detailed P&amp;L'!$3:$3,E$45)</f>
        <v>0</v>
      </c>
      <c r="F63" s="9">
        <f>SUMIFS('Detailed P&amp;L'!$86:$86,'Detailed P&amp;L'!$3:$3,F$45)</f>
        <v>-23.743340000000011</v>
      </c>
      <c r="G63" s="9">
        <f>SUMIFS('Detailed P&amp;L'!$86:$86,'Detailed P&amp;L'!$3:$3,G$45)</f>
        <v>11.203045796235635</v>
      </c>
      <c r="H63" s="9">
        <f>SUMIFS('Detailed P&amp;L'!$86:$86,'Detailed P&amp;L'!$3:$3,H$45)</f>
        <v>604.00241488812981</v>
      </c>
      <c r="I63" s="9">
        <f>SUMIFS('Detailed P&amp;L'!$86:$86,'Detailed P&amp;L'!$3:$3,I$45)</f>
        <v>1168.0910068212665</v>
      </c>
    </row>
    <row r="64" spans="3:9">
      <c r="C64" t="s">
        <v>477</v>
      </c>
      <c r="D64" s="9">
        <f>'Detailed P&amp;L'!BZ86</f>
        <v>-96.096790000000055</v>
      </c>
      <c r="E64" s="9">
        <f>'Detailed P&amp;L'!CA86</f>
        <v>-97.527349999999956</v>
      </c>
      <c r="F64" s="9">
        <f>'Detailed P&amp;L'!CB86</f>
        <v>-23.743339999999989</v>
      </c>
      <c r="G64" s="9">
        <f>'Detailed P&amp;L'!CC86</f>
        <v>11.20304579623587</v>
      </c>
      <c r="H64" s="9">
        <f>'Detailed P&amp;L'!CD86</f>
        <v>604.00241488812981</v>
      </c>
      <c r="I64" s="9">
        <f>'Detailed P&amp;L'!CE86</f>
        <v>1168.0910068212672</v>
      </c>
    </row>
    <row r="65" spans="3:9" s="267" customFormat="1" ht="10.5">
      <c r="C65" s="267" t="s">
        <v>489</v>
      </c>
      <c r="D65" s="382" t="s">
        <v>1190</v>
      </c>
      <c r="E65" s="382" t="s">
        <v>1190</v>
      </c>
      <c r="F65" s="267" t="b">
        <f t="shared" ref="F65" si="12">AVERAGE(F63:F64)=F$63</f>
        <v>1</v>
      </c>
      <c r="G65" s="382" t="s">
        <v>1190</v>
      </c>
      <c r="H65" s="267" t="b">
        <f>AVERAGE(H63:H64)=H$63</f>
        <v>1</v>
      </c>
      <c r="I65" s="267" t="b">
        <f>AVERAGE(I63:I64)=I$63</f>
        <v>1</v>
      </c>
    </row>
    <row r="68" spans="3:9">
      <c r="C68" t="s">
        <v>494</v>
      </c>
    </row>
    <row r="69" spans="3:9">
      <c r="C69" s="279" t="s">
        <v>617</v>
      </c>
    </row>
    <row r="70" spans="3:9">
      <c r="C70" s="279" t="s">
        <v>695</v>
      </c>
    </row>
    <row r="71" spans="3:9">
      <c r="C71" s="279" t="s">
        <v>737</v>
      </c>
    </row>
  </sheetData>
  <conditionalFormatting sqref="D28:I28">
    <cfRule type="cellIs" dxfId="5" priority="3" operator="equal">
      <formula>FALSE</formula>
    </cfRule>
  </conditionalFormatting>
  <conditionalFormatting sqref="D35:I35">
    <cfRule type="cellIs" dxfId="4" priority="5" operator="equal">
      <formula>FALSE</formula>
    </cfRule>
  </conditionalFormatting>
  <conditionalFormatting sqref="D42:I42">
    <cfRule type="cellIs" dxfId="3" priority="4" operator="equal">
      <formula>FALSE</formula>
    </cfRule>
  </conditionalFormatting>
  <conditionalFormatting sqref="D50:I50">
    <cfRule type="cellIs" dxfId="2" priority="11" operator="equal">
      <formula>FALSE</formula>
    </cfRule>
  </conditionalFormatting>
  <conditionalFormatting sqref="D58:I58">
    <cfRule type="cellIs" dxfId="1" priority="2" operator="equal">
      <formula>FALSE</formula>
    </cfRule>
  </conditionalFormatting>
  <conditionalFormatting sqref="D65:I65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Detailed P&amp;L</vt:lpstr>
      <vt:lpstr>Revenue Analysis</vt:lpstr>
      <vt:lpstr>Events Summary</vt:lpstr>
      <vt:lpstr>Inputs--&gt;</vt:lpstr>
      <vt:lpstr>Payroll</vt:lpstr>
      <vt:lpstr>P&amp;L</vt:lpstr>
      <vt:lpstr>Full Events Detail</vt:lpstr>
      <vt:lpstr>Future Events</vt:lpstr>
      <vt:lpstr>Leads</vt:lpstr>
      <vt:lpstr>Tours</vt:lpstr>
      <vt:lpstr>WH--&gt;</vt:lpstr>
      <vt:lpstr>AGA</vt:lpstr>
      <vt:lpstr>WH Rev &amp; Events Data</vt:lpstr>
      <vt:lpstr>FY25 By Venue Financials</vt:lpstr>
      <vt:lpstr>Monthly Events per venue</vt:lpstr>
      <vt:lpstr>P&amp;L Categories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 Erturkuner</dc:creator>
  <cp:lastModifiedBy>Cate Erturkuner</cp:lastModifiedBy>
  <dcterms:created xsi:type="dcterms:W3CDTF">2025-05-17T14:18:14Z</dcterms:created>
  <dcterms:modified xsi:type="dcterms:W3CDTF">2026-09-05T12:17:04Z</dcterms:modified>
</cp:coreProperties>
</file>